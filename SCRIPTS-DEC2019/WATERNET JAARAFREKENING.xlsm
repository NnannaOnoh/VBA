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Nnanna\Desktop\bas\VBA\SCRIPTS-DEC2019\"/>
    </mc:Choice>
  </mc:AlternateContent>
  <bookViews>
    <workbookView xWindow="0" yWindow="0" windowWidth="14340" windowHeight="8880"/>
  </bookViews>
  <sheets>
    <sheet name="WATERNET" sheetId="2" r:id="rId1"/>
  </sheets>
  <definedNames>
    <definedName name="_xlnm.Print_Area" localSheetId="0">WATERNET!$A$1:$J$23</definedName>
  </definedNames>
  <calcPr calcId="162913"/>
</workbook>
</file>

<file path=xl/calcChain.xml><?xml version="1.0" encoding="utf-8"?>
<calcChain xmlns="http://schemas.openxmlformats.org/spreadsheetml/2006/main">
  <c r="E9" i="2" l="1"/>
  <c r="F9" i="2" s="1"/>
  <c r="E10" i="2"/>
  <c r="F10" i="2" s="1"/>
  <c r="G10" i="2" s="1"/>
  <c r="E11" i="2"/>
  <c r="F11" i="2" s="1"/>
  <c r="G11" i="2" s="1"/>
  <c r="G13" i="2"/>
  <c r="E13" i="2" s="1"/>
  <c r="F13" i="2" s="1"/>
  <c r="G15" i="2"/>
  <c r="E15" i="2" s="1"/>
  <c r="F15" i="2" s="1"/>
  <c r="F16" i="2" l="1"/>
  <c r="G9" i="2"/>
  <c r="G16" i="2" s="1"/>
  <c r="E16" i="2"/>
  <c r="A48" i="2" l="1"/>
  <c r="B48" i="2" s="1"/>
  <c r="P3" i="2" s="1"/>
  <c r="E5" i="2"/>
  <c r="F5" i="2" s="1"/>
  <c r="G5" i="2" s="1"/>
  <c r="E6" i="2"/>
  <c r="F6" i="2" s="1"/>
  <c r="G6" i="2" s="1"/>
  <c r="E4" i="2"/>
  <c r="F4" i="2" s="1"/>
  <c r="A44" i="2"/>
  <c r="C45" i="2"/>
  <c r="D45" i="2"/>
  <c r="C44" i="2"/>
  <c r="D44" i="2"/>
  <c r="E44" i="2"/>
  <c r="G45" i="2"/>
  <c r="H45" i="2"/>
  <c r="G44" i="2"/>
  <c r="H44" i="2"/>
  <c r="E41" i="2"/>
  <c r="G42" i="2"/>
  <c r="H42" i="2"/>
  <c r="G41" i="2"/>
  <c r="H41" i="2"/>
  <c r="C42" i="2"/>
  <c r="D42" i="2"/>
  <c r="C41" i="2"/>
  <c r="D41" i="2"/>
  <c r="F37" i="2"/>
  <c r="H29" i="2"/>
  <c r="G28" i="2"/>
  <c r="H28" i="2"/>
  <c r="I7" i="2"/>
  <c r="I8" i="2"/>
  <c r="I9" i="2"/>
  <c r="I4" i="2"/>
  <c r="I5" i="2"/>
  <c r="I6" i="2"/>
  <c r="I13" i="2"/>
  <c r="I15" i="2"/>
  <c r="G35" i="2"/>
  <c r="E36" i="2"/>
  <c r="G29" i="2"/>
  <c r="G30" i="2"/>
  <c r="H30" i="2"/>
  <c r="J13" i="2"/>
  <c r="J15" i="2"/>
  <c r="I10" i="2"/>
  <c r="I11" i="2"/>
  <c r="F7" i="2" l="1"/>
  <c r="E7" i="2"/>
  <c r="G4" i="2"/>
  <c r="G7" i="2" s="1"/>
  <c r="C12" i="2" l="1"/>
  <c r="C14" i="2" s="1"/>
  <c r="F19" i="2"/>
  <c r="E19" i="2"/>
  <c r="E21" i="2" s="1"/>
  <c r="G19" i="2"/>
  <c r="G21" i="2" l="1"/>
  <c r="G22" i="2" s="1"/>
  <c r="F21" i="2"/>
  <c r="F22" i="2" s="1"/>
  <c r="E22" i="2"/>
</calcChain>
</file>

<file path=xl/sharedStrings.xml><?xml version="1.0" encoding="utf-8"?>
<sst xmlns="http://schemas.openxmlformats.org/spreadsheetml/2006/main" count="43" uniqueCount="26">
  <si>
    <t>TOTAAL</t>
  </si>
  <si>
    <t>KREDIETBEPERKING</t>
  </si>
  <si>
    <t>BRUTO</t>
  </si>
  <si>
    <t>NETTO</t>
  </si>
  <si>
    <t>BTW</t>
  </si>
  <si>
    <t>korting (%)</t>
  </si>
  <si>
    <t>TARIEF</t>
  </si>
  <si>
    <t>STKS</t>
  </si>
  <si>
    <t>BRUTO (incl)</t>
  </si>
  <si>
    <t>€/PS [excl]</t>
  </si>
  <si>
    <t>BRUTO (excl)</t>
  </si>
  <si>
    <t>PERCENTAGE</t>
  </si>
  <si>
    <t>KORTING</t>
  </si>
  <si>
    <t>KORTING (%)</t>
  </si>
  <si>
    <r>
      <t xml:space="preserve">Vastrecht </t>
    </r>
    <r>
      <rPr>
        <b/>
        <sz val="8"/>
        <color theme="1"/>
        <rFont val="Calibri"/>
        <family val="2"/>
      </rPr>
      <t>2018</t>
    </r>
  </si>
  <si>
    <r>
      <t xml:space="preserve">Waterverbruik </t>
    </r>
    <r>
      <rPr>
        <b/>
        <sz val="8"/>
        <color theme="1"/>
        <rFont val="Calibri"/>
        <family val="2"/>
      </rPr>
      <t>2018</t>
    </r>
  </si>
  <si>
    <r>
      <t xml:space="preserve">Belasting op leidingwater </t>
    </r>
    <r>
      <rPr>
        <b/>
        <sz val="8"/>
        <color theme="1"/>
        <rFont val="Calibri"/>
        <family val="2"/>
      </rPr>
      <t>2018</t>
    </r>
  </si>
  <si>
    <r>
      <t xml:space="preserve">Waterverbruik </t>
    </r>
    <r>
      <rPr>
        <b/>
        <sz val="8"/>
        <color theme="1"/>
        <rFont val="Calibri"/>
        <family val="2"/>
      </rPr>
      <t>2019</t>
    </r>
  </si>
  <si>
    <r>
      <t xml:space="preserve">Vastrecht </t>
    </r>
    <r>
      <rPr>
        <b/>
        <sz val="8"/>
        <color theme="1"/>
        <rFont val="Calibri"/>
        <family val="2"/>
      </rPr>
      <t>2019</t>
    </r>
  </si>
  <si>
    <r>
      <t xml:space="preserve">Belasting op leidingwater </t>
    </r>
    <r>
      <rPr>
        <b/>
        <sz val="8"/>
        <color theme="1"/>
        <rFont val="Calibri"/>
        <family val="2"/>
      </rPr>
      <t>2019</t>
    </r>
  </si>
  <si>
    <t>Al in rekening gebracht</t>
  </si>
  <si>
    <t>Nieuw termijn bedrag</t>
  </si>
  <si>
    <t>Te weinig/teveel in rekening gebracht</t>
  </si>
  <si>
    <t>KLADBLOK</t>
  </si>
  <si>
    <r>
      <rPr>
        <b/>
        <sz val="10"/>
        <color theme="1"/>
        <rFont val="Calibri"/>
        <family val="2"/>
      </rPr>
      <t xml:space="preserve"> -----------  NL27INGB0004500043   ----------- </t>
    </r>
    <r>
      <rPr>
        <b/>
        <sz val="22"/>
        <color theme="1"/>
        <rFont val="Calibri"/>
        <family val="2"/>
      </rPr>
      <t xml:space="preserve">WATERNET                       </t>
    </r>
  </si>
  <si>
    <t xml:space="preserve"> Crediteurenadministratie - Team Routeren en Coderen.
BTW-berekening jaarafrekeningen Waternet
Op de jaarafrekeningen van de drinkwaterfacturen van Waternet, is het niet duidelijk of er 6% of 9% BTW berekend moet worden over het reeds betaalde bedrag.
Na overleg met Fiscaal Beheer is er vanuit de Financiële Administratie besloten om bij Waternetfacturen, waarbij sprake is van een jaarafrekening, er vanuit te gaan dat er over het reeds betaalde bedrag 9% BTW is berekend.
Zie de berekening in de bijlage.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</si>
</sst>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413]\ #,##0.00"/>
    <numFmt numFmtId="165" formatCode="_ [$€-2]\ * #,##0.00_ ;_ [$€-2]\ * \-#,##0.00_ ;_ [$€-2]\ * &quot;-&quot;??_ ;_ @_ "/>
    <numFmt numFmtId="166" formatCode="0.00000%"/>
    <numFmt numFmtId="167" formatCode="_ [$€-413]\ * #,##0.00_ ;_ [$€-413]\ * \-#,##0.00_ ;_ [$€-413]\ * &quot;-&quot;??_ ;_ @_ "/>
    <numFmt numFmtId="168" formatCode="_(* #,##0.00_);_(* \(#,##0.00\);_(* &quot;-&quot;??_);_(@_)"/>
  </numFmts>
  <fonts count="19" x14ac:knownFonts="1">
    <font>
      <sz val="11"/>
      <color theme="1"/>
      <name val="Calibri"/>
      <family val="2"/>
    </font>
    <font>
      <sz val="11"/>
      <color theme="1"/>
      <name val="Calibri"/>
      <family val="2"/>
    </font>
    <font>
      <b/>
      <sz val="11"/>
      <color theme="1"/>
      <name val="Calibri"/>
      <family val="2"/>
    </font>
    <font>
      <sz val="8"/>
      <color theme="1"/>
      <name val="Calibri"/>
      <family val="2"/>
    </font>
    <font>
      <b/>
      <i/>
      <sz val="8"/>
      <color theme="1"/>
      <name val="Calibri"/>
      <family val="2"/>
    </font>
    <font>
      <b/>
      <sz val="8"/>
      <color theme="1"/>
      <name val="Calibri"/>
      <family val="2"/>
    </font>
    <font>
      <i/>
      <sz val="8"/>
      <color theme="3"/>
      <name val="Calibri"/>
      <family val="2"/>
    </font>
    <font>
      <sz val="8"/>
      <color theme="3"/>
      <name val="Calibri"/>
      <family val="2"/>
    </font>
    <font>
      <sz val="11"/>
      <color theme="1"/>
      <name val="Calibri"/>
      <family val="2"/>
      <scheme val="minor"/>
    </font>
    <font>
      <sz val="10"/>
      <name val="Arial"/>
      <family val="2"/>
    </font>
    <font>
      <b/>
      <sz val="22"/>
      <color theme="1"/>
      <name val="Calibri"/>
      <family val="2"/>
    </font>
    <font>
      <i/>
      <sz val="8"/>
      <color theme="1"/>
      <name val="Calibri"/>
      <family val="2"/>
    </font>
    <font>
      <b/>
      <sz val="10"/>
      <color theme="1"/>
      <name val="Calibri"/>
      <family val="2"/>
    </font>
    <font>
      <b/>
      <i/>
      <sz val="10"/>
      <color theme="3"/>
      <name val="Calibri"/>
      <family val="2"/>
    </font>
    <font>
      <sz val="8"/>
      <color rgb="FF69BAF1"/>
      <name val="Calibri"/>
      <family val="2"/>
    </font>
    <font>
      <i/>
      <sz val="8"/>
      <color rgb="FF69BAF1"/>
      <name val="Calibri"/>
      <family val="2"/>
    </font>
    <font>
      <b/>
      <i/>
      <sz val="10"/>
      <color rgb="FF69BAF1"/>
      <name val="Calibri"/>
      <family val="2"/>
    </font>
    <font>
      <sz val="11"/>
      <color theme="0"/>
      <name val="Calibri"/>
      <family val="2"/>
    </font>
    <font>
      <sz val="8"/>
      <color theme="0"/>
      <name val="Calibri"/>
      <family val="2"/>
    </font>
  </fonts>
  <fills count="7">
    <fill>
      <patternFill patternType="none"/>
    </fill>
    <fill>
      <patternFill patternType="gray125"/>
    </fill>
    <fill>
      <patternFill patternType="solid">
        <fgColor theme="8" tint="0.79998168889431442"/>
        <bgColor indexed="65"/>
      </patternFill>
    </fill>
    <fill>
      <patternFill patternType="solid">
        <fgColor theme="0"/>
        <bgColor indexed="64"/>
      </patternFill>
    </fill>
    <fill>
      <patternFill patternType="solid">
        <fgColor theme="1"/>
        <bgColor indexed="64"/>
      </patternFill>
    </fill>
    <fill>
      <patternFill patternType="solid">
        <fgColor theme="3"/>
        <bgColor indexed="64"/>
      </patternFill>
    </fill>
    <fill>
      <patternFill patternType="solid">
        <fgColor rgb="FF69BAF1"/>
        <bgColor indexed="64"/>
      </patternFill>
    </fill>
  </fills>
  <borders count="60">
    <border>
      <left/>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bottom/>
      <diagonal/>
    </border>
    <border>
      <left/>
      <right/>
      <top style="medium">
        <color indexed="64"/>
      </top>
      <bottom/>
      <diagonal/>
    </border>
    <border>
      <left style="thin">
        <color indexed="64"/>
      </left>
      <right/>
      <top style="thick">
        <color auto="1"/>
      </top>
      <bottom style="thick">
        <color auto="1"/>
      </bottom>
      <diagonal/>
    </border>
    <border>
      <left style="thin">
        <color indexed="64"/>
      </left>
      <right style="thin">
        <color indexed="64"/>
      </right>
      <top style="thick">
        <color auto="1"/>
      </top>
      <bottom style="thick">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style="thin">
        <color indexed="64"/>
      </left>
      <right style="medium">
        <color indexed="64"/>
      </right>
      <top/>
      <bottom/>
      <diagonal/>
    </border>
    <border>
      <left style="thin">
        <color indexed="64"/>
      </left>
      <right style="thin">
        <color indexed="64"/>
      </right>
      <top/>
      <bottom/>
      <diagonal/>
    </border>
    <border>
      <left style="thick">
        <color auto="1"/>
      </left>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ck">
        <color auto="1"/>
      </right>
      <top style="thin">
        <color indexed="64"/>
      </top>
      <bottom/>
      <diagonal/>
    </border>
    <border>
      <left style="thin">
        <color indexed="64"/>
      </left>
      <right style="thick">
        <color auto="1"/>
      </right>
      <top/>
      <bottom/>
      <diagonal/>
    </border>
    <border>
      <left style="thin">
        <color indexed="64"/>
      </left>
      <right/>
      <top/>
      <bottom style="thin">
        <color indexed="64"/>
      </bottom>
      <diagonal/>
    </border>
    <border>
      <left style="thick">
        <color indexed="64"/>
      </left>
      <right/>
      <top/>
      <bottom style="medium">
        <color indexed="64"/>
      </bottom>
      <diagonal/>
    </border>
    <border>
      <left style="thick">
        <color indexed="64"/>
      </left>
      <right/>
      <top style="medium">
        <color indexed="64"/>
      </top>
      <bottom/>
      <diagonal/>
    </border>
    <border>
      <left style="thick">
        <color indexed="64"/>
      </left>
      <right style="medium">
        <color indexed="64"/>
      </right>
      <top/>
      <bottom/>
      <diagonal/>
    </border>
    <border>
      <left style="thin">
        <color indexed="64"/>
      </left>
      <right/>
      <top style="thin">
        <color indexed="64"/>
      </top>
      <bottom/>
      <diagonal/>
    </border>
    <border>
      <left style="thick">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0548">
    <xf numFmtId="0" fontId="0" fillId="0" borderId="0"/>
    <xf numFmtId="9" fontId="1" fillId="0" borderId="0" applyFont="0" applyFill="0" applyBorder="0" applyAlignment="0" applyProtection="0"/>
    <xf numFmtId="0" fontId="1" fillId="2" borderId="0" applyNumberFormat="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0" fontId="9"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 fillId="0" borderId="0"/>
    <xf numFmtId="0" fontId="1" fillId="0" borderId="0"/>
    <xf numFmtId="0" fontId="1" fillId="0" borderId="0"/>
    <xf numFmtId="0" fontId="1" fillId="0" borderId="0"/>
    <xf numFmtId="0" fontId="8" fillId="0" borderId="0"/>
    <xf numFmtId="0" fontId="8"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1" fillId="0" borderId="0"/>
    <xf numFmtId="0" fontId="1"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cellStyleXfs>
  <cellXfs count="184">
    <xf numFmtId="0" fontId="0" fillId="0" borderId="0" xfId="0"/>
    <xf numFmtId="0" fontId="3" fillId="0" borderId="0" xfId="0" applyFont="1"/>
    <xf numFmtId="0" fontId="3" fillId="0" borderId="0" xfId="0" applyFont="1" applyAlignment="1">
      <alignment horizontal="center" vertical="center"/>
    </xf>
    <xf numFmtId="0" fontId="3" fillId="0" borderId="0" xfId="0" applyFont="1" applyFill="1" applyProtection="1"/>
    <xf numFmtId="0" fontId="0" fillId="0" borderId="0" xfId="0" applyProtection="1"/>
    <xf numFmtId="0" fontId="17" fillId="0" borderId="0" xfId="0" applyFont="1"/>
    <xf numFmtId="0" fontId="3" fillId="3" borderId="0" xfId="0" applyFont="1" applyFill="1" applyAlignment="1" applyProtection="1">
      <alignment vertical="top"/>
    </xf>
    <xf numFmtId="14" fontId="17" fillId="0" borderId="0" xfId="0" applyNumberFormat="1" applyFont="1"/>
    <xf numFmtId="0" fontId="18" fillId="0" borderId="0" xfId="0" applyFont="1" applyFill="1" applyBorder="1"/>
    <xf numFmtId="164" fontId="3" fillId="0" borderId="11" xfId="0" applyNumberFormat="1" applyFont="1" applyBorder="1" applyAlignment="1" applyProtection="1">
      <alignment horizontal="right"/>
      <protection hidden="1"/>
    </xf>
    <xf numFmtId="164" fontId="3" fillId="0" borderId="17" xfId="0" applyNumberFormat="1" applyFont="1" applyBorder="1" applyAlignment="1" applyProtection="1">
      <alignment horizontal="right"/>
      <protection hidden="1"/>
    </xf>
    <xf numFmtId="164" fontId="6" fillId="0" borderId="14" xfId="0" applyNumberFormat="1" applyFont="1" applyBorder="1" applyAlignment="1" applyProtection="1">
      <alignment horizontal="right"/>
      <protection hidden="1"/>
    </xf>
    <xf numFmtId="0" fontId="3" fillId="4" borderId="17" xfId="0" applyFont="1" applyFill="1" applyBorder="1" applyProtection="1">
      <protection hidden="1"/>
    </xf>
    <xf numFmtId="0" fontId="3" fillId="4" borderId="0" xfId="0" applyFont="1" applyFill="1" applyProtection="1">
      <protection hidden="1"/>
    </xf>
    <xf numFmtId="0" fontId="3" fillId="0" borderId="0" xfId="0" applyFont="1" applyProtection="1">
      <protection hidden="1"/>
    </xf>
    <xf numFmtId="0" fontId="3" fillId="4" borderId="52" xfId="0" applyFont="1" applyFill="1" applyBorder="1" applyProtection="1">
      <protection hidden="1"/>
    </xf>
    <xf numFmtId="0" fontId="3" fillId="4" borderId="4" xfId="0" applyFont="1" applyFill="1" applyBorder="1" applyProtection="1">
      <protection hidden="1"/>
    </xf>
    <xf numFmtId="0" fontId="3" fillId="0" borderId="0" xfId="0" applyFont="1" applyFill="1" applyProtection="1">
      <protection hidden="1"/>
    </xf>
    <xf numFmtId="14" fontId="3" fillId="0" borderId="0" xfId="0" applyNumberFormat="1" applyFont="1" applyFill="1" applyAlignment="1" applyProtection="1">
      <alignment horizontal="center"/>
      <protection hidden="1"/>
    </xf>
    <xf numFmtId="0" fontId="3" fillId="3" borderId="0" xfId="0" applyFont="1" applyFill="1" applyProtection="1">
      <protection hidden="1"/>
    </xf>
    <xf numFmtId="0" fontId="5" fillId="0" borderId="12" xfId="0" applyFont="1" applyBorder="1" applyAlignment="1" applyProtection="1">
      <alignment horizontal="right"/>
      <protection hidden="1"/>
    </xf>
    <xf numFmtId="0" fontId="5" fillId="0" borderId="44" xfId="0" applyFont="1" applyBorder="1" applyAlignment="1" applyProtection="1">
      <alignment horizontal="right"/>
      <protection hidden="1"/>
    </xf>
    <xf numFmtId="0" fontId="5" fillId="0" borderId="58" xfId="0" applyFont="1" applyBorder="1" applyAlignment="1" applyProtection="1">
      <alignment horizontal="right"/>
      <protection hidden="1"/>
    </xf>
    <xf numFmtId="0" fontId="5" fillId="0" borderId="59" xfId="0" applyFont="1" applyBorder="1" applyAlignment="1" applyProtection="1">
      <alignment horizontal="center" vertical="center"/>
      <protection hidden="1"/>
    </xf>
    <xf numFmtId="0" fontId="5" fillId="0" borderId="28" xfId="0" applyFont="1" applyBorder="1" applyAlignment="1" applyProtection="1">
      <alignment horizontal="center" vertical="center"/>
      <protection hidden="1"/>
    </xf>
    <xf numFmtId="0" fontId="5" fillId="0" borderId="4" xfId="0" applyFont="1" applyBorder="1" applyAlignment="1" applyProtection="1">
      <alignment horizontal="center"/>
      <protection hidden="1"/>
    </xf>
    <xf numFmtId="0" fontId="3" fillId="4" borderId="0" xfId="0" applyFont="1" applyFill="1" applyAlignment="1" applyProtection="1">
      <alignment horizontal="right"/>
      <protection hidden="1"/>
    </xf>
    <xf numFmtId="0" fontId="3" fillId="0" borderId="0" xfId="0" applyFont="1" applyFill="1" applyAlignment="1" applyProtection="1">
      <alignment horizontal="right"/>
      <protection hidden="1"/>
    </xf>
    <xf numFmtId="2" fontId="3" fillId="0" borderId="53" xfId="0" applyNumberFormat="1" applyFont="1" applyFill="1" applyBorder="1" applyAlignment="1" applyProtection="1">
      <alignment horizontal="right"/>
      <protection hidden="1"/>
    </xf>
    <xf numFmtId="2" fontId="3" fillId="0" borderId="51" xfId="0" applyNumberFormat="1" applyFont="1" applyBorder="1" applyProtection="1">
      <protection hidden="1"/>
    </xf>
    <xf numFmtId="9" fontId="7" fillId="0" borderId="0" xfId="0" applyNumberFormat="1" applyFont="1" applyBorder="1" applyProtection="1">
      <protection hidden="1"/>
    </xf>
    <xf numFmtId="10" fontId="3" fillId="0" borderId="4" xfId="0" applyNumberFormat="1" applyFont="1" applyBorder="1" applyAlignment="1" applyProtection="1">
      <alignment horizontal="center" vertical="center"/>
      <protection hidden="1"/>
    </xf>
    <xf numFmtId="10" fontId="3" fillId="4" borderId="0" xfId="0" applyNumberFormat="1" applyFont="1" applyFill="1" applyProtection="1">
      <protection hidden="1"/>
    </xf>
    <xf numFmtId="10" fontId="3" fillId="0" borderId="0" xfId="0" applyNumberFormat="1" applyFont="1" applyFill="1" applyProtection="1">
      <protection hidden="1"/>
    </xf>
    <xf numFmtId="2" fontId="3" fillId="0" borderId="17" xfId="0" applyNumberFormat="1" applyFont="1" applyFill="1" applyBorder="1" applyAlignment="1" applyProtection="1">
      <alignment horizontal="right"/>
      <protection hidden="1"/>
    </xf>
    <xf numFmtId="2" fontId="3" fillId="0" borderId="12" xfId="0" applyNumberFormat="1" applyFont="1" applyBorder="1" applyProtection="1">
      <protection hidden="1"/>
    </xf>
    <xf numFmtId="2" fontId="3" fillId="0" borderId="49" xfId="0" applyNumberFormat="1" applyFont="1" applyFill="1" applyBorder="1" applyAlignment="1" applyProtection="1">
      <alignment horizontal="right"/>
      <protection hidden="1"/>
    </xf>
    <xf numFmtId="2" fontId="3" fillId="5" borderId="12" xfId="0" applyNumberFormat="1" applyFont="1" applyFill="1" applyBorder="1" applyProtection="1">
      <protection hidden="1"/>
    </xf>
    <xf numFmtId="164" fontId="3" fillId="5" borderId="0" xfId="0" applyNumberFormat="1" applyFont="1" applyFill="1" applyBorder="1" applyProtection="1">
      <protection hidden="1"/>
    </xf>
    <xf numFmtId="9" fontId="3" fillId="5" borderId="0" xfId="0" applyNumberFormat="1" applyFont="1" applyFill="1" applyBorder="1" applyProtection="1">
      <protection hidden="1"/>
    </xf>
    <xf numFmtId="164" fontId="3" fillId="5" borderId="4" xfId="0" applyNumberFormat="1" applyFont="1" applyFill="1" applyBorder="1" applyAlignment="1" applyProtection="1">
      <alignment horizontal="center" vertical="center"/>
      <protection hidden="1"/>
    </xf>
    <xf numFmtId="164" fontId="3" fillId="5" borderId="13" xfId="0" applyNumberFormat="1" applyFont="1" applyFill="1" applyBorder="1" applyAlignment="1" applyProtection="1">
      <alignment horizontal="center" vertical="center"/>
      <protection hidden="1"/>
    </xf>
    <xf numFmtId="9" fontId="14" fillId="0" borderId="0" xfId="0" applyNumberFormat="1" applyFont="1" applyBorder="1" applyProtection="1">
      <protection hidden="1"/>
    </xf>
    <xf numFmtId="2" fontId="3" fillId="0" borderId="54" xfId="0" applyNumberFormat="1" applyFont="1" applyBorder="1" applyProtection="1">
      <protection hidden="1"/>
    </xf>
    <xf numFmtId="164" fontId="5" fillId="0" borderId="10" xfId="0" applyNumberFormat="1" applyFont="1" applyBorder="1" applyProtection="1">
      <protection hidden="1"/>
    </xf>
    <xf numFmtId="164" fontId="3" fillId="0" borderId="10" xfId="0" applyNumberFormat="1" applyFont="1" applyBorder="1" applyAlignment="1" applyProtection="1">
      <alignment horizontal="right"/>
      <protection hidden="1"/>
    </xf>
    <xf numFmtId="10" fontId="3" fillId="0" borderId="0" xfId="0" applyNumberFormat="1" applyFont="1" applyBorder="1" applyAlignment="1" applyProtection="1">
      <alignment horizontal="center" vertical="center"/>
      <protection hidden="1"/>
    </xf>
    <xf numFmtId="0" fontId="3" fillId="4" borderId="0" xfId="0" applyNumberFormat="1" applyFont="1" applyFill="1" applyProtection="1">
      <protection hidden="1"/>
    </xf>
    <xf numFmtId="2" fontId="3" fillId="4" borderId="0" xfId="0" applyNumberFormat="1" applyFont="1" applyFill="1" applyProtection="1">
      <protection hidden="1"/>
    </xf>
    <xf numFmtId="2" fontId="5" fillId="0" borderId="17" xfId="0" applyNumberFormat="1" applyFont="1" applyFill="1" applyBorder="1" applyAlignment="1" applyProtection="1">
      <alignment horizontal="right"/>
      <protection hidden="1"/>
    </xf>
    <xf numFmtId="2" fontId="5" fillId="0" borderId="49" xfId="0" applyNumberFormat="1" applyFont="1" applyFill="1" applyBorder="1" applyAlignment="1" applyProtection="1">
      <alignment horizontal="right"/>
      <protection hidden="1"/>
    </xf>
    <xf numFmtId="2" fontId="3" fillId="0" borderId="50" xfId="0" applyNumberFormat="1" applyFont="1" applyBorder="1" applyProtection="1">
      <protection hidden="1"/>
    </xf>
    <xf numFmtId="2" fontId="3" fillId="0" borderId="47" xfId="0" applyNumberFormat="1" applyFont="1" applyFill="1" applyBorder="1" applyAlignment="1" applyProtection="1">
      <protection hidden="1"/>
    </xf>
    <xf numFmtId="2" fontId="14" fillId="6" borderId="12" xfId="0" applyNumberFormat="1" applyFont="1" applyFill="1" applyBorder="1" applyProtection="1">
      <protection hidden="1"/>
    </xf>
    <xf numFmtId="164" fontId="14" fillId="6" borderId="0" xfId="0" applyNumberFormat="1" applyFont="1" applyFill="1" applyBorder="1" applyProtection="1">
      <protection hidden="1"/>
    </xf>
    <xf numFmtId="9" fontId="14" fillId="6" borderId="0" xfId="0" applyNumberFormat="1" applyFont="1" applyFill="1" applyBorder="1" applyProtection="1">
      <protection hidden="1"/>
    </xf>
    <xf numFmtId="164" fontId="15" fillId="0" borderId="15" xfId="0" applyNumberFormat="1" applyFont="1" applyBorder="1" applyAlignment="1" applyProtection="1">
      <alignment horizontal="right"/>
      <protection hidden="1"/>
    </xf>
    <xf numFmtId="164" fontId="3" fillId="6" borderId="4" xfId="0" applyNumberFormat="1" applyFont="1" applyFill="1" applyBorder="1" applyAlignment="1" applyProtection="1">
      <alignment horizontal="center" vertical="center"/>
      <protection hidden="1"/>
    </xf>
    <xf numFmtId="2" fontId="3" fillId="0" borderId="48" xfId="0" applyNumberFormat="1" applyFont="1" applyFill="1" applyBorder="1" applyAlignment="1" applyProtection="1">
      <protection hidden="1"/>
    </xf>
    <xf numFmtId="164" fontId="3" fillId="6" borderId="13" xfId="0" applyNumberFormat="1" applyFont="1" applyFill="1" applyBorder="1" applyAlignment="1" applyProtection="1">
      <alignment horizontal="center" vertical="center"/>
      <protection hidden="1"/>
    </xf>
    <xf numFmtId="2" fontId="3" fillId="0" borderId="17" xfId="0" applyNumberFormat="1" applyFont="1" applyFill="1" applyBorder="1" applyAlignment="1" applyProtection="1">
      <protection hidden="1"/>
    </xf>
    <xf numFmtId="164" fontId="3" fillId="4" borderId="12" xfId="0" applyNumberFormat="1" applyFont="1" applyFill="1" applyBorder="1" applyProtection="1">
      <protection hidden="1"/>
    </xf>
    <xf numFmtId="164" fontId="3" fillId="4" borderId="0" xfId="0" applyNumberFormat="1" applyFont="1" applyFill="1" applyBorder="1" applyProtection="1">
      <protection hidden="1"/>
    </xf>
    <xf numFmtId="0" fontId="5" fillId="0" borderId="11" xfId="0" applyFont="1" applyBorder="1" applyAlignment="1" applyProtection="1">
      <alignment horizontal="center" vertical="center"/>
      <protection hidden="1"/>
    </xf>
    <xf numFmtId="0" fontId="5" fillId="0" borderId="10" xfId="0" applyFont="1" applyBorder="1" applyAlignment="1" applyProtection="1">
      <alignment horizontal="center" vertical="center"/>
      <protection hidden="1"/>
    </xf>
    <xf numFmtId="164" fontId="3" fillId="4" borderId="4" xfId="0" applyNumberFormat="1" applyFont="1" applyFill="1" applyBorder="1" applyAlignment="1" applyProtection="1">
      <alignment horizontal="center" vertical="center"/>
      <protection hidden="1"/>
    </xf>
    <xf numFmtId="0" fontId="3" fillId="0" borderId="17" xfId="0" applyFont="1" applyFill="1" applyBorder="1" applyAlignment="1" applyProtection="1">
      <protection hidden="1"/>
    </xf>
    <xf numFmtId="0" fontId="3" fillId="4" borderId="12" xfId="0" applyFont="1" applyFill="1" applyBorder="1" applyProtection="1">
      <protection hidden="1"/>
    </xf>
    <xf numFmtId="0" fontId="5" fillId="0" borderId="9" xfId="0" applyFont="1" applyBorder="1" applyAlignment="1" applyProtection="1">
      <alignment horizontal="right"/>
      <protection hidden="1"/>
    </xf>
    <xf numFmtId="164" fontId="5" fillId="0" borderId="8" xfId="0" applyNumberFormat="1" applyFont="1" applyBorder="1" applyProtection="1">
      <protection hidden="1"/>
    </xf>
    <xf numFmtId="164" fontId="3" fillId="0" borderId="7" xfId="0" applyNumberFormat="1" applyFont="1" applyBorder="1" applyAlignment="1" applyProtection="1">
      <alignment horizontal="right"/>
      <protection hidden="1"/>
    </xf>
    <xf numFmtId="0" fontId="3" fillId="4" borderId="0" xfId="0" applyFont="1" applyFill="1" applyBorder="1" applyProtection="1">
      <protection hidden="1"/>
    </xf>
    <xf numFmtId="0" fontId="3" fillId="4" borderId="4" xfId="0" applyFont="1" applyFill="1" applyBorder="1" applyAlignment="1" applyProtection="1">
      <alignment horizontal="center" vertical="center"/>
      <protection hidden="1"/>
    </xf>
    <xf numFmtId="0" fontId="3" fillId="0" borderId="51" xfId="0" applyFont="1" applyBorder="1" applyProtection="1">
      <protection hidden="1"/>
    </xf>
    <xf numFmtId="0" fontId="5" fillId="0" borderId="5" xfId="0" applyFont="1" applyBorder="1" applyAlignment="1" applyProtection="1">
      <alignment horizontal="right"/>
      <protection hidden="1"/>
    </xf>
    <xf numFmtId="164" fontId="4" fillId="0" borderId="5" xfId="0" applyNumberFormat="1" applyFont="1" applyBorder="1" applyAlignment="1" applyProtection="1">
      <alignment horizontal="center" vertical="center"/>
      <protection hidden="1"/>
    </xf>
    <xf numFmtId="0" fontId="3" fillId="0" borderId="5" xfId="0" applyFont="1" applyBorder="1" applyProtection="1">
      <protection hidden="1"/>
    </xf>
    <xf numFmtId="0" fontId="3" fillId="4" borderId="5" xfId="0" applyFont="1" applyFill="1" applyBorder="1" applyProtection="1">
      <protection hidden="1"/>
    </xf>
    <xf numFmtId="0" fontId="3" fillId="4" borderId="3" xfId="0" applyFont="1" applyFill="1" applyBorder="1" applyProtection="1">
      <protection hidden="1"/>
    </xf>
    <xf numFmtId="0" fontId="3" fillId="0" borderId="12" xfId="0" applyFont="1" applyBorder="1" applyProtection="1">
      <protection hidden="1"/>
    </xf>
    <xf numFmtId="0" fontId="5" fillId="0" borderId="0" xfId="0" applyFont="1" applyBorder="1" applyAlignment="1" applyProtection="1">
      <alignment horizontal="right"/>
      <protection hidden="1"/>
    </xf>
    <xf numFmtId="0" fontId="3" fillId="0" borderId="0" xfId="0" applyFont="1" applyBorder="1" applyProtection="1">
      <protection hidden="1"/>
    </xf>
    <xf numFmtId="164" fontId="4" fillId="0" borderId="0" xfId="0" applyNumberFormat="1" applyFont="1" applyBorder="1" applyAlignment="1" applyProtection="1">
      <alignment horizontal="center" vertical="center"/>
      <protection hidden="1"/>
    </xf>
    <xf numFmtId="0" fontId="3" fillId="0" borderId="49" xfId="0" applyFont="1" applyFill="1" applyBorder="1" applyAlignment="1" applyProtection="1">
      <protection hidden="1"/>
    </xf>
    <xf numFmtId="0" fontId="3" fillId="0" borderId="50" xfId="0" applyFont="1" applyBorder="1" applyProtection="1">
      <protection hidden="1"/>
    </xf>
    <xf numFmtId="0" fontId="3" fillId="0" borderId="2" xfId="0" applyFont="1" applyBorder="1" applyProtection="1">
      <protection hidden="1"/>
    </xf>
    <xf numFmtId="0" fontId="3" fillId="0" borderId="2" xfId="0" applyFont="1" applyBorder="1" applyAlignment="1" applyProtection="1">
      <alignment horizontal="center" vertical="center"/>
      <protection hidden="1"/>
    </xf>
    <xf numFmtId="0" fontId="3" fillId="4" borderId="2" xfId="0" applyFont="1" applyFill="1" applyBorder="1" applyProtection="1">
      <protection hidden="1"/>
    </xf>
    <xf numFmtId="0" fontId="3" fillId="4" borderId="1" xfId="0" applyFont="1" applyFill="1" applyBorder="1" applyProtection="1">
      <protection hidden="1"/>
    </xf>
    <xf numFmtId="0" fontId="3" fillId="0" borderId="0" xfId="0" applyFont="1" applyAlignment="1" applyProtection="1">
      <alignment horizontal="center" vertical="center"/>
      <protection hidden="1"/>
    </xf>
    <xf numFmtId="10" fontId="3" fillId="3" borderId="0" xfId="0" applyNumberFormat="1" applyFont="1" applyFill="1" applyProtection="1">
      <protection hidden="1"/>
    </xf>
    <xf numFmtId="9" fontId="3" fillId="0" borderId="0" xfId="0" applyNumberFormat="1" applyFont="1" applyFill="1" applyProtection="1">
      <protection hidden="1"/>
    </xf>
    <xf numFmtId="0" fontId="5" fillId="0" borderId="0" xfId="0" applyFont="1" applyAlignment="1" applyProtection="1">
      <alignment horizontal="center" vertical="center"/>
      <protection hidden="1"/>
    </xf>
    <xf numFmtId="9" fontId="5" fillId="0" borderId="15" xfId="0" applyNumberFormat="1" applyFont="1" applyBorder="1" applyAlignment="1" applyProtection="1">
      <alignment horizontal="center" vertical="center"/>
      <protection hidden="1"/>
    </xf>
    <xf numFmtId="165" fontId="5" fillId="0" borderId="15" xfId="0" applyNumberFormat="1" applyFont="1" applyBorder="1" applyAlignment="1" applyProtection="1">
      <alignment horizontal="center" vertical="center"/>
      <protection hidden="1"/>
    </xf>
    <xf numFmtId="0" fontId="3" fillId="3" borderId="0" xfId="0" applyFont="1" applyFill="1" applyAlignment="1" applyProtection="1">
      <alignment horizontal="right"/>
      <protection hidden="1"/>
    </xf>
    <xf numFmtId="0" fontId="5" fillId="0" borderId="0" xfId="0" applyFont="1" applyAlignment="1" applyProtection="1">
      <alignment horizontal="center"/>
      <protection hidden="1"/>
    </xf>
    <xf numFmtId="0" fontId="3" fillId="0" borderId="0" xfId="0" applyFont="1" applyAlignment="1" applyProtection="1">
      <alignment horizontal="center"/>
      <protection hidden="1"/>
    </xf>
    <xf numFmtId="9" fontId="3" fillId="0" borderId="0" xfId="0" applyNumberFormat="1" applyFont="1" applyProtection="1">
      <protection hidden="1"/>
    </xf>
    <xf numFmtId="166" fontId="5" fillId="0" borderId="15" xfId="1" applyNumberFormat="1" applyFont="1" applyBorder="1" applyAlignment="1" applyProtection="1">
      <alignment horizontal="center"/>
      <protection hidden="1"/>
    </xf>
    <xf numFmtId="165" fontId="3" fillId="0" borderId="0" xfId="0" applyNumberFormat="1" applyFont="1" applyBorder="1" applyAlignment="1" applyProtection="1">
      <alignment horizontal="center" vertical="center"/>
      <protection hidden="1"/>
    </xf>
    <xf numFmtId="9" fontId="5" fillId="0" borderId="0" xfId="0" applyNumberFormat="1" applyFont="1" applyBorder="1" applyAlignment="1" applyProtection="1">
      <alignment horizontal="center" vertical="center"/>
      <protection hidden="1"/>
    </xf>
    <xf numFmtId="167" fontId="5" fillId="0" borderId="15" xfId="0" applyNumberFormat="1" applyFont="1" applyBorder="1" applyAlignment="1" applyProtection="1">
      <alignment horizontal="center"/>
      <protection hidden="1"/>
    </xf>
    <xf numFmtId="167" fontId="5" fillId="0" borderId="15" xfId="0" applyNumberFormat="1" applyFont="1" applyBorder="1" applyProtection="1">
      <protection hidden="1"/>
    </xf>
    <xf numFmtId="0" fontId="2" fillId="0" borderId="36" xfId="0" applyFont="1" applyBorder="1" applyAlignment="1" applyProtection="1">
      <alignment horizontal="center"/>
      <protection hidden="1"/>
    </xf>
    <xf numFmtId="0" fontId="2" fillId="0" borderId="35" xfId="0" applyFont="1" applyBorder="1" applyProtection="1">
      <protection hidden="1"/>
    </xf>
    <xf numFmtId="0" fontId="2" fillId="0" borderId="0" xfId="0" applyFont="1" applyBorder="1" applyAlignment="1" applyProtection="1">
      <protection hidden="1"/>
    </xf>
    <xf numFmtId="0" fontId="0" fillId="0" borderId="0" xfId="0" applyBorder="1" applyAlignment="1" applyProtection="1">
      <alignment horizontal="center"/>
      <protection hidden="1"/>
    </xf>
    <xf numFmtId="0" fontId="2" fillId="0" borderId="0" xfId="0" applyFont="1" applyBorder="1" applyAlignment="1" applyProtection="1">
      <alignment vertical="top"/>
      <protection hidden="1"/>
    </xf>
    <xf numFmtId="9" fontId="2" fillId="0" borderId="30" xfId="0" applyNumberFormat="1" applyFont="1" applyBorder="1" applyProtection="1">
      <protection hidden="1"/>
    </xf>
    <xf numFmtId="0" fontId="0" fillId="0" borderId="16" xfId="0" applyBorder="1" applyProtection="1">
      <protection hidden="1"/>
    </xf>
    <xf numFmtId="0" fontId="0" fillId="0" borderId="37" xfId="0" applyBorder="1" applyProtection="1">
      <protection hidden="1"/>
    </xf>
    <xf numFmtId="9" fontId="2" fillId="0" borderId="41" xfId="0" applyNumberFormat="1" applyFont="1" applyBorder="1" applyProtection="1">
      <protection hidden="1"/>
    </xf>
    <xf numFmtId="9" fontId="2" fillId="0" borderId="0" xfId="0" applyNumberFormat="1" applyFont="1" applyBorder="1" applyProtection="1">
      <protection hidden="1"/>
    </xf>
    <xf numFmtId="0" fontId="0" fillId="0" borderId="0" xfId="0" applyBorder="1" applyProtection="1">
      <protection hidden="1"/>
    </xf>
    <xf numFmtId="0" fontId="0" fillId="0" borderId="0" xfId="0" applyBorder="1" applyAlignment="1" applyProtection="1">
      <alignment horizontal="center" vertical="top"/>
      <protection hidden="1"/>
    </xf>
    <xf numFmtId="9" fontId="2" fillId="0" borderId="40" xfId="0" applyNumberFormat="1" applyFont="1" applyBorder="1" applyProtection="1">
      <protection hidden="1"/>
    </xf>
    <xf numFmtId="0" fontId="0" fillId="0" borderId="38" xfId="0" applyBorder="1" applyProtection="1">
      <protection hidden="1"/>
    </xf>
    <xf numFmtId="9" fontId="2" fillId="0" borderId="39" xfId="0" applyNumberFormat="1" applyFont="1" applyBorder="1" applyProtection="1">
      <protection hidden="1"/>
    </xf>
    <xf numFmtId="0" fontId="2" fillId="0" borderId="31" xfId="0" applyFont="1" applyBorder="1" applyAlignment="1" applyProtection="1">
      <alignment horizontal="center"/>
      <protection hidden="1"/>
    </xf>
    <xf numFmtId="0" fontId="2" fillId="0" borderId="32" xfId="0" applyFont="1" applyBorder="1" applyProtection="1">
      <protection hidden="1"/>
    </xf>
    <xf numFmtId="0" fontId="0" fillId="0" borderId="14" xfId="0" applyBorder="1" applyProtection="1">
      <protection hidden="1"/>
    </xf>
    <xf numFmtId="0" fontId="0" fillId="0" borderId="27" xfId="0" applyBorder="1" applyProtection="1">
      <protection hidden="1"/>
    </xf>
    <xf numFmtId="9" fontId="2" fillId="0" borderId="29" xfId="0" applyNumberFormat="1" applyFont="1" applyBorder="1" applyProtection="1">
      <protection hidden="1"/>
    </xf>
    <xf numFmtId="0" fontId="0" fillId="0" borderId="28" xfId="0" applyBorder="1" applyProtection="1">
      <protection hidden="1"/>
    </xf>
    <xf numFmtId="9" fontId="2" fillId="0" borderId="25" xfId="0" applyNumberFormat="1" applyFont="1" applyBorder="1" applyProtection="1">
      <protection hidden="1"/>
    </xf>
    <xf numFmtId="0" fontId="0" fillId="0" borderId="24" xfId="0" applyBorder="1" applyProtection="1">
      <protection hidden="1"/>
    </xf>
    <xf numFmtId="0" fontId="0" fillId="0" borderId="21" xfId="0" applyBorder="1" applyProtection="1">
      <protection hidden="1"/>
    </xf>
    <xf numFmtId="9" fontId="2" fillId="0" borderId="23" xfId="0" applyNumberFormat="1" applyFont="1" applyBorder="1" applyProtection="1">
      <protection hidden="1"/>
    </xf>
    <xf numFmtId="0" fontId="0" fillId="0" borderId="22" xfId="0" applyBorder="1" applyProtection="1">
      <protection hidden="1"/>
    </xf>
    <xf numFmtId="0" fontId="3" fillId="3" borderId="0" xfId="0" applyFont="1" applyFill="1" applyAlignment="1" applyProtection="1">
      <alignment vertical="top"/>
      <protection hidden="1"/>
    </xf>
    <xf numFmtId="164" fontId="3" fillId="0" borderId="20" xfId="0" applyNumberFormat="1" applyFont="1" applyBorder="1" applyProtection="1">
      <protection locked="0" hidden="1"/>
    </xf>
    <xf numFmtId="164" fontId="3" fillId="0" borderId="10" xfId="0" applyNumberFormat="1" applyFont="1" applyBorder="1" applyProtection="1">
      <protection locked="0" hidden="1"/>
    </xf>
    <xf numFmtId="164" fontId="3" fillId="0" borderId="18" xfId="0" applyNumberFormat="1" applyFont="1" applyBorder="1" applyProtection="1">
      <protection locked="0" hidden="1"/>
    </xf>
    <xf numFmtId="164" fontId="3" fillId="0" borderId="19" xfId="0" applyNumberFormat="1" applyFont="1" applyBorder="1" applyProtection="1">
      <protection locked="0" hidden="1"/>
    </xf>
    <xf numFmtId="164" fontId="14" fillId="6" borderId="0" xfId="0" applyNumberFormat="1" applyFont="1" applyFill="1" applyBorder="1" applyProtection="1">
      <protection locked="0" hidden="1"/>
    </xf>
    <xf numFmtId="0" fontId="3" fillId="0" borderId="0" xfId="0" applyFont="1" applyProtection="1">
      <protection locked="0" hidden="1"/>
    </xf>
    <xf numFmtId="0" fontId="3" fillId="0" borderId="55" xfId="0" applyFont="1" applyBorder="1" applyAlignment="1" applyProtection="1">
      <protection locked="0" hidden="1"/>
    </xf>
    <xf numFmtId="10" fontId="3" fillId="0" borderId="5" xfId="0" applyNumberFormat="1" applyFont="1" applyFill="1" applyBorder="1" applyProtection="1">
      <protection locked="0" hidden="1"/>
    </xf>
    <xf numFmtId="0" fontId="2" fillId="0" borderId="5" xfId="0" applyFont="1" applyBorder="1" applyProtection="1">
      <protection locked="0" hidden="1"/>
    </xf>
    <xf numFmtId="0" fontId="3" fillId="0" borderId="4" xfId="0" applyFont="1" applyBorder="1" applyAlignment="1" applyProtection="1">
      <protection locked="0" hidden="1"/>
    </xf>
    <xf numFmtId="10" fontId="3" fillId="0" borderId="0" xfId="0" applyNumberFormat="1" applyFont="1" applyFill="1" applyBorder="1" applyProtection="1">
      <protection locked="0" hidden="1"/>
    </xf>
    <xf numFmtId="9" fontId="2" fillId="0" borderId="0" xfId="0" applyNumberFormat="1" applyFont="1" applyBorder="1" applyProtection="1">
      <protection locked="0" hidden="1"/>
    </xf>
    <xf numFmtId="0" fontId="0" fillId="0" borderId="3" xfId="0" applyBorder="1" applyProtection="1">
      <protection locked="0" hidden="1"/>
    </xf>
    <xf numFmtId="0" fontId="3" fillId="0" borderId="0" xfId="0" applyFont="1" applyFill="1" applyBorder="1" applyProtection="1">
      <protection locked="0" hidden="1"/>
    </xf>
    <xf numFmtId="0" fontId="2" fillId="0" borderId="0" xfId="0" applyFont="1" applyBorder="1" applyProtection="1">
      <protection locked="0" hidden="1"/>
    </xf>
    <xf numFmtId="0" fontId="3" fillId="0" borderId="57" xfId="0" applyFont="1" applyBorder="1" applyAlignment="1" applyProtection="1">
      <protection locked="0" hidden="1"/>
    </xf>
    <xf numFmtId="0" fontId="3" fillId="0" borderId="2" xfId="0" applyFont="1" applyFill="1" applyBorder="1" applyProtection="1">
      <protection locked="0" hidden="1"/>
    </xf>
    <xf numFmtId="9" fontId="2" fillId="0" borderId="2" xfId="0" applyNumberFormat="1" applyFont="1" applyBorder="1" applyProtection="1">
      <protection locked="0" hidden="1"/>
    </xf>
    <xf numFmtId="0" fontId="0" fillId="0" borderId="1" xfId="0" applyBorder="1" applyProtection="1">
      <protection locked="0" hidden="1"/>
    </xf>
    <xf numFmtId="0" fontId="2" fillId="0" borderId="36" xfId="0" applyFont="1" applyBorder="1" applyProtection="1">
      <protection locked="0" hidden="1"/>
    </xf>
    <xf numFmtId="167" fontId="11" fillId="0" borderId="15" xfId="0" applyNumberFormat="1" applyFont="1" applyBorder="1" applyAlignment="1" applyProtection="1">
      <alignment horizontal="center"/>
      <protection locked="0" hidden="1"/>
    </xf>
    <xf numFmtId="166" fontId="11" fillId="0" borderId="15" xfId="1" applyNumberFormat="1" applyFont="1" applyBorder="1" applyAlignment="1" applyProtection="1">
      <alignment horizontal="center"/>
      <protection locked="0" hidden="1"/>
    </xf>
    <xf numFmtId="167" fontId="11" fillId="0" borderId="15" xfId="0" applyNumberFormat="1" applyFont="1" applyBorder="1" applyProtection="1">
      <protection locked="0" hidden="1"/>
    </xf>
    <xf numFmtId="165" fontId="11" fillId="0" borderId="15" xfId="0" applyNumberFormat="1" applyFont="1" applyBorder="1" applyAlignment="1" applyProtection="1">
      <alignment horizontal="center" vertical="center"/>
      <protection locked="0" hidden="1"/>
    </xf>
    <xf numFmtId="164" fontId="13" fillId="0" borderId="15" xfId="0" applyNumberFormat="1" applyFont="1" applyBorder="1" applyAlignment="1" applyProtection="1">
      <alignment horizontal="center" vertical="center"/>
      <protection locked="0" hidden="1"/>
    </xf>
    <xf numFmtId="164" fontId="16" fillId="0" borderId="15" xfId="0" applyNumberFormat="1" applyFont="1" applyFill="1" applyBorder="1" applyAlignment="1" applyProtection="1">
      <alignment horizontal="center" vertical="center"/>
      <protection locked="0" hidden="1"/>
    </xf>
    <xf numFmtId="164" fontId="12" fillId="0" borderId="6" xfId="0" applyNumberFormat="1" applyFont="1" applyBorder="1" applyAlignment="1" applyProtection="1">
      <alignment horizontal="center" vertical="center"/>
      <protection locked="0" hidden="1"/>
    </xf>
    <xf numFmtId="9" fontId="18" fillId="5" borderId="0" xfId="0" applyNumberFormat="1" applyFont="1" applyFill="1" applyBorder="1" applyProtection="1">
      <protection hidden="1"/>
    </xf>
    <xf numFmtId="9" fontId="18" fillId="6" borderId="0" xfId="0" applyNumberFormat="1" applyFont="1" applyFill="1" applyBorder="1" applyProtection="1">
      <protection hidden="1"/>
    </xf>
    <xf numFmtId="0" fontId="3" fillId="3" borderId="17" xfId="0" applyFont="1" applyFill="1" applyBorder="1" applyAlignment="1" applyProtection="1">
      <alignment horizontal="center"/>
      <protection hidden="1"/>
    </xf>
    <xf numFmtId="0" fontId="3" fillId="3" borderId="49" xfId="0" applyFont="1" applyFill="1" applyBorder="1" applyAlignment="1" applyProtection="1">
      <alignment horizontal="center"/>
      <protection hidden="1"/>
    </xf>
    <xf numFmtId="0" fontId="0" fillId="0" borderId="31" xfId="0" applyBorder="1" applyAlignment="1" applyProtection="1">
      <alignment horizontal="center" vertical="center"/>
      <protection hidden="1"/>
    </xf>
    <xf numFmtId="0" fontId="0" fillId="0" borderId="26" xfId="0" applyBorder="1" applyAlignment="1" applyProtection="1">
      <alignment horizontal="center" vertical="center"/>
      <protection hidden="1"/>
    </xf>
    <xf numFmtId="0" fontId="18" fillId="0" borderId="0" xfId="0" applyFont="1" applyAlignment="1">
      <alignment horizontal="left" vertical="top" wrapText="1"/>
    </xf>
    <xf numFmtId="0" fontId="18" fillId="0" borderId="0" xfId="0" applyFont="1" applyAlignment="1">
      <alignment horizontal="left" vertical="top"/>
    </xf>
    <xf numFmtId="0" fontId="0" fillId="0" borderId="0" xfId="0" applyBorder="1" applyAlignment="1" applyProtection="1">
      <alignment horizontal="center" vertical="center"/>
      <protection locked="0" hidden="1"/>
    </xf>
    <xf numFmtId="0" fontId="0" fillId="0" borderId="2" xfId="0" applyBorder="1" applyAlignment="1" applyProtection="1">
      <alignment horizontal="center" vertical="center"/>
      <protection locked="0" hidden="1"/>
    </xf>
    <xf numFmtId="0" fontId="2" fillId="0" borderId="5" xfId="0" applyFont="1" applyBorder="1" applyAlignment="1" applyProtection="1">
      <alignment horizontal="center"/>
      <protection locked="0" hidden="1"/>
    </xf>
    <xf numFmtId="0" fontId="2" fillId="0" borderId="56" xfId="0" applyFont="1" applyBorder="1" applyAlignment="1" applyProtection="1">
      <alignment horizontal="center"/>
      <protection locked="0" hidden="1"/>
    </xf>
    <xf numFmtId="0" fontId="2" fillId="0" borderId="0" xfId="0" applyFont="1" applyBorder="1" applyAlignment="1" applyProtection="1">
      <alignment horizontal="center"/>
      <protection hidden="1"/>
    </xf>
    <xf numFmtId="0" fontId="2" fillId="0" borderId="0" xfId="0" applyFont="1" applyBorder="1" applyAlignment="1" applyProtection="1">
      <alignment horizontal="center"/>
      <protection locked="0" hidden="1"/>
    </xf>
    <xf numFmtId="0" fontId="2" fillId="0" borderId="3" xfId="0" applyFont="1" applyBorder="1" applyAlignment="1" applyProtection="1">
      <alignment horizontal="center"/>
      <protection locked="0" hidden="1"/>
    </xf>
    <xf numFmtId="0" fontId="2" fillId="0" borderId="43" xfId="0" applyFont="1" applyBorder="1" applyAlignment="1" applyProtection="1">
      <alignment horizontal="center"/>
      <protection hidden="1"/>
    </xf>
    <xf numFmtId="0" fontId="2" fillId="0" borderId="42" xfId="0" applyFont="1" applyBorder="1" applyAlignment="1" applyProtection="1">
      <alignment horizontal="center"/>
      <protection hidden="1"/>
    </xf>
    <xf numFmtId="0" fontId="2" fillId="0" borderId="5" xfId="0" applyFont="1" applyBorder="1" applyAlignment="1" applyProtection="1">
      <alignment horizontal="center"/>
      <protection hidden="1"/>
    </xf>
    <xf numFmtId="0" fontId="10" fillId="0" borderId="35" xfId="0" applyFont="1" applyBorder="1" applyAlignment="1" applyProtection="1">
      <alignment horizontal="center" wrapText="1"/>
      <protection hidden="1"/>
    </xf>
    <xf numFmtId="0" fontId="5" fillId="0" borderId="46" xfId="0" applyFont="1" applyBorder="1" applyAlignment="1" applyProtection="1">
      <alignment horizontal="center" wrapText="1"/>
      <protection hidden="1"/>
    </xf>
    <xf numFmtId="0" fontId="5" fillId="0" borderId="45" xfId="0" applyFont="1" applyBorder="1" applyAlignment="1" applyProtection="1">
      <alignment horizontal="center" wrapText="1"/>
      <protection hidden="1"/>
    </xf>
    <xf numFmtId="0" fontId="2" fillId="0" borderId="34" xfId="0" applyFont="1" applyBorder="1" applyAlignment="1" applyProtection="1">
      <alignment horizontal="center"/>
      <protection hidden="1"/>
    </xf>
    <xf numFmtId="0" fontId="2" fillId="0" borderId="33" xfId="0" applyFont="1" applyBorder="1" applyAlignment="1" applyProtection="1">
      <alignment horizontal="center"/>
      <protection hidden="1"/>
    </xf>
    <xf numFmtId="0" fontId="3" fillId="0" borderId="0" xfId="0" applyFont="1" applyFill="1" applyAlignment="1" applyProtection="1">
      <alignment horizontal="left" vertical="top" wrapText="1"/>
      <protection locked="0" hidden="1"/>
    </xf>
    <xf numFmtId="0" fontId="3" fillId="0" borderId="0" xfId="0" applyFont="1" applyFill="1" applyAlignment="1" applyProtection="1">
      <alignment horizontal="left" vertical="top"/>
      <protection locked="0" hidden="1"/>
    </xf>
    <xf numFmtId="9" fontId="5" fillId="0" borderId="5" xfId="0" applyNumberFormat="1" applyFont="1" applyBorder="1" applyProtection="1">
      <protection locked="0" hidden="1"/>
    </xf>
  </cellXfs>
  <cellStyles count="50548">
    <cellStyle name="20% - Accent5 2" xfId="2"/>
    <cellStyle name="Komma 10" xfId="3"/>
    <cellStyle name="Komma 10 2" xfId="4"/>
    <cellStyle name="Komma 10 2 2" xfId="5"/>
    <cellStyle name="Komma 10 3" xfId="6"/>
    <cellStyle name="Komma 11" xfId="7"/>
    <cellStyle name="Komma 11 2" xfId="8"/>
    <cellStyle name="Komma 12" xfId="9"/>
    <cellStyle name="Komma 13" xfId="10"/>
    <cellStyle name="Komma 2" xfId="11"/>
    <cellStyle name="Komma 2 10" xfId="12"/>
    <cellStyle name="Komma 2 10 2" xfId="13"/>
    <cellStyle name="Komma 2 10 2 2" xfId="14"/>
    <cellStyle name="Komma 2 10 3" xfId="15"/>
    <cellStyle name="Komma 2 11" xfId="16"/>
    <cellStyle name="Komma 2 11 2" xfId="17"/>
    <cellStyle name="Komma 2 12" xfId="18"/>
    <cellStyle name="Komma 2 13" xfId="19"/>
    <cellStyle name="Komma 2 2" xfId="20"/>
    <cellStyle name="Komma 2 2 10" xfId="21"/>
    <cellStyle name="Komma 2 2 10 2" xfId="22"/>
    <cellStyle name="Komma 2 2 11" xfId="23"/>
    <cellStyle name="Komma 2 2 12" xfId="24"/>
    <cellStyle name="Komma 2 2 2" xfId="25"/>
    <cellStyle name="Komma 2 2 2 10" xfId="26"/>
    <cellStyle name="Komma 2 2 2 11" xfId="27"/>
    <cellStyle name="Komma 2 2 2 12" xfId="28"/>
    <cellStyle name="Komma 2 2 2 2" xfId="29"/>
    <cellStyle name="Komma 2 2 2 2 2" xfId="30"/>
    <cellStyle name="Komma 2 2 2 2 2 2" xfId="31"/>
    <cellStyle name="Komma 2 2 2 2 2 2 2" xfId="32"/>
    <cellStyle name="Komma 2 2 2 2 2 2 2 2" xfId="33"/>
    <cellStyle name="Komma 2 2 2 2 2 2 2 2 2" xfId="34"/>
    <cellStyle name="Komma 2 2 2 2 2 2 2 2 2 2" xfId="35"/>
    <cellStyle name="Komma 2 2 2 2 2 2 2 2 2 2 2" xfId="36"/>
    <cellStyle name="Komma 2 2 2 2 2 2 2 2 2 3" xfId="37"/>
    <cellStyle name="Komma 2 2 2 2 2 2 2 2 3" xfId="38"/>
    <cellStyle name="Komma 2 2 2 2 2 2 2 2 3 2" xfId="39"/>
    <cellStyle name="Komma 2 2 2 2 2 2 2 2 4" xfId="40"/>
    <cellStyle name="Komma 2 2 2 2 2 2 2 3" xfId="41"/>
    <cellStyle name="Komma 2 2 2 2 2 2 2 3 2" xfId="42"/>
    <cellStyle name="Komma 2 2 2 2 2 2 2 3 2 2" xfId="43"/>
    <cellStyle name="Komma 2 2 2 2 2 2 2 3 3" xfId="44"/>
    <cellStyle name="Komma 2 2 2 2 2 2 2 4" xfId="45"/>
    <cellStyle name="Komma 2 2 2 2 2 2 2 4 2" xfId="46"/>
    <cellStyle name="Komma 2 2 2 2 2 2 2 5" xfId="47"/>
    <cellStyle name="Komma 2 2 2 2 2 2 2 6" xfId="48"/>
    <cellStyle name="Komma 2 2 2 2 2 2 3" xfId="49"/>
    <cellStyle name="Komma 2 2 2 2 2 2 3 2" xfId="50"/>
    <cellStyle name="Komma 2 2 2 2 2 2 3 2 2" xfId="51"/>
    <cellStyle name="Komma 2 2 2 2 2 2 3 2 2 2" xfId="52"/>
    <cellStyle name="Komma 2 2 2 2 2 2 3 2 3" xfId="53"/>
    <cellStyle name="Komma 2 2 2 2 2 2 3 3" xfId="54"/>
    <cellStyle name="Komma 2 2 2 2 2 2 3 3 2" xfId="55"/>
    <cellStyle name="Komma 2 2 2 2 2 2 3 4" xfId="56"/>
    <cellStyle name="Komma 2 2 2 2 2 2 4" xfId="57"/>
    <cellStyle name="Komma 2 2 2 2 2 2 4 2" xfId="58"/>
    <cellStyle name="Komma 2 2 2 2 2 2 4 2 2" xfId="59"/>
    <cellStyle name="Komma 2 2 2 2 2 2 4 3" xfId="60"/>
    <cellStyle name="Komma 2 2 2 2 2 2 5" xfId="61"/>
    <cellStyle name="Komma 2 2 2 2 2 2 5 2" xfId="62"/>
    <cellStyle name="Komma 2 2 2 2 2 2 6" xfId="63"/>
    <cellStyle name="Komma 2 2 2 2 2 2 7" xfId="64"/>
    <cellStyle name="Komma 2 2 2 2 2 3" xfId="65"/>
    <cellStyle name="Komma 2 2 2 2 2 3 2" xfId="66"/>
    <cellStyle name="Komma 2 2 2 2 2 3 2 2" xfId="67"/>
    <cellStyle name="Komma 2 2 2 2 2 3 2 2 2" xfId="68"/>
    <cellStyle name="Komma 2 2 2 2 2 3 2 2 2 2" xfId="69"/>
    <cellStyle name="Komma 2 2 2 2 2 3 2 2 3" xfId="70"/>
    <cellStyle name="Komma 2 2 2 2 2 3 2 3" xfId="71"/>
    <cellStyle name="Komma 2 2 2 2 2 3 2 3 2" xfId="72"/>
    <cellStyle name="Komma 2 2 2 2 2 3 2 4" xfId="73"/>
    <cellStyle name="Komma 2 2 2 2 2 3 3" xfId="74"/>
    <cellStyle name="Komma 2 2 2 2 2 3 3 2" xfId="75"/>
    <cellStyle name="Komma 2 2 2 2 2 3 3 2 2" xfId="76"/>
    <cellStyle name="Komma 2 2 2 2 2 3 3 3" xfId="77"/>
    <cellStyle name="Komma 2 2 2 2 2 3 4" xfId="78"/>
    <cellStyle name="Komma 2 2 2 2 2 3 4 2" xfId="79"/>
    <cellStyle name="Komma 2 2 2 2 2 3 5" xfId="80"/>
    <cellStyle name="Komma 2 2 2 2 2 3 6" xfId="81"/>
    <cellStyle name="Komma 2 2 2 2 2 4" xfId="82"/>
    <cellStyle name="Komma 2 2 2 2 2 4 2" xfId="83"/>
    <cellStyle name="Komma 2 2 2 2 2 4 2 2" xfId="84"/>
    <cellStyle name="Komma 2 2 2 2 2 4 2 2 2" xfId="85"/>
    <cellStyle name="Komma 2 2 2 2 2 4 2 3" xfId="86"/>
    <cellStyle name="Komma 2 2 2 2 2 4 3" xfId="87"/>
    <cellStyle name="Komma 2 2 2 2 2 4 3 2" xfId="88"/>
    <cellStyle name="Komma 2 2 2 2 2 4 4" xfId="89"/>
    <cellStyle name="Komma 2 2 2 2 2 5" xfId="90"/>
    <cellStyle name="Komma 2 2 2 2 2 5 2" xfId="91"/>
    <cellStyle name="Komma 2 2 2 2 2 5 2 2" xfId="92"/>
    <cellStyle name="Komma 2 2 2 2 2 5 3" xfId="93"/>
    <cellStyle name="Komma 2 2 2 2 2 6" xfId="94"/>
    <cellStyle name="Komma 2 2 2 2 2 6 2" xfId="95"/>
    <cellStyle name="Komma 2 2 2 2 2 7" xfId="96"/>
    <cellStyle name="Komma 2 2 2 2 2 8" xfId="97"/>
    <cellStyle name="Komma 2 2 2 2 3" xfId="98"/>
    <cellStyle name="Komma 2 2 2 2 3 2" xfId="99"/>
    <cellStyle name="Komma 2 2 2 2 3 2 2" xfId="100"/>
    <cellStyle name="Komma 2 2 2 2 3 2 2 2" xfId="101"/>
    <cellStyle name="Komma 2 2 2 2 3 2 2 2 2" xfId="102"/>
    <cellStyle name="Komma 2 2 2 2 3 2 2 2 2 2" xfId="103"/>
    <cellStyle name="Komma 2 2 2 2 3 2 2 2 3" xfId="104"/>
    <cellStyle name="Komma 2 2 2 2 3 2 2 3" xfId="105"/>
    <cellStyle name="Komma 2 2 2 2 3 2 2 3 2" xfId="106"/>
    <cellStyle name="Komma 2 2 2 2 3 2 2 4" xfId="107"/>
    <cellStyle name="Komma 2 2 2 2 3 2 3" xfId="108"/>
    <cellStyle name="Komma 2 2 2 2 3 2 3 2" xfId="109"/>
    <cellStyle name="Komma 2 2 2 2 3 2 3 2 2" xfId="110"/>
    <cellStyle name="Komma 2 2 2 2 3 2 3 3" xfId="111"/>
    <cellStyle name="Komma 2 2 2 2 3 2 4" xfId="112"/>
    <cellStyle name="Komma 2 2 2 2 3 2 4 2" xfId="113"/>
    <cellStyle name="Komma 2 2 2 2 3 2 5" xfId="114"/>
    <cellStyle name="Komma 2 2 2 2 3 2 6" xfId="115"/>
    <cellStyle name="Komma 2 2 2 2 3 3" xfId="116"/>
    <cellStyle name="Komma 2 2 2 2 3 3 2" xfId="117"/>
    <cellStyle name="Komma 2 2 2 2 3 3 2 2" xfId="118"/>
    <cellStyle name="Komma 2 2 2 2 3 3 2 2 2" xfId="119"/>
    <cellStyle name="Komma 2 2 2 2 3 3 2 3" xfId="120"/>
    <cellStyle name="Komma 2 2 2 2 3 3 3" xfId="121"/>
    <cellStyle name="Komma 2 2 2 2 3 3 3 2" xfId="122"/>
    <cellStyle name="Komma 2 2 2 2 3 3 4" xfId="123"/>
    <cellStyle name="Komma 2 2 2 2 3 4" xfId="124"/>
    <cellStyle name="Komma 2 2 2 2 3 4 2" xfId="125"/>
    <cellStyle name="Komma 2 2 2 2 3 4 2 2" xfId="126"/>
    <cellStyle name="Komma 2 2 2 2 3 4 3" xfId="127"/>
    <cellStyle name="Komma 2 2 2 2 3 5" xfId="128"/>
    <cellStyle name="Komma 2 2 2 2 3 5 2" xfId="129"/>
    <cellStyle name="Komma 2 2 2 2 3 6" xfId="130"/>
    <cellStyle name="Komma 2 2 2 2 3 7" xfId="131"/>
    <cellStyle name="Komma 2 2 2 2 4" xfId="132"/>
    <cellStyle name="Komma 2 2 2 2 4 2" xfId="133"/>
    <cellStyle name="Komma 2 2 2 2 4 2 2" xfId="134"/>
    <cellStyle name="Komma 2 2 2 2 4 2 2 2" xfId="135"/>
    <cellStyle name="Komma 2 2 2 2 4 2 2 2 2" xfId="136"/>
    <cellStyle name="Komma 2 2 2 2 4 2 2 3" xfId="137"/>
    <cellStyle name="Komma 2 2 2 2 4 2 3" xfId="138"/>
    <cellStyle name="Komma 2 2 2 2 4 2 3 2" xfId="139"/>
    <cellStyle name="Komma 2 2 2 2 4 2 4" xfId="140"/>
    <cellStyle name="Komma 2 2 2 2 4 3" xfId="141"/>
    <cellStyle name="Komma 2 2 2 2 4 3 2" xfId="142"/>
    <cellStyle name="Komma 2 2 2 2 4 3 2 2" xfId="143"/>
    <cellStyle name="Komma 2 2 2 2 4 3 3" xfId="144"/>
    <cellStyle name="Komma 2 2 2 2 4 4" xfId="145"/>
    <cellStyle name="Komma 2 2 2 2 4 4 2" xfId="146"/>
    <cellStyle name="Komma 2 2 2 2 4 5" xfId="147"/>
    <cellStyle name="Komma 2 2 2 2 4 6" xfId="148"/>
    <cellStyle name="Komma 2 2 2 2 5" xfId="149"/>
    <cellStyle name="Komma 2 2 2 2 5 2" xfId="150"/>
    <cellStyle name="Komma 2 2 2 2 5 2 2" xfId="151"/>
    <cellStyle name="Komma 2 2 2 2 5 2 2 2" xfId="152"/>
    <cellStyle name="Komma 2 2 2 2 5 2 3" xfId="153"/>
    <cellStyle name="Komma 2 2 2 2 5 3" xfId="154"/>
    <cellStyle name="Komma 2 2 2 2 5 3 2" xfId="155"/>
    <cellStyle name="Komma 2 2 2 2 5 4" xfId="156"/>
    <cellStyle name="Komma 2 2 2 2 6" xfId="157"/>
    <cellStyle name="Komma 2 2 2 2 6 2" xfId="158"/>
    <cellStyle name="Komma 2 2 2 2 6 2 2" xfId="159"/>
    <cellStyle name="Komma 2 2 2 2 6 3" xfId="160"/>
    <cellStyle name="Komma 2 2 2 2 7" xfId="161"/>
    <cellStyle name="Komma 2 2 2 2 7 2" xfId="162"/>
    <cellStyle name="Komma 2 2 2 2 8" xfId="163"/>
    <cellStyle name="Komma 2 2 2 2 9" xfId="164"/>
    <cellStyle name="Komma 2 2 2 3" xfId="165"/>
    <cellStyle name="Komma 2 2 2 3 2" xfId="166"/>
    <cellStyle name="Komma 2 2 2 3 2 2" xfId="167"/>
    <cellStyle name="Komma 2 2 2 3 2 2 2" xfId="168"/>
    <cellStyle name="Komma 2 2 2 3 2 2 2 2" xfId="169"/>
    <cellStyle name="Komma 2 2 2 3 2 2 2 2 2" xfId="170"/>
    <cellStyle name="Komma 2 2 2 3 2 2 2 2 2 2" xfId="171"/>
    <cellStyle name="Komma 2 2 2 3 2 2 2 2 3" xfId="172"/>
    <cellStyle name="Komma 2 2 2 3 2 2 2 3" xfId="173"/>
    <cellStyle name="Komma 2 2 2 3 2 2 2 3 2" xfId="174"/>
    <cellStyle name="Komma 2 2 2 3 2 2 2 4" xfId="175"/>
    <cellStyle name="Komma 2 2 2 3 2 2 3" xfId="176"/>
    <cellStyle name="Komma 2 2 2 3 2 2 3 2" xfId="177"/>
    <cellStyle name="Komma 2 2 2 3 2 2 3 2 2" xfId="178"/>
    <cellStyle name="Komma 2 2 2 3 2 2 3 3" xfId="179"/>
    <cellStyle name="Komma 2 2 2 3 2 2 4" xfId="180"/>
    <cellStyle name="Komma 2 2 2 3 2 2 4 2" xfId="181"/>
    <cellStyle name="Komma 2 2 2 3 2 2 5" xfId="182"/>
    <cellStyle name="Komma 2 2 2 3 2 2 6" xfId="183"/>
    <cellStyle name="Komma 2 2 2 3 2 3" xfId="184"/>
    <cellStyle name="Komma 2 2 2 3 2 3 2" xfId="185"/>
    <cellStyle name="Komma 2 2 2 3 2 3 2 2" xfId="186"/>
    <cellStyle name="Komma 2 2 2 3 2 3 2 2 2" xfId="187"/>
    <cellStyle name="Komma 2 2 2 3 2 3 2 3" xfId="188"/>
    <cellStyle name="Komma 2 2 2 3 2 3 3" xfId="189"/>
    <cellStyle name="Komma 2 2 2 3 2 3 3 2" xfId="190"/>
    <cellStyle name="Komma 2 2 2 3 2 3 4" xfId="191"/>
    <cellStyle name="Komma 2 2 2 3 2 4" xfId="192"/>
    <cellStyle name="Komma 2 2 2 3 2 4 2" xfId="193"/>
    <cellStyle name="Komma 2 2 2 3 2 4 2 2" xfId="194"/>
    <cellStyle name="Komma 2 2 2 3 2 4 3" xfId="195"/>
    <cellStyle name="Komma 2 2 2 3 2 5" xfId="196"/>
    <cellStyle name="Komma 2 2 2 3 2 5 2" xfId="197"/>
    <cellStyle name="Komma 2 2 2 3 2 6" xfId="198"/>
    <cellStyle name="Komma 2 2 2 3 2 7" xfId="199"/>
    <cellStyle name="Komma 2 2 2 3 3" xfId="200"/>
    <cellStyle name="Komma 2 2 2 3 3 2" xfId="201"/>
    <cellStyle name="Komma 2 2 2 3 3 2 2" xfId="202"/>
    <cellStyle name="Komma 2 2 2 3 3 2 2 2" xfId="203"/>
    <cellStyle name="Komma 2 2 2 3 3 2 2 2 2" xfId="204"/>
    <cellStyle name="Komma 2 2 2 3 3 2 2 3" xfId="205"/>
    <cellStyle name="Komma 2 2 2 3 3 2 3" xfId="206"/>
    <cellStyle name="Komma 2 2 2 3 3 2 3 2" xfId="207"/>
    <cellStyle name="Komma 2 2 2 3 3 2 4" xfId="208"/>
    <cellStyle name="Komma 2 2 2 3 3 3" xfId="209"/>
    <cellStyle name="Komma 2 2 2 3 3 3 2" xfId="210"/>
    <cellStyle name="Komma 2 2 2 3 3 3 2 2" xfId="211"/>
    <cellStyle name="Komma 2 2 2 3 3 3 3" xfId="212"/>
    <cellStyle name="Komma 2 2 2 3 3 4" xfId="213"/>
    <cellStyle name="Komma 2 2 2 3 3 4 2" xfId="214"/>
    <cellStyle name="Komma 2 2 2 3 3 5" xfId="215"/>
    <cellStyle name="Komma 2 2 2 3 3 6" xfId="216"/>
    <cellStyle name="Komma 2 2 2 3 4" xfId="217"/>
    <cellStyle name="Komma 2 2 2 3 4 2" xfId="218"/>
    <cellStyle name="Komma 2 2 2 3 4 2 2" xfId="219"/>
    <cellStyle name="Komma 2 2 2 3 4 2 2 2" xfId="220"/>
    <cellStyle name="Komma 2 2 2 3 4 2 3" xfId="221"/>
    <cellStyle name="Komma 2 2 2 3 4 3" xfId="222"/>
    <cellStyle name="Komma 2 2 2 3 4 3 2" xfId="223"/>
    <cellStyle name="Komma 2 2 2 3 4 4" xfId="224"/>
    <cellStyle name="Komma 2 2 2 3 5" xfId="225"/>
    <cellStyle name="Komma 2 2 2 3 5 2" xfId="226"/>
    <cellStyle name="Komma 2 2 2 3 5 2 2" xfId="227"/>
    <cellStyle name="Komma 2 2 2 3 5 3" xfId="228"/>
    <cellStyle name="Komma 2 2 2 3 6" xfId="229"/>
    <cellStyle name="Komma 2 2 2 3 6 2" xfId="230"/>
    <cellStyle name="Komma 2 2 2 3 7" xfId="231"/>
    <cellStyle name="Komma 2 2 2 3 8" xfId="232"/>
    <cellStyle name="Komma 2 2 2 4" xfId="233"/>
    <cellStyle name="Komma 2 2 2 4 2" xfId="234"/>
    <cellStyle name="Komma 2 2 2 4 2 2" xfId="235"/>
    <cellStyle name="Komma 2 2 2 4 2 2 2" xfId="236"/>
    <cellStyle name="Komma 2 2 2 4 2 2 2 2" xfId="237"/>
    <cellStyle name="Komma 2 2 2 4 2 2 2 2 2" xfId="238"/>
    <cellStyle name="Komma 2 2 2 4 2 2 2 2 2 2" xfId="239"/>
    <cellStyle name="Komma 2 2 2 4 2 2 2 2 3" xfId="240"/>
    <cellStyle name="Komma 2 2 2 4 2 2 2 3" xfId="241"/>
    <cellStyle name="Komma 2 2 2 4 2 2 2 3 2" xfId="242"/>
    <cellStyle name="Komma 2 2 2 4 2 2 2 4" xfId="243"/>
    <cellStyle name="Komma 2 2 2 4 2 2 3" xfId="244"/>
    <cellStyle name="Komma 2 2 2 4 2 2 3 2" xfId="245"/>
    <cellStyle name="Komma 2 2 2 4 2 2 3 2 2" xfId="246"/>
    <cellStyle name="Komma 2 2 2 4 2 2 3 3" xfId="247"/>
    <cellStyle name="Komma 2 2 2 4 2 2 4" xfId="248"/>
    <cellStyle name="Komma 2 2 2 4 2 2 4 2" xfId="249"/>
    <cellStyle name="Komma 2 2 2 4 2 2 5" xfId="250"/>
    <cellStyle name="Komma 2 2 2 4 2 2 6" xfId="251"/>
    <cellStyle name="Komma 2 2 2 4 2 3" xfId="252"/>
    <cellStyle name="Komma 2 2 2 4 2 3 2" xfId="253"/>
    <cellStyle name="Komma 2 2 2 4 2 3 2 2" xfId="254"/>
    <cellStyle name="Komma 2 2 2 4 2 3 2 2 2" xfId="255"/>
    <cellStyle name="Komma 2 2 2 4 2 3 2 3" xfId="256"/>
    <cellStyle name="Komma 2 2 2 4 2 3 3" xfId="257"/>
    <cellStyle name="Komma 2 2 2 4 2 3 3 2" xfId="258"/>
    <cellStyle name="Komma 2 2 2 4 2 3 4" xfId="259"/>
    <cellStyle name="Komma 2 2 2 4 2 4" xfId="260"/>
    <cellStyle name="Komma 2 2 2 4 2 4 2" xfId="261"/>
    <cellStyle name="Komma 2 2 2 4 2 4 2 2" xfId="262"/>
    <cellStyle name="Komma 2 2 2 4 2 4 3" xfId="263"/>
    <cellStyle name="Komma 2 2 2 4 2 5" xfId="264"/>
    <cellStyle name="Komma 2 2 2 4 2 5 2" xfId="265"/>
    <cellStyle name="Komma 2 2 2 4 2 6" xfId="266"/>
    <cellStyle name="Komma 2 2 2 4 2 7" xfId="267"/>
    <cellStyle name="Komma 2 2 2 4 3" xfId="268"/>
    <cellStyle name="Komma 2 2 2 4 3 2" xfId="269"/>
    <cellStyle name="Komma 2 2 2 4 3 2 2" xfId="270"/>
    <cellStyle name="Komma 2 2 2 4 3 2 2 2" xfId="271"/>
    <cellStyle name="Komma 2 2 2 4 3 2 2 2 2" xfId="272"/>
    <cellStyle name="Komma 2 2 2 4 3 2 2 3" xfId="273"/>
    <cellStyle name="Komma 2 2 2 4 3 2 3" xfId="274"/>
    <cellStyle name="Komma 2 2 2 4 3 2 3 2" xfId="275"/>
    <cellStyle name="Komma 2 2 2 4 3 2 4" xfId="276"/>
    <cellStyle name="Komma 2 2 2 4 3 3" xfId="277"/>
    <cellStyle name="Komma 2 2 2 4 3 3 2" xfId="278"/>
    <cellStyle name="Komma 2 2 2 4 3 3 2 2" xfId="279"/>
    <cellStyle name="Komma 2 2 2 4 3 3 3" xfId="280"/>
    <cellStyle name="Komma 2 2 2 4 3 4" xfId="281"/>
    <cellStyle name="Komma 2 2 2 4 3 4 2" xfId="282"/>
    <cellStyle name="Komma 2 2 2 4 3 5" xfId="283"/>
    <cellStyle name="Komma 2 2 2 4 3 6" xfId="284"/>
    <cellStyle name="Komma 2 2 2 4 4" xfId="285"/>
    <cellStyle name="Komma 2 2 2 4 4 2" xfId="286"/>
    <cellStyle name="Komma 2 2 2 4 4 2 2" xfId="287"/>
    <cellStyle name="Komma 2 2 2 4 4 2 2 2" xfId="288"/>
    <cellStyle name="Komma 2 2 2 4 4 2 3" xfId="289"/>
    <cellStyle name="Komma 2 2 2 4 4 3" xfId="290"/>
    <cellStyle name="Komma 2 2 2 4 4 3 2" xfId="291"/>
    <cellStyle name="Komma 2 2 2 4 4 4" xfId="292"/>
    <cellStyle name="Komma 2 2 2 4 5" xfId="293"/>
    <cellStyle name="Komma 2 2 2 4 5 2" xfId="294"/>
    <cellStyle name="Komma 2 2 2 4 5 2 2" xfId="295"/>
    <cellStyle name="Komma 2 2 2 4 5 3" xfId="296"/>
    <cellStyle name="Komma 2 2 2 4 6" xfId="297"/>
    <cellStyle name="Komma 2 2 2 4 6 2" xfId="298"/>
    <cellStyle name="Komma 2 2 2 4 7" xfId="299"/>
    <cellStyle name="Komma 2 2 2 4 8" xfId="300"/>
    <cellStyle name="Komma 2 2 2 5" xfId="301"/>
    <cellStyle name="Komma 2 2 2 5 2" xfId="302"/>
    <cellStyle name="Komma 2 2 2 5 2 2" xfId="303"/>
    <cellStyle name="Komma 2 2 2 5 2 2 2" xfId="304"/>
    <cellStyle name="Komma 2 2 2 5 2 2 2 2" xfId="305"/>
    <cellStyle name="Komma 2 2 2 5 2 2 2 2 2" xfId="306"/>
    <cellStyle name="Komma 2 2 2 5 2 2 2 3" xfId="307"/>
    <cellStyle name="Komma 2 2 2 5 2 2 3" xfId="308"/>
    <cellStyle name="Komma 2 2 2 5 2 2 3 2" xfId="309"/>
    <cellStyle name="Komma 2 2 2 5 2 2 4" xfId="310"/>
    <cellStyle name="Komma 2 2 2 5 2 3" xfId="311"/>
    <cellStyle name="Komma 2 2 2 5 2 3 2" xfId="312"/>
    <cellStyle name="Komma 2 2 2 5 2 3 2 2" xfId="313"/>
    <cellStyle name="Komma 2 2 2 5 2 3 3" xfId="314"/>
    <cellStyle name="Komma 2 2 2 5 2 4" xfId="315"/>
    <cellStyle name="Komma 2 2 2 5 2 4 2" xfId="316"/>
    <cellStyle name="Komma 2 2 2 5 2 5" xfId="317"/>
    <cellStyle name="Komma 2 2 2 5 2 6" xfId="318"/>
    <cellStyle name="Komma 2 2 2 5 3" xfId="319"/>
    <cellStyle name="Komma 2 2 2 5 3 2" xfId="320"/>
    <cellStyle name="Komma 2 2 2 5 3 2 2" xfId="321"/>
    <cellStyle name="Komma 2 2 2 5 3 2 2 2" xfId="322"/>
    <cellStyle name="Komma 2 2 2 5 3 2 3" xfId="323"/>
    <cellStyle name="Komma 2 2 2 5 3 3" xfId="324"/>
    <cellStyle name="Komma 2 2 2 5 3 3 2" xfId="325"/>
    <cellStyle name="Komma 2 2 2 5 3 4" xfId="326"/>
    <cellStyle name="Komma 2 2 2 5 4" xfId="327"/>
    <cellStyle name="Komma 2 2 2 5 4 2" xfId="328"/>
    <cellStyle name="Komma 2 2 2 5 4 2 2" xfId="329"/>
    <cellStyle name="Komma 2 2 2 5 4 3" xfId="330"/>
    <cellStyle name="Komma 2 2 2 5 5" xfId="331"/>
    <cellStyle name="Komma 2 2 2 5 5 2" xfId="332"/>
    <cellStyle name="Komma 2 2 2 5 6" xfId="333"/>
    <cellStyle name="Komma 2 2 2 5 7" xfId="334"/>
    <cellStyle name="Komma 2 2 2 6" xfId="335"/>
    <cellStyle name="Komma 2 2 2 6 2" xfId="336"/>
    <cellStyle name="Komma 2 2 2 6 2 2" xfId="337"/>
    <cellStyle name="Komma 2 2 2 6 2 2 2" xfId="338"/>
    <cellStyle name="Komma 2 2 2 6 2 2 2 2" xfId="339"/>
    <cellStyle name="Komma 2 2 2 6 2 2 3" xfId="340"/>
    <cellStyle name="Komma 2 2 2 6 2 3" xfId="341"/>
    <cellStyle name="Komma 2 2 2 6 2 3 2" xfId="342"/>
    <cellStyle name="Komma 2 2 2 6 2 4" xfId="343"/>
    <cellStyle name="Komma 2 2 2 6 3" xfId="344"/>
    <cellStyle name="Komma 2 2 2 6 3 2" xfId="345"/>
    <cellStyle name="Komma 2 2 2 6 3 2 2" xfId="346"/>
    <cellStyle name="Komma 2 2 2 6 3 3" xfId="347"/>
    <cellStyle name="Komma 2 2 2 6 4" xfId="348"/>
    <cellStyle name="Komma 2 2 2 6 4 2" xfId="349"/>
    <cellStyle name="Komma 2 2 2 6 5" xfId="350"/>
    <cellStyle name="Komma 2 2 2 6 6" xfId="351"/>
    <cellStyle name="Komma 2 2 2 7" xfId="352"/>
    <cellStyle name="Komma 2 2 2 7 2" xfId="353"/>
    <cellStyle name="Komma 2 2 2 7 2 2" xfId="354"/>
    <cellStyle name="Komma 2 2 2 7 2 2 2" xfId="355"/>
    <cellStyle name="Komma 2 2 2 7 2 3" xfId="356"/>
    <cellStyle name="Komma 2 2 2 7 3" xfId="357"/>
    <cellStyle name="Komma 2 2 2 7 3 2" xfId="358"/>
    <cellStyle name="Komma 2 2 2 7 4" xfId="359"/>
    <cellStyle name="Komma 2 2 2 8" xfId="360"/>
    <cellStyle name="Komma 2 2 2 8 2" xfId="361"/>
    <cellStyle name="Komma 2 2 2 8 2 2" xfId="362"/>
    <cellStyle name="Komma 2 2 2 8 3" xfId="363"/>
    <cellStyle name="Komma 2 2 2 9" xfId="364"/>
    <cellStyle name="Komma 2 2 2 9 2" xfId="365"/>
    <cellStyle name="Komma 2 2 3" xfId="366"/>
    <cellStyle name="Komma 2 2 3 2" xfId="367"/>
    <cellStyle name="Komma 2 2 3 2 2" xfId="368"/>
    <cellStyle name="Komma 2 2 3 2 2 2" xfId="369"/>
    <cellStyle name="Komma 2 2 3 2 2 2 2" xfId="370"/>
    <cellStyle name="Komma 2 2 3 2 2 2 2 2" xfId="371"/>
    <cellStyle name="Komma 2 2 3 2 2 2 2 2 2" xfId="372"/>
    <cellStyle name="Komma 2 2 3 2 2 2 2 2 2 2" xfId="373"/>
    <cellStyle name="Komma 2 2 3 2 2 2 2 2 3" xfId="374"/>
    <cellStyle name="Komma 2 2 3 2 2 2 2 3" xfId="375"/>
    <cellStyle name="Komma 2 2 3 2 2 2 2 3 2" xfId="376"/>
    <cellStyle name="Komma 2 2 3 2 2 2 2 4" xfId="377"/>
    <cellStyle name="Komma 2 2 3 2 2 2 3" xfId="378"/>
    <cellStyle name="Komma 2 2 3 2 2 2 3 2" xfId="379"/>
    <cellStyle name="Komma 2 2 3 2 2 2 3 2 2" xfId="380"/>
    <cellStyle name="Komma 2 2 3 2 2 2 3 3" xfId="381"/>
    <cellStyle name="Komma 2 2 3 2 2 2 4" xfId="382"/>
    <cellStyle name="Komma 2 2 3 2 2 2 4 2" xfId="383"/>
    <cellStyle name="Komma 2 2 3 2 2 2 5" xfId="384"/>
    <cellStyle name="Komma 2 2 3 2 2 2 6" xfId="385"/>
    <cellStyle name="Komma 2 2 3 2 2 3" xfId="386"/>
    <cellStyle name="Komma 2 2 3 2 2 3 2" xfId="387"/>
    <cellStyle name="Komma 2 2 3 2 2 3 2 2" xfId="388"/>
    <cellStyle name="Komma 2 2 3 2 2 3 2 2 2" xfId="389"/>
    <cellStyle name="Komma 2 2 3 2 2 3 2 3" xfId="390"/>
    <cellStyle name="Komma 2 2 3 2 2 3 3" xfId="391"/>
    <cellStyle name="Komma 2 2 3 2 2 3 3 2" xfId="392"/>
    <cellStyle name="Komma 2 2 3 2 2 3 4" xfId="393"/>
    <cellStyle name="Komma 2 2 3 2 2 4" xfId="394"/>
    <cellStyle name="Komma 2 2 3 2 2 4 2" xfId="395"/>
    <cellStyle name="Komma 2 2 3 2 2 4 2 2" xfId="396"/>
    <cellStyle name="Komma 2 2 3 2 2 4 3" xfId="397"/>
    <cellStyle name="Komma 2 2 3 2 2 5" xfId="398"/>
    <cellStyle name="Komma 2 2 3 2 2 5 2" xfId="399"/>
    <cellStyle name="Komma 2 2 3 2 2 6" xfId="400"/>
    <cellStyle name="Komma 2 2 3 2 2 7" xfId="401"/>
    <cellStyle name="Komma 2 2 3 2 3" xfId="402"/>
    <cellStyle name="Komma 2 2 3 2 3 2" xfId="403"/>
    <cellStyle name="Komma 2 2 3 2 3 2 2" xfId="404"/>
    <cellStyle name="Komma 2 2 3 2 3 2 2 2" xfId="405"/>
    <cellStyle name="Komma 2 2 3 2 3 2 2 2 2" xfId="406"/>
    <cellStyle name="Komma 2 2 3 2 3 2 2 3" xfId="407"/>
    <cellStyle name="Komma 2 2 3 2 3 2 3" xfId="408"/>
    <cellStyle name="Komma 2 2 3 2 3 2 3 2" xfId="409"/>
    <cellStyle name="Komma 2 2 3 2 3 2 4" xfId="410"/>
    <cellStyle name="Komma 2 2 3 2 3 3" xfId="411"/>
    <cellStyle name="Komma 2 2 3 2 3 3 2" xfId="412"/>
    <cellStyle name="Komma 2 2 3 2 3 3 2 2" xfId="413"/>
    <cellStyle name="Komma 2 2 3 2 3 3 3" xfId="414"/>
    <cellStyle name="Komma 2 2 3 2 3 4" xfId="415"/>
    <cellStyle name="Komma 2 2 3 2 3 4 2" xfId="416"/>
    <cellStyle name="Komma 2 2 3 2 3 5" xfId="417"/>
    <cellStyle name="Komma 2 2 3 2 3 6" xfId="418"/>
    <cellStyle name="Komma 2 2 3 2 4" xfId="419"/>
    <cellStyle name="Komma 2 2 3 2 4 2" xfId="420"/>
    <cellStyle name="Komma 2 2 3 2 4 2 2" xfId="421"/>
    <cellStyle name="Komma 2 2 3 2 4 2 2 2" xfId="422"/>
    <cellStyle name="Komma 2 2 3 2 4 2 3" xfId="423"/>
    <cellStyle name="Komma 2 2 3 2 4 3" xfId="424"/>
    <cellStyle name="Komma 2 2 3 2 4 3 2" xfId="425"/>
    <cellStyle name="Komma 2 2 3 2 4 4" xfId="426"/>
    <cellStyle name="Komma 2 2 3 2 5" xfId="427"/>
    <cellStyle name="Komma 2 2 3 2 5 2" xfId="428"/>
    <cellStyle name="Komma 2 2 3 2 5 2 2" xfId="429"/>
    <cellStyle name="Komma 2 2 3 2 5 3" xfId="430"/>
    <cellStyle name="Komma 2 2 3 2 6" xfId="431"/>
    <cellStyle name="Komma 2 2 3 2 6 2" xfId="432"/>
    <cellStyle name="Komma 2 2 3 2 7" xfId="433"/>
    <cellStyle name="Komma 2 2 3 2 8" xfId="434"/>
    <cellStyle name="Komma 2 2 3 3" xfId="435"/>
    <cellStyle name="Komma 2 2 3 3 2" xfId="436"/>
    <cellStyle name="Komma 2 2 3 3 2 2" xfId="437"/>
    <cellStyle name="Komma 2 2 3 3 2 2 2" xfId="438"/>
    <cellStyle name="Komma 2 2 3 3 2 2 2 2" xfId="439"/>
    <cellStyle name="Komma 2 2 3 3 2 2 2 2 2" xfId="440"/>
    <cellStyle name="Komma 2 2 3 3 2 2 2 3" xfId="441"/>
    <cellStyle name="Komma 2 2 3 3 2 2 3" xfId="442"/>
    <cellStyle name="Komma 2 2 3 3 2 2 3 2" xfId="443"/>
    <cellStyle name="Komma 2 2 3 3 2 2 4" xfId="444"/>
    <cellStyle name="Komma 2 2 3 3 2 3" xfId="445"/>
    <cellStyle name="Komma 2 2 3 3 2 3 2" xfId="446"/>
    <cellStyle name="Komma 2 2 3 3 2 3 2 2" xfId="447"/>
    <cellStyle name="Komma 2 2 3 3 2 3 3" xfId="448"/>
    <cellStyle name="Komma 2 2 3 3 2 4" xfId="449"/>
    <cellStyle name="Komma 2 2 3 3 2 4 2" xfId="450"/>
    <cellStyle name="Komma 2 2 3 3 2 5" xfId="451"/>
    <cellStyle name="Komma 2 2 3 3 2 6" xfId="452"/>
    <cellStyle name="Komma 2 2 3 3 3" xfId="453"/>
    <cellStyle name="Komma 2 2 3 3 3 2" xfId="454"/>
    <cellStyle name="Komma 2 2 3 3 3 2 2" xfId="455"/>
    <cellStyle name="Komma 2 2 3 3 3 2 2 2" xfId="456"/>
    <cellStyle name="Komma 2 2 3 3 3 2 3" xfId="457"/>
    <cellStyle name="Komma 2 2 3 3 3 3" xfId="458"/>
    <cellStyle name="Komma 2 2 3 3 3 3 2" xfId="459"/>
    <cellStyle name="Komma 2 2 3 3 3 4" xfId="460"/>
    <cellStyle name="Komma 2 2 3 3 4" xfId="461"/>
    <cellStyle name="Komma 2 2 3 3 4 2" xfId="462"/>
    <cellStyle name="Komma 2 2 3 3 4 2 2" xfId="463"/>
    <cellStyle name="Komma 2 2 3 3 4 3" xfId="464"/>
    <cellStyle name="Komma 2 2 3 3 5" xfId="465"/>
    <cellStyle name="Komma 2 2 3 3 5 2" xfId="466"/>
    <cellStyle name="Komma 2 2 3 3 6" xfId="467"/>
    <cellStyle name="Komma 2 2 3 3 7" xfId="468"/>
    <cellStyle name="Komma 2 2 3 4" xfId="469"/>
    <cellStyle name="Komma 2 2 3 4 2" xfId="470"/>
    <cellStyle name="Komma 2 2 3 4 2 2" xfId="471"/>
    <cellStyle name="Komma 2 2 3 4 2 2 2" xfId="472"/>
    <cellStyle name="Komma 2 2 3 4 2 2 2 2" xfId="473"/>
    <cellStyle name="Komma 2 2 3 4 2 2 3" xfId="474"/>
    <cellStyle name="Komma 2 2 3 4 2 3" xfId="475"/>
    <cellStyle name="Komma 2 2 3 4 2 3 2" xfId="476"/>
    <cellStyle name="Komma 2 2 3 4 2 4" xfId="477"/>
    <cellStyle name="Komma 2 2 3 4 3" xfId="478"/>
    <cellStyle name="Komma 2 2 3 4 3 2" xfId="479"/>
    <cellStyle name="Komma 2 2 3 4 3 2 2" xfId="480"/>
    <cellStyle name="Komma 2 2 3 4 3 3" xfId="481"/>
    <cellStyle name="Komma 2 2 3 4 4" xfId="482"/>
    <cellStyle name="Komma 2 2 3 4 4 2" xfId="483"/>
    <cellStyle name="Komma 2 2 3 4 5" xfId="484"/>
    <cellStyle name="Komma 2 2 3 4 6" xfId="485"/>
    <cellStyle name="Komma 2 2 3 5" xfId="486"/>
    <cellStyle name="Komma 2 2 3 5 2" xfId="487"/>
    <cellStyle name="Komma 2 2 3 5 2 2" xfId="488"/>
    <cellStyle name="Komma 2 2 3 5 2 2 2" xfId="489"/>
    <cellStyle name="Komma 2 2 3 5 2 3" xfId="490"/>
    <cellStyle name="Komma 2 2 3 5 3" xfId="491"/>
    <cellStyle name="Komma 2 2 3 5 3 2" xfId="492"/>
    <cellStyle name="Komma 2 2 3 5 4" xfId="493"/>
    <cellStyle name="Komma 2 2 3 6" xfId="494"/>
    <cellStyle name="Komma 2 2 3 6 2" xfId="495"/>
    <cellStyle name="Komma 2 2 3 6 2 2" xfId="496"/>
    <cellStyle name="Komma 2 2 3 6 3" xfId="497"/>
    <cellStyle name="Komma 2 2 3 7" xfId="498"/>
    <cellStyle name="Komma 2 2 3 7 2" xfId="499"/>
    <cellStyle name="Komma 2 2 3 8" xfId="500"/>
    <cellStyle name="Komma 2 2 3 9" xfId="501"/>
    <cellStyle name="Komma 2 2 4" xfId="502"/>
    <cellStyle name="Komma 2 2 4 2" xfId="503"/>
    <cellStyle name="Komma 2 2 4 2 2" xfId="504"/>
    <cellStyle name="Komma 2 2 4 2 2 2" xfId="505"/>
    <cellStyle name="Komma 2 2 4 2 2 2 2" xfId="506"/>
    <cellStyle name="Komma 2 2 4 2 2 2 2 2" xfId="507"/>
    <cellStyle name="Komma 2 2 4 2 2 2 2 2 2" xfId="508"/>
    <cellStyle name="Komma 2 2 4 2 2 2 2 3" xfId="509"/>
    <cellStyle name="Komma 2 2 4 2 2 2 3" xfId="510"/>
    <cellStyle name="Komma 2 2 4 2 2 2 3 2" xfId="511"/>
    <cellStyle name="Komma 2 2 4 2 2 2 4" xfId="512"/>
    <cellStyle name="Komma 2 2 4 2 2 3" xfId="513"/>
    <cellStyle name="Komma 2 2 4 2 2 3 2" xfId="514"/>
    <cellStyle name="Komma 2 2 4 2 2 3 2 2" xfId="515"/>
    <cellStyle name="Komma 2 2 4 2 2 3 3" xfId="516"/>
    <cellStyle name="Komma 2 2 4 2 2 4" xfId="517"/>
    <cellStyle name="Komma 2 2 4 2 2 4 2" xfId="518"/>
    <cellStyle name="Komma 2 2 4 2 2 5" xfId="519"/>
    <cellStyle name="Komma 2 2 4 2 2 6" xfId="520"/>
    <cellStyle name="Komma 2 2 4 2 3" xfId="521"/>
    <cellStyle name="Komma 2 2 4 2 3 2" xfId="522"/>
    <cellStyle name="Komma 2 2 4 2 3 2 2" xfId="523"/>
    <cellStyle name="Komma 2 2 4 2 3 2 2 2" xfId="524"/>
    <cellStyle name="Komma 2 2 4 2 3 2 3" xfId="525"/>
    <cellStyle name="Komma 2 2 4 2 3 3" xfId="526"/>
    <cellStyle name="Komma 2 2 4 2 3 3 2" xfId="527"/>
    <cellStyle name="Komma 2 2 4 2 3 4" xfId="528"/>
    <cellStyle name="Komma 2 2 4 2 4" xfId="529"/>
    <cellStyle name="Komma 2 2 4 2 4 2" xfId="530"/>
    <cellStyle name="Komma 2 2 4 2 4 2 2" xfId="531"/>
    <cellStyle name="Komma 2 2 4 2 4 3" xfId="532"/>
    <cellStyle name="Komma 2 2 4 2 5" xfId="533"/>
    <cellStyle name="Komma 2 2 4 2 5 2" xfId="534"/>
    <cellStyle name="Komma 2 2 4 2 6" xfId="535"/>
    <cellStyle name="Komma 2 2 4 2 7" xfId="536"/>
    <cellStyle name="Komma 2 2 4 3" xfId="537"/>
    <cellStyle name="Komma 2 2 4 3 2" xfId="538"/>
    <cellStyle name="Komma 2 2 4 3 2 2" xfId="539"/>
    <cellStyle name="Komma 2 2 4 3 2 2 2" xfId="540"/>
    <cellStyle name="Komma 2 2 4 3 2 2 2 2" xfId="541"/>
    <cellStyle name="Komma 2 2 4 3 2 2 3" xfId="542"/>
    <cellStyle name="Komma 2 2 4 3 2 3" xfId="543"/>
    <cellStyle name="Komma 2 2 4 3 2 3 2" xfId="544"/>
    <cellStyle name="Komma 2 2 4 3 2 4" xfId="545"/>
    <cellStyle name="Komma 2 2 4 3 3" xfId="546"/>
    <cellStyle name="Komma 2 2 4 3 3 2" xfId="547"/>
    <cellStyle name="Komma 2 2 4 3 3 2 2" xfId="548"/>
    <cellStyle name="Komma 2 2 4 3 3 3" xfId="549"/>
    <cellStyle name="Komma 2 2 4 3 4" xfId="550"/>
    <cellStyle name="Komma 2 2 4 3 4 2" xfId="551"/>
    <cellStyle name="Komma 2 2 4 3 5" xfId="552"/>
    <cellStyle name="Komma 2 2 4 3 6" xfId="553"/>
    <cellStyle name="Komma 2 2 4 4" xfId="554"/>
    <cellStyle name="Komma 2 2 4 4 2" xfId="555"/>
    <cellStyle name="Komma 2 2 4 4 2 2" xfId="556"/>
    <cellStyle name="Komma 2 2 4 4 2 2 2" xfId="557"/>
    <cellStyle name="Komma 2 2 4 4 2 3" xfId="558"/>
    <cellStyle name="Komma 2 2 4 4 3" xfId="559"/>
    <cellStyle name="Komma 2 2 4 4 3 2" xfId="560"/>
    <cellStyle name="Komma 2 2 4 4 4" xfId="561"/>
    <cellStyle name="Komma 2 2 4 5" xfId="562"/>
    <cellStyle name="Komma 2 2 4 5 2" xfId="563"/>
    <cellStyle name="Komma 2 2 4 5 2 2" xfId="564"/>
    <cellStyle name="Komma 2 2 4 5 3" xfId="565"/>
    <cellStyle name="Komma 2 2 4 6" xfId="566"/>
    <cellStyle name="Komma 2 2 4 6 2" xfId="567"/>
    <cellStyle name="Komma 2 2 4 7" xfId="568"/>
    <cellStyle name="Komma 2 2 4 8" xfId="569"/>
    <cellStyle name="Komma 2 2 5" xfId="570"/>
    <cellStyle name="Komma 2 2 5 2" xfId="571"/>
    <cellStyle name="Komma 2 2 5 2 2" xfId="572"/>
    <cellStyle name="Komma 2 2 5 2 2 2" xfId="573"/>
    <cellStyle name="Komma 2 2 5 2 2 2 2" xfId="574"/>
    <cellStyle name="Komma 2 2 5 2 2 2 2 2" xfId="575"/>
    <cellStyle name="Komma 2 2 5 2 2 2 2 2 2" xfId="576"/>
    <cellStyle name="Komma 2 2 5 2 2 2 2 3" xfId="577"/>
    <cellStyle name="Komma 2 2 5 2 2 2 3" xfId="578"/>
    <cellStyle name="Komma 2 2 5 2 2 2 3 2" xfId="579"/>
    <cellStyle name="Komma 2 2 5 2 2 2 4" xfId="580"/>
    <cellStyle name="Komma 2 2 5 2 2 3" xfId="581"/>
    <cellStyle name="Komma 2 2 5 2 2 3 2" xfId="582"/>
    <cellStyle name="Komma 2 2 5 2 2 3 2 2" xfId="583"/>
    <cellStyle name="Komma 2 2 5 2 2 3 3" xfId="584"/>
    <cellStyle name="Komma 2 2 5 2 2 4" xfId="585"/>
    <cellStyle name="Komma 2 2 5 2 2 4 2" xfId="586"/>
    <cellStyle name="Komma 2 2 5 2 2 5" xfId="587"/>
    <cellStyle name="Komma 2 2 5 2 2 6" xfId="588"/>
    <cellStyle name="Komma 2 2 5 2 3" xfId="589"/>
    <cellStyle name="Komma 2 2 5 2 3 2" xfId="590"/>
    <cellStyle name="Komma 2 2 5 2 3 2 2" xfId="591"/>
    <cellStyle name="Komma 2 2 5 2 3 2 2 2" xfId="592"/>
    <cellStyle name="Komma 2 2 5 2 3 2 3" xfId="593"/>
    <cellStyle name="Komma 2 2 5 2 3 3" xfId="594"/>
    <cellStyle name="Komma 2 2 5 2 3 3 2" xfId="595"/>
    <cellStyle name="Komma 2 2 5 2 3 4" xfId="596"/>
    <cellStyle name="Komma 2 2 5 2 4" xfId="597"/>
    <cellStyle name="Komma 2 2 5 2 4 2" xfId="598"/>
    <cellStyle name="Komma 2 2 5 2 4 2 2" xfId="599"/>
    <cellStyle name="Komma 2 2 5 2 4 3" xfId="600"/>
    <cellStyle name="Komma 2 2 5 2 5" xfId="601"/>
    <cellStyle name="Komma 2 2 5 2 5 2" xfId="602"/>
    <cellStyle name="Komma 2 2 5 2 6" xfId="603"/>
    <cellStyle name="Komma 2 2 5 2 7" xfId="604"/>
    <cellStyle name="Komma 2 2 5 3" xfId="605"/>
    <cellStyle name="Komma 2 2 5 3 2" xfId="606"/>
    <cellStyle name="Komma 2 2 5 3 2 2" xfId="607"/>
    <cellStyle name="Komma 2 2 5 3 2 2 2" xfId="608"/>
    <cellStyle name="Komma 2 2 5 3 2 2 2 2" xfId="609"/>
    <cellStyle name="Komma 2 2 5 3 2 2 3" xfId="610"/>
    <cellStyle name="Komma 2 2 5 3 2 3" xfId="611"/>
    <cellStyle name="Komma 2 2 5 3 2 3 2" xfId="612"/>
    <cellStyle name="Komma 2 2 5 3 2 4" xfId="613"/>
    <cellStyle name="Komma 2 2 5 3 3" xfId="614"/>
    <cellStyle name="Komma 2 2 5 3 3 2" xfId="615"/>
    <cellStyle name="Komma 2 2 5 3 3 2 2" xfId="616"/>
    <cellStyle name="Komma 2 2 5 3 3 3" xfId="617"/>
    <cellStyle name="Komma 2 2 5 3 4" xfId="618"/>
    <cellStyle name="Komma 2 2 5 3 4 2" xfId="619"/>
    <cellStyle name="Komma 2 2 5 3 5" xfId="620"/>
    <cellStyle name="Komma 2 2 5 3 6" xfId="621"/>
    <cellStyle name="Komma 2 2 5 4" xfId="622"/>
    <cellStyle name="Komma 2 2 5 4 2" xfId="623"/>
    <cellStyle name="Komma 2 2 5 4 2 2" xfId="624"/>
    <cellStyle name="Komma 2 2 5 4 2 2 2" xfId="625"/>
    <cellStyle name="Komma 2 2 5 4 2 3" xfId="626"/>
    <cellStyle name="Komma 2 2 5 4 3" xfId="627"/>
    <cellStyle name="Komma 2 2 5 4 3 2" xfId="628"/>
    <cellStyle name="Komma 2 2 5 4 4" xfId="629"/>
    <cellStyle name="Komma 2 2 5 5" xfId="630"/>
    <cellStyle name="Komma 2 2 5 5 2" xfId="631"/>
    <cellStyle name="Komma 2 2 5 5 2 2" xfId="632"/>
    <cellStyle name="Komma 2 2 5 5 3" xfId="633"/>
    <cellStyle name="Komma 2 2 5 6" xfId="634"/>
    <cellStyle name="Komma 2 2 5 6 2" xfId="635"/>
    <cellStyle name="Komma 2 2 5 7" xfId="636"/>
    <cellStyle name="Komma 2 2 5 8" xfId="637"/>
    <cellStyle name="Komma 2 2 6" xfId="638"/>
    <cellStyle name="Komma 2 2 6 2" xfId="639"/>
    <cellStyle name="Komma 2 2 6 2 2" xfId="640"/>
    <cellStyle name="Komma 2 2 6 2 2 2" xfId="641"/>
    <cellStyle name="Komma 2 2 6 2 2 2 2" xfId="642"/>
    <cellStyle name="Komma 2 2 6 2 2 2 2 2" xfId="643"/>
    <cellStyle name="Komma 2 2 6 2 2 2 3" xfId="644"/>
    <cellStyle name="Komma 2 2 6 2 2 3" xfId="645"/>
    <cellStyle name="Komma 2 2 6 2 2 3 2" xfId="646"/>
    <cellStyle name="Komma 2 2 6 2 2 4" xfId="647"/>
    <cellStyle name="Komma 2 2 6 2 3" xfId="648"/>
    <cellStyle name="Komma 2 2 6 2 3 2" xfId="649"/>
    <cellStyle name="Komma 2 2 6 2 3 2 2" xfId="650"/>
    <cellStyle name="Komma 2 2 6 2 3 3" xfId="651"/>
    <cellStyle name="Komma 2 2 6 2 4" xfId="652"/>
    <cellStyle name="Komma 2 2 6 2 4 2" xfId="653"/>
    <cellStyle name="Komma 2 2 6 2 5" xfId="654"/>
    <cellStyle name="Komma 2 2 6 2 6" xfId="655"/>
    <cellStyle name="Komma 2 2 6 3" xfId="656"/>
    <cellStyle name="Komma 2 2 6 3 2" xfId="657"/>
    <cellStyle name="Komma 2 2 6 3 2 2" xfId="658"/>
    <cellStyle name="Komma 2 2 6 3 2 2 2" xfId="659"/>
    <cellStyle name="Komma 2 2 6 3 2 3" xfId="660"/>
    <cellStyle name="Komma 2 2 6 3 3" xfId="661"/>
    <cellStyle name="Komma 2 2 6 3 3 2" xfId="662"/>
    <cellStyle name="Komma 2 2 6 3 4" xfId="663"/>
    <cellStyle name="Komma 2 2 6 4" xfId="664"/>
    <cellStyle name="Komma 2 2 6 4 2" xfId="665"/>
    <cellStyle name="Komma 2 2 6 4 2 2" xfId="666"/>
    <cellStyle name="Komma 2 2 6 4 3" xfId="667"/>
    <cellStyle name="Komma 2 2 6 5" xfId="668"/>
    <cellStyle name="Komma 2 2 6 5 2" xfId="669"/>
    <cellStyle name="Komma 2 2 6 6" xfId="670"/>
    <cellStyle name="Komma 2 2 6 7" xfId="671"/>
    <cellStyle name="Komma 2 2 7" xfId="672"/>
    <cellStyle name="Komma 2 2 7 2" xfId="673"/>
    <cellStyle name="Komma 2 2 7 2 2" xfId="674"/>
    <cellStyle name="Komma 2 2 7 2 2 2" xfId="675"/>
    <cellStyle name="Komma 2 2 7 2 2 2 2" xfId="676"/>
    <cellStyle name="Komma 2 2 7 2 2 3" xfId="677"/>
    <cellStyle name="Komma 2 2 7 2 3" xfId="678"/>
    <cellStyle name="Komma 2 2 7 2 3 2" xfId="679"/>
    <cellStyle name="Komma 2 2 7 2 4" xfId="680"/>
    <cellStyle name="Komma 2 2 7 3" xfId="681"/>
    <cellStyle name="Komma 2 2 7 3 2" xfId="682"/>
    <cellStyle name="Komma 2 2 7 3 2 2" xfId="683"/>
    <cellStyle name="Komma 2 2 7 3 3" xfId="684"/>
    <cellStyle name="Komma 2 2 7 4" xfId="685"/>
    <cellStyle name="Komma 2 2 7 4 2" xfId="686"/>
    <cellStyle name="Komma 2 2 7 5" xfId="687"/>
    <cellStyle name="Komma 2 2 7 6" xfId="688"/>
    <cellStyle name="Komma 2 2 8" xfId="689"/>
    <cellStyle name="Komma 2 2 8 2" xfId="690"/>
    <cellStyle name="Komma 2 2 8 2 2" xfId="691"/>
    <cellStyle name="Komma 2 2 8 2 2 2" xfId="692"/>
    <cellStyle name="Komma 2 2 8 2 3" xfId="693"/>
    <cellStyle name="Komma 2 2 8 3" xfId="694"/>
    <cellStyle name="Komma 2 2 8 3 2" xfId="695"/>
    <cellStyle name="Komma 2 2 8 4" xfId="696"/>
    <cellStyle name="Komma 2 2 9" xfId="697"/>
    <cellStyle name="Komma 2 2 9 2" xfId="698"/>
    <cellStyle name="Komma 2 2 9 2 2" xfId="699"/>
    <cellStyle name="Komma 2 2 9 3" xfId="700"/>
    <cellStyle name="Komma 2 3" xfId="701"/>
    <cellStyle name="Komma 2 3 10" xfId="702"/>
    <cellStyle name="Komma 2 3 11" xfId="703"/>
    <cellStyle name="Komma 2 3 12" xfId="704"/>
    <cellStyle name="Komma 2 3 2" xfId="705"/>
    <cellStyle name="Komma 2 3 2 2" xfId="706"/>
    <cellStyle name="Komma 2 3 2 2 2" xfId="707"/>
    <cellStyle name="Komma 2 3 2 2 2 2" xfId="708"/>
    <cellStyle name="Komma 2 3 2 2 2 2 2" xfId="709"/>
    <cellStyle name="Komma 2 3 2 2 2 2 2 2" xfId="710"/>
    <cellStyle name="Komma 2 3 2 2 2 2 2 2 2" xfId="711"/>
    <cellStyle name="Komma 2 3 2 2 2 2 2 2 2 2" xfId="712"/>
    <cellStyle name="Komma 2 3 2 2 2 2 2 2 3" xfId="713"/>
    <cellStyle name="Komma 2 3 2 2 2 2 2 3" xfId="714"/>
    <cellStyle name="Komma 2 3 2 2 2 2 2 3 2" xfId="715"/>
    <cellStyle name="Komma 2 3 2 2 2 2 2 4" xfId="716"/>
    <cellStyle name="Komma 2 3 2 2 2 2 3" xfId="717"/>
    <cellStyle name="Komma 2 3 2 2 2 2 3 2" xfId="718"/>
    <cellStyle name="Komma 2 3 2 2 2 2 3 2 2" xfId="719"/>
    <cellStyle name="Komma 2 3 2 2 2 2 3 3" xfId="720"/>
    <cellStyle name="Komma 2 3 2 2 2 2 4" xfId="721"/>
    <cellStyle name="Komma 2 3 2 2 2 2 4 2" xfId="722"/>
    <cellStyle name="Komma 2 3 2 2 2 2 5" xfId="723"/>
    <cellStyle name="Komma 2 3 2 2 2 2 6" xfId="724"/>
    <cellStyle name="Komma 2 3 2 2 2 3" xfId="725"/>
    <cellStyle name="Komma 2 3 2 2 2 3 2" xfId="726"/>
    <cellStyle name="Komma 2 3 2 2 2 3 2 2" xfId="727"/>
    <cellStyle name="Komma 2 3 2 2 2 3 2 2 2" xfId="728"/>
    <cellStyle name="Komma 2 3 2 2 2 3 2 3" xfId="729"/>
    <cellStyle name="Komma 2 3 2 2 2 3 3" xfId="730"/>
    <cellStyle name="Komma 2 3 2 2 2 3 3 2" xfId="731"/>
    <cellStyle name="Komma 2 3 2 2 2 3 4" xfId="732"/>
    <cellStyle name="Komma 2 3 2 2 2 4" xfId="733"/>
    <cellStyle name="Komma 2 3 2 2 2 4 2" xfId="734"/>
    <cellStyle name="Komma 2 3 2 2 2 4 2 2" xfId="735"/>
    <cellStyle name="Komma 2 3 2 2 2 4 3" xfId="736"/>
    <cellStyle name="Komma 2 3 2 2 2 5" xfId="737"/>
    <cellStyle name="Komma 2 3 2 2 2 5 2" xfId="738"/>
    <cellStyle name="Komma 2 3 2 2 2 6" xfId="739"/>
    <cellStyle name="Komma 2 3 2 2 2 7" xfId="740"/>
    <cellStyle name="Komma 2 3 2 2 3" xfId="741"/>
    <cellStyle name="Komma 2 3 2 2 3 2" xfId="742"/>
    <cellStyle name="Komma 2 3 2 2 3 2 2" xfId="743"/>
    <cellStyle name="Komma 2 3 2 2 3 2 2 2" xfId="744"/>
    <cellStyle name="Komma 2 3 2 2 3 2 2 2 2" xfId="745"/>
    <cellStyle name="Komma 2 3 2 2 3 2 2 3" xfId="746"/>
    <cellStyle name="Komma 2 3 2 2 3 2 3" xfId="747"/>
    <cellStyle name="Komma 2 3 2 2 3 2 3 2" xfId="748"/>
    <cellStyle name="Komma 2 3 2 2 3 2 4" xfId="749"/>
    <cellStyle name="Komma 2 3 2 2 3 3" xfId="750"/>
    <cellStyle name="Komma 2 3 2 2 3 3 2" xfId="751"/>
    <cellStyle name="Komma 2 3 2 2 3 3 2 2" xfId="752"/>
    <cellStyle name="Komma 2 3 2 2 3 3 3" xfId="753"/>
    <cellStyle name="Komma 2 3 2 2 3 4" xfId="754"/>
    <cellStyle name="Komma 2 3 2 2 3 4 2" xfId="755"/>
    <cellStyle name="Komma 2 3 2 2 3 5" xfId="756"/>
    <cellStyle name="Komma 2 3 2 2 3 6" xfId="757"/>
    <cellStyle name="Komma 2 3 2 2 4" xfId="758"/>
    <cellStyle name="Komma 2 3 2 2 4 2" xfId="759"/>
    <cellStyle name="Komma 2 3 2 2 4 2 2" xfId="760"/>
    <cellStyle name="Komma 2 3 2 2 4 2 2 2" xfId="761"/>
    <cellStyle name="Komma 2 3 2 2 4 2 3" xfId="762"/>
    <cellStyle name="Komma 2 3 2 2 4 3" xfId="763"/>
    <cellStyle name="Komma 2 3 2 2 4 3 2" xfId="764"/>
    <cellStyle name="Komma 2 3 2 2 4 4" xfId="765"/>
    <cellStyle name="Komma 2 3 2 2 5" xfId="766"/>
    <cellStyle name="Komma 2 3 2 2 5 2" xfId="767"/>
    <cellStyle name="Komma 2 3 2 2 5 2 2" xfId="768"/>
    <cellStyle name="Komma 2 3 2 2 5 3" xfId="769"/>
    <cellStyle name="Komma 2 3 2 2 6" xfId="770"/>
    <cellStyle name="Komma 2 3 2 2 6 2" xfId="771"/>
    <cellStyle name="Komma 2 3 2 2 7" xfId="772"/>
    <cellStyle name="Komma 2 3 2 2 8" xfId="773"/>
    <cellStyle name="Komma 2 3 2 3" xfId="774"/>
    <cellStyle name="Komma 2 3 2 3 2" xfId="775"/>
    <cellStyle name="Komma 2 3 2 3 2 2" xfId="776"/>
    <cellStyle name="Komma 2 3 2 3 2 2 2" xfId="777"/>
    <cellStyle name="Komma 2 3 2 3 2 2 2 2" xfId="778"/>
    <cellStyle name="Komma 2 3 2 3 2 2 2 2 2" xfId="779"/>
    <cellStyle name="Komma 2 3 2 3 2 2 2 3" xfId="780"/>
    <cellStyle name="Komma 2 3 2 3 2 2 3" xfId="781"/>
    <cellStyle name="Komma 2 3 2 3 2 2 3 2" xfId="782"/>
    <cellStyle name="Komma 2 3 2 3 2 2 4" xfId="783"/>
    <cellStyle name="Komma 2 3 2 3 2 3" xfId="784"/>
    <cellStyle name="Komma 2 3 2 3 2 3 2" xfId="785"/>
    <cellStyle name="Komma 2 3 2 3 2 3 2 2" xfId="786"/>
    <cellStyle name="Komma 2 3 2 3 2 3 3" xfId="787"/>
    <cellStyle name="Komma 2 3 2 3 2 4" xfId="788"/>
    <cellStyle name="Komma 2 3 2 3 2 4 2" xfId="789"/>
    <cellStyle name="Komma 2 3 2 3 2 5" xfId="790"/>
    <cellStyle name="Komma 2 3 2 3 2 6" xfId="791"/>
    <cellStyle name="Komma 2 3 2 3 3" xfId="792"/>
    <cellStyle name="Komma 2 3 2 3 3 2" xfId="793"/>
    <cellStyle name="Komma 2 3 2 3 3 2 2" xfId="794"/>
    <cellStyle name="Komma 2 3 2 3 3 2 2 2" xfId="795"/>
    <cellStyle name="Komma 2 3 2 3 3 2 3" xfId="796"/>
    <cellStyle name="Komma 2 3 2 3 3 3" xfId="797"/>
    <cellStyle name="Komma 2 3 2 3 3 3 2" xfId="798"/>
    <cellStyle name="Komma 2 3 2 3 3 4" xfId="799"/>
    <cellStyle name="Komma 2 3 2 3 4" xfId="800"/>
    <cellStyle name="Komma 2 3 2 3 4 2" xfId="801"/>
    <cellStyle name="Komma 2 3 2 3 4 2 2" xfId="802"/>
    <cellStyle name="Komma 2 3 2 3 4 3" xfId="803"/>
    <cellStyle name="Komma 2 3 2 3 5" xfId="804"/>
    <cellStyle name="Komma 2 3 2 3 5 2" xfId="805"/>
    <cellStyle name="Komma 2 3 2 3 6" xfId="806"/>
    <cellStyle name="Komma 2 3 2 3 7" xfId="807"/>
    <cellStyle name="Komma 2 3 2 4" xfId="808"/>
    <cellStyle name="Komma 2 3 2 4 2" xfId="809"/>
    <cellStyle name="Komma 2 3 2 4 2 2" xfId="810"/>
    <cellStyle name="Komma 2 3 2 4 2 2 2" xfId="811"/>
    <cellStyle name="Komma 2 3 2 4 2 2 2 2" xfId="812"/>
    <cellStyle name="Komma 2 3 2 4 2 2 3" xfId="813"/>
    <cellStyle name="Komma 2 3 2 4 2 3" xfId="814"/>
    <cellStyle name="Komma 2 3 2 4 2 3 2" xfId="815"/>
    <cellStyle name="Komma 2 3 2 4 2 4" xfId="816"/>
    <cellStyle name="Komma 2 3 2 4 3" xfId="817"/>
    <cellStyle name="Komma 2 3 2 4 3 2" xfId="818"/>
    <cellStyle name="Komma 2 3 2 4 3 2 2" xfId="819"/>
    <cellStyle name="Komma 2 3 2 4 3 3" xfId="820"/>
    <cellStyle name="Komma 2 3 2 4 4" xfId="821"/>
    <cellStyle name="Komma 2 3 2 4 4 2" xfId="822"/>
    <cellStyle name="Komma 2 3 2 4 5" xfId="823"/>
    <cellStyle name="Komma 2 3 2 4 6" xfId="824"/>
    <cellStyle name="Komma 2 3 2 5" xfId="825"/>
    <cellStyle name="Komma 2 3 2 5 2" xfId="826"/>
    <cellStyle name="Komma 2 3 2 5 2 2" xfId="827"/>
    <cellStyle name="Komma 2 3 2 5 2 2 2" xfId="828"/>
    <cellStyle name="Komma 2 3 2 5 2 3" xfId="829"/>
    <cellStyle name="Komma 2 3 2 5 3" xfId="830"/>
    <cellStyle name="Komma 2 3 2 5 3 2" xfId="831"/>
    <cellStyle name="Komma 2 3 2 5 4" xfId="832"/>
    <cellStyle name="Komma 2 3 2 6" xfId="833"/>
    <cellStyle name="Komma 2 3 2 6 2" xfId="834"/>
    <cellStyle name="Komma 2 3 2 6 2 2" xfId="835"/>
    <cellStyle name="Komma 2 3 2 6 3" xfId="836"/>
    <cellStyle name="Komma 2 3 2 7" xfId="837"/>
    <cellStyle name="Komma 2 3 2 7 2" xfId="838"/>
    <cellStyle name="Komma 2 3 2 8" xfId="839"/>
    <cellStyle name="Komma 2 3 2 9" xfId="840"/>
    <cellStyle name="Komma 2 3 3" xfId="841"/>
    <cellStyle name="Komma 2 3 3 2" xfId="842"/>
    <cellStyle name="Komma 2 3 3 2 2" xfId="843"/>
    <cellStyle name="Komma 2 3 3 2 2 2" xfId="844"/>
    <cellStyle name="Komma 2 3 3 2 2 2 2" xfId="845"/>
    <cellStyle name="Komma 2 3 3 2 2 2 2 2" xfId="846"/>
    <cellStyle name="Komma 2 3 3 2 2 2 2 2 2" xfId="847"/>
    <cellStyle name="Komma 2 3 3 2 2 2 2 3" xfId="848"/>
    <cellStyle name="Komma 2 3 3 2 2 2 3" xfId="849"/>
    <cellStyle name="Komma 2 3 3 2 2 2 3 2" xfId="850"/>
    <cellStyle name="Komma 2 3 3 2 2 2 4" xfId="851"/>
    <cellStyle name="Komma 2 3 3 2 2 3" xfId="852"/>
    <cellStyle name="Komma 2 3 3 2 2 3 2" xfId="853"/>
    <cellStyle name="Komma 2 3 3 2 2 3 2 2" xfId="854"/>
    <cellStyle name="Komma 2 3 3 2 2 3 3" xfId="855"/>
    <cellStyle name="Komma 2 3 3 2 2 4" xfId="856"/>
    <cellStyle name="Komma 2 3 3 2 2 4 2" xfId="857"/>
    <cellStyle name="Komma 2 3 3 2 2 5" xfId="858"/>
    <cellStyle name="Komma 2 3 3 2 2 6" xfId="859"/>
    <cellStyle name="Komma 2 3 3 2 3" xfId="860"/>
    <cellStyle name="Komma 2 3 3 2 3 2" xfId="861"/>
    <cellStyle name="Komma 2 3 3 2 3 2 2" xfId="862"/>
    <cellStyle name="Komma 2 3 3 2 3 2 2 2" xfId="863"/>
    <cellStyle name="Komma 2 3 3 2 3 2 3" xfId="864"/>
    <cellStyle name="Komma 2 3 3 2 3 3" xfId="865"/>
    <cellStyle name="Komma 2 3 3 2 3 3 2" xfId="866"/>
    <cellStyle name="Komma 2 3 3 2 3 4" xfId="867"/>
    <cellStyle name="Komma 2 3 3 2 4" xfId="868"/>
    <cellStyle name="Komma 2 3 3 2 4 2" xfId="869"/>
    <cellStyle name="Komma 2 3 3 2 4 2 2" xfId="870"/>
    <cellStyle name="Komma 2 3 3 2 4 3" xfId="871"/>
    <cellStyle name="Komma 2 3 3 2 5" xfId="872"/>
    <cellStyle name="Komma 2 3 3 2 5 2" xfId="873"/>
    <cellStyle name="Komma 2 3 3 2 6" xfId="874"/>
    <cellStyle name="Komma 2 3 3 2 7" xfId="875"/>
    <cellStyle name="Komma 2 3 3 3" xfId="876"/>
    <cellStyle name="Komma 2 3 3 3 2" xfId="877"/>
    <cellStyle name="Komma 2 3 3 3 2 2" xfId="878"/>
    <cellStyle name="Komma 2 3 3 3 2 2 2" xfId="879"/>
    <cellStyle name="Komma 2 3 3 3 2 2 2 2" xfId="880"/>
    <cellStyle name="Komma 2 3 3 3 2 2 3" xfId="881"/>
    <cellStyle name="Komma 2 3 3 3 2 3" xfId="882"/>
    <cellStyle name="Komma 2 3 3 3 2 3 2" xfId="883"/>
    <cellStyle name="Komma 2 3 3 3 2 4" xfId="884"/>
    <cellStyle name="Komma 2 3 3 3 3" xfId="885"/>
    <cellStyle name="Komma 2 3 3 3 3 2" xfId="886"/>
    <cellStyle name="Komma 2 3 3 3 3 2 2" xfId="887"/>
    <cellStyle name="Komma 2 3 3 3 3 3" xfId="888"/>
    <cellStyle name="Komma 2 3 3 3 4" xfId="889"/>
    <cellStyle name="Komma 2 3 3 3 4 2" xfId="890"/>
    <cellStyle name="Komma 2 3 3 3 5" xfId="891"/>
    <cellStyle name="Komma 2 3 3 3 6" xfId="892"/>
    <cellStyle name="Komma 2 3 3 4" xfId="893"/>
    <cellStyle name="Komma 2 3 3 4 2" xfId="894"/>
    <cellStyle name="Komma 2 3 3 4 2 2" xfId="895"/>
    <cellStyle name="Komma 2 3 3 4 2 2 2" xfId="896"/>
    <cellStyle name="Komma 2 3 3 4 2 3" xfId="897"/>
    <cellStyle name="Komma 2 3 3 4 3" xfId="898"/>
    <cellStyle name="Komma 2 3 3 4 3 2" xfId="899"/>
    <cellStyle name="Komma 2 3 3 4 4" xfId="900"/>
    <cellStyle name="Komma 2 3 3 5" xfId="901"/>
    <cellStyle name="Komma 2 3 3 5 2" xfId="902"/>
    <cellStyle name="Komma 2 3 3 5 2 2" xfId="903"/>
    <cellStyle name="Komma 2 3 3 5 3" xfId="904"/>
    <cellStyle name="Komma 2 3 3 6" xfId="905"/>
    <cellStyle name="Komma 2 3 3 6 2" xfId="906"/>
    <cellStyle name="Komma 2 3 3 7" xfId="907"/>
    <cellStyle name="Komma 2 3 3 8" xfId="908"/>
    <cellStyle name="Komma 2 3 4" xfId="909"/>
    <cellStyle name="Komma 2 3 4 2" xfId="910"/>
    <cellStyle name="Komma 2 3 4 2 2" xfId="911"/>
    <cellStyle name="Komma 2 3 4 2 2 2" xfId="912"/>
    <cellStyle name="Komma 2 3 4 2 2 2 2" xfId="913"/>
    <cellStyle name="Komma 2 3 4 2 2 2 2 2" xfId="914"/>
    <cellStyle name="Komma 2 3 4 2 2 2 2 2 2" xfId="915"/>
    <cellStyle name="Komma 2 3 4 2 2 2 2 3" xfId="916"/>
    <cellStyle name="Komma 2 3 4 2 2 2 3" xfId="917"/>
    <cellStyle name="Komma 2 3 4 2 2 2 3 2" xfId="918"/>
    <cellStyle name="Komma 2 3 4 2 2 2 4" xfId="919"/>
    <cellStyle name="Komma 2 3 4 2 2 3" xfId="920"/>
    <cellStyle name="Komma 2 3 4 2 2 3 2" xfId="921"/>
    <cellStyle name="Komma 2 3 4 2 2 3 2 2" xfId="922"/>
    <cellStyle name="Komma 2 3 4 2 2 3 3" xfId="923"/>
    <cellStyle name="Komma 2 3 4 2 2 4" xfId="924"/>
    <cellStyle name="Komma 2 3 4 2 2 4 2" xfId="925"/>
    <cellStyle name="Komma 2 3 4 2 2 5" xfId="926"/>
    <cellStyle name="Komma 2 3 4 2 2 6" xfId="927"/>
    <cellStyle name="Komma 2 3 4 2 3" xfId="928"/>
    <cellStyle name="Komma 2 3 4 2 3 2" xfId="929"/>
    <cellStyle name="Komma 2 3 4 2 3 2 2" xfId="930"/>
    <cellStyle name="Komma 2 3 4 2 3 2 2 2" xfId="931"/>
    <cellStyle name="Komma 2 3 4 2 3 2 3" xfId="932"/>
    <cellStyle name="Komma 2 3 4 2 3 3" xfId="933"/>
    <cellStyle name="Komma 2 3 4 2 3 3 2" xfId="934"/>
    <cellStyle name="Komma 2 3 4 2 3 4" xfId="935"/>
    <cellStyle name="Komma 2 3 4 2 4" xfId="936"/>
    <cellStyle name="Komma 2 3 4 2 4 2" xfId="937"/>
    <cellStyle name="Komma 2 3 4 2 4 2 2" xfId="938"/>
    <cellStyle name="Komma 2 3 4 2 4 3" xfId="939"/>
    <cellStyle name="Komma 2 3 4 2 5" xfId="940"/>
    <cellStyle name="Komma 2 3 4 2 5 2" xfId="941"/>
    <cellStyle name="Komma 2 3 4 2 6" xfId="942"/>
    <cellStyle name="Komma 2 3 4 2 7" xfId="943"/>
    <cellStyle name="Komma 2 3 4 3" xfId="944"/>
    <cellStyle name="Komma 2 3 4 3 2" xfId="945"/>
    <cellStyle name="Komma 2 3 4 3 2 2" xfId="946"/>
    <cellStyle name="Komma 2 3 4 3 2 2 2" xfId="947"/>
    <cellStyle name="Komma 2 3 4 3 2 2 2 2" xfId="948"/>
    <cellStyle name="Komma 2 3 4 3 2 2 3" xfId="949"/>
    <cellStyle name="Komma 2 3 4 3 2 3" xfId="950"/>
    <cellStyle name="Komma 2 3 4 3 2 3 2" xfId="951"/>
    <cellStyle name="Komma 2 3 4 3 2 4" xfId="952"/>
    <cellStyle name="Komma 2 3 4 3 3" xfId="953"/>
    <cellStyle name="Komma 2 3 4 3 3 2" xfId="954"/>
    <cellStyle name="Komma 2 3 4 3 3 2 2" xfId="955"/>
    <cellStyle name="Komma 2 3 4 3 3 3" xfId="956"/>
    <cellStyle name="Komma 2 3 4 3 4" xfId="957"/>
    <cellStyle name="Komma 2 3 4 3 4 2" xfId="958"/>
    <cellStyle name="Komma 2 3 4 3 5" xfId="959"/>
    <cellStyle name="Komma 2 3 4 3 6" xfId="960"/>
    <cellStyle name="Komma 2 3 4 4" xfId="961"/>
    <cellStyle name="Komma 2 3 4 4 2" xfId="962"/>
    <cellStyle name="Komma 2 3 4 4 2 2" xfId="963"/>
    <cellStyle name="Komma 2 3 4 4 2 2 2" xfId="964"/>
    <cellStyle name="Komma 2 3 4 4 2 3" xfId="965"/>
    <cellStyle name="Komma 2 3 4 4 3" xfId="966"/>
    <cellStyle name="Komma 2 3 4 4 3 2" xfId="967"/>
    <cellStyle name="Komma 2 3 4 4 4" xfId="968"/>
    <cellStyle name="Komma 2 3 4 5" xfId="969"/>
    <cellStyle name="Komma 2 3 4 5 2" xfId="970"/>
    <cellStyle name="Komma 2 3 4 5 2 2" xfId="971"/>
    <cellStyle name="Komma 2 3 4 5 3" xfId="972"/>
    <cellStyle name="Komma 2 3 4 6" xfId="973"/>
    <cellStyle name="Komma 2 3 4 6 2" xfId="974"/>
    <cellStyle name="Komma 2 3 4 7" xfId="975"/>
    <cellStyle name="Komma 2 3 4 8" xfId="976"/>
    <cellStyle name="Komma 2 3 5" xfId="977"/>
    <cellStyle name="Komma 2 3 5 2" xfId="978"/>
    <cellStyle name="Komma 2 3 5 2 2" xfId="979"/>
    <cellStyle name="Komma 2 3 5 2 2 2" xfId="980"/>
    <cellStyle name="Komma 2 3 5 2 2 2 2" xfId="981"/>
    <cellStyle name="Komma 2 3 5 2 2 2 2 2" xfId="982"/>
    <cellStyle name="Komma 2 3 5 2 2 2 3" xfId="983"/>
    <cellStyle name="Komma 2 3 5 2 2 3" xfId="984"/>
    <cellStyle name="Komma 2 3 5 2 2 3 2" xfId="985"/>
    <cellStyle name="Komma 2 3 5 2 2 4" xfId="986"/>
    <cellStyle name="Komma 2 3 5 2 3" xfId="987"/>
    <cellStyle name="Komma 2 3 5 2 3 2" xfId="988"/>
    <cellStyle name="Komma 2 3 5 2 3 2 2" xfId="989"/>
    <cellStyle name="Komma 2 3 5 2 3 3" xfId="990"/>
    <cellStyle name="Komma 2 3 5 2 4" xfId="991"/>
    <cellStyle name="Komma 2 3 5 2 4 2" xfId="992"/>
    <cellStyle name="Komma 2 3 5 2 5" xfId="993"/>
    <cellStyle name="Komma 2 3 5 2 6" xfId="994"/>
    <cellStyle name="Komma 2 3 5 3" xfId="995"/>
    <cellStyle name="Komma 2 3 5 3 2" xfId="996"/>
    <cellStyle name="Komma 2 3 5 3 2 2" xfId="997"/>
    <cellStyle name="Komma 2 3 5 3 2 2 2" xfId="998"/>
    <cellStyle name="Komma 2 3 5 3 2 3" xfId="999"/>
    <cellStyle name="Komma 2 3 5 3 3" xfId="1000"/>
    <cellStyle name="Komma 2 3 5 3 3 2" xfId="1001"/>
    <cellStyle name="Komma 2 3 5 3 4" xfId="1002"/>
    <cellStyle name="Komma 2 3 5 4" xfId="1003"/>
    <cellStyle name="Komma 2 3 5 4 2" xfId="1004"/>
    <cellStyle name="Komma 2 3 5 4 2 2" xfId="1005"/>
    <cellStyle name="Komma 2 3 5 4 3" xfId="1006"/>
    <cellStyle name="Komma 2 3 5 5" xfId="1007"/>
    <cellStyle name="Komma 2 3 5 5 2" xfId="1008"/>
    <cellStyle name="Komma 2 3 5 6" xfId="1009"/>
    <cellStyle name="Komma 2 3 5 7" xfId="1010"/>
    <cellStyle name="Komma 2 3 6" xfId="1011"/>
    <cellStyle name="Komma 2 3 6 2" xfId="1012"/>
    <cellStyle name="Komma 2 3 6 2 2" xfId="1013"/>
    <cellStyle name="Komma 2 3 6 2 2 2" xfId="1014"/>
    <cellStyle name="Komma 2 3 6 2 2 2 2" xfId="1015"/>
    <cellStyle name="Komma 2 3 6 2 2 3" xfId="1016"/>
    <cellStyle name="Komma 2 3 6 2 3" xfId="1017"/>
    <cellStyle name="Komma 2 3 6 2 3 2" xfId="1018"/>
    <cellStyle name="Komma 2 3 6 2 4" xfId="1019"/>
    <cellStyle name="Komma 2 3 6 3" xfId="1020"/>
    <cellStyle name="Komma 2 3 6 3 2" xfId="1021"/>
    <cellStyle name="Komma 2 3 6 3 2 2" xfId="1022"/>
    <cellStyle name="Komma 2 3 6 3 3" xfId="1023"/>
    <cellStyle name="Komma 2 3 6 4" xfId="1024"/>
    <cellStyle name="Komma 2 3 6 4 2" xfId="1025"/>
    <cellStyle name="Komma 2 3 6 5" xfId="1026"/>
    <cellStyle name="Komma 2 3 6 6" xfId="1027"/>
    <cellStyle name="Komma 2 3 7" xfId="1028"/>
    <cellStyle name="Komma 2 3 7 2" xfId="1029"/>
    <cellStyle name="Komma 2 3 7 2 2" xfId="1030"/>
    <cellStyle name="Komma 2 3 7 2 2 2" xfId="1031"/>
    <cellStyle name="Komma 2 3 7 2 3" xfId="1032"/>
    <cellStyle name="Komma 2 3 7 3" xfId="1033"/>
    <cellStyle name="Komma 2 3 7 3 2" xfId="1034"/>
    <cellStyle name="Komma 2 3 7 4" xfId="1035"/>
    <cellStyle name="Komma 2 3 8" xfId="1036"/>
    <cellStyle name="Komma 2 3 8 2" xfId="1037"/>
    <cellStyle name="Komma 2 3 8 2 2" xfId="1038"/>
    <cellStyle name="Komma 2 3 8 3" xfId="1039"/>
    <cellStyle name="Komma 2 3 9" xfId="1040"/>
    <cellStyle name="Komma 2 3 9 2" xfId="1041"/>
    <cellStyle name="Komma 2 4" xfId="1042"/>
    <cellStyle name="Komma 2 4 2" xfId="1043"/>
    <cellStyle name="Komma 2 4 2 2" xfId="1044"/>
    <cellStyle name="Komma 2 4 2 2 2" xfId="1045"/>
    <cellStyle name="Komma 2 4 2 2 2 2" xfId="1046"/>
    <cellStyle name="Komma 2 4 2 2 2 2 2" xfId="1047"/>
    <cellStyle name="Komma 2 4 2 2 2 2 2 2" xfId="1048"/>
    <cellStyle name="Komma 2 4 2 2 2 2 2 2 2" xfId="1049"/>
    <cellStyle name="Komma 2 4 2 2 2 2 2 3" xfId="1050"/>
    <cellStyle name="Komma 2 4 2 2 2 2 3" xfId="1051"/>
    <cellStyle name="Komma 2 4 2 2 2 2 3 2" xfId="1052"/>
    <cellStyle name="Komma 2 4 2 2 2 2 4" xfId="1053"/>
    <cellStyle name="Komma 2 4 2 2 2 3" xfId="1054"/>
    <cellStyle name="Komma 2 4 2 2 2 3 2" xfId="1055"/>
    <cellStyle name="Komma 2 4 2 2 2 3 2 2" xfId="1056"/>
    <cellStyle name="Komma 2 4 2 2 2 3 3" xfId="1057"/>
    <cellStyle name="Komma 2 4 2 2 2 4" xfId="1058"/>
    <cellStyle name="Komma 2 4 2 2 2 4 2" xfId="1059"/>
    <cellStyle name="Komma 2 4 2 2 2 5" xfId="1060"/>
    <cellStyle name="Komma 2 4 2 2 2 6" xfId="1061"/>
    <cellStyle name="Komma 2 4 2 2 3" xfId="1062"/>
    <cellStyle name="Komma 2 4 2 2 3 2" xfId="1063"/>
    <cellStyle name="Komma 2 4 2 2 3 2 2" xfId="1064"/>
    <cellStyle name="Komma 2 4 2 2 3 2 2 2" xfId="1065"/>
    <cellStyle name="Komma 2 4 2 2 3 2 3" xfId="1066"/>
    <cellStyle name="Komma 2 4 2 2 3 3" xfId="1067"/>
    <cellStyle name="Komma 2 4 2 2 3 3 2" xfId="1068"/>
    <cellStyle name="Komma 2 4 2 2 3 4" xfId="1069"/>
    <cellStyle name="Komma 2 4 2 2 4" xfId="1070"/>
    <cellStyle name="Komma 2 4 2 2 4 2" xfId="1071"/>
    <cellStyle name="Komma 2 4 2 2 4 2 2" xfId="1072"/>
    <cellStyle name="Komma 2 4 2 2 4 3" xfId="1073"/>
    <cellStyle name="Komma 2 4 2 2 5" xfId="1074"/>
    <cellStyle name="Komma 2 4 2 2 5 2" xfId="1075"/>
    <cellStyle name="Komma 2 4 2 2 6" xfId="1076"/>
    <cellStyle name="Komma 2 4 2 2 7" xfId="1077"/>
    <cellStyle name="Komma 2 4 2 3" xfId="1078"/>
    <cellStyle name="Komma 2 4 2 3 2" xfId="1079"/>
    <cellStyle name="Komma 2 4 2 3 2 2" xfId="1080"/>
    <cellStyle name="Komma 2 4 2 3 2 2 2" xfId="1081"/>
    <cellStyle name="Komma 2 4 2 3 2 2 2 2" xfId="1082"/>
    <cellStyle name="Komma 2 4 2 3 2 2 3" xfId="1083"/>
    <cellStyle name="Komma 2 4 2 3 2 3" xfId="1084"/>
    <cellStyle name="Komma 2 4 2 3 2 3 2" xfId="1085"/>
    <cellStyle name="Komma 2 4 2 3 2 4" xfId="1086"/>
    <cellStyle name="Komma 2 4 2 3 3" xfId="1087"/>
    <cellStyle name="Komma 2 4 2 3 3 2" xfId="1088"/>
    <cellStyle name="Komma 2 4 2 3 3 2 2" xfId="1089"/>
    <cellStyle name="Komma 2 4 2 3 3 3" xfId="1090"/>
    <cellStyle name="Komma 2 4 2 3 4" xfId="1091"/>
    <cellStyle name="Komma 2 4 2 3 4 2" xfId="1092"/>
    <cellStyle name="Komma 2 4 2 3 5" xfId="1093"/>
    <cellStyle name="Komma 2 4 2 3 6" xfId="1094"/>
    <cellStyle name="Komma 2 4 2 4" xfId="1095"/>
    <cellStyle name="Komma 2 4 2 4 2" xfId="1096"/>
    <cellStyle name="Komma 2 4 2 4 2 2" xfId="1097"/>
    <cellStyle name="Komma 2 4 2 4 2 2 2" xfId="1098"/>
    <cellStyle name="Komma 2 4 2 4 2 3" xfId="1099"/>
    <cellStyle name="Komma 2 4 2 4 3" xfId="1100"/>
    <cellStyle name="Komma 2 4 2 4 3 2" xfId="1101"/>
    <cellStyle name="Komma 2 4 2 4 4" xfId="1102"/>
    <cellStyle name="Komma 2 4 2 5" xfId="1103"/>
    <cellStyle name="Komma 2 4 2 5 2" xfId="1104"/>
    <cellStyle name="Komma 2 4 2 5 2 2" xfId="1105"/>
    <cellStyle name="Komma 2 4 2 5 3" xfId="1106"/>
    <cellStyle name="Komma 2 4 2 6" xfId="1107"/>
    <cellStyle name="Komma 2 4 2 6 2" xfId="1108"/>
    <cellStyle name="Komma 2 4 2 7" xfId="1109"/>
    <cellStyle name="Komma 2 4 2 8" xfId="1110"/>
    <cellStyle name="Komma 2 4 3" xfId="1111"/>
    <cellStyle name="Komma 2 4 3 2" xfId="1112"/>
    <cellStyle name="Komma 2 4 3 2 2" xfId="1113"/>
    <cellStyle name="Komma 2 4 3 2 2 2" xfId="1114"/>
    <cellStyle name="Komma 2 4 3 2 2 2 2" xfId="1115"/>
    <cellStyle name="Komma 2 4 3 2 2 2 2 2" xfId="1116"/>
    <cellStyle name="Komma 2 4 3 2 2 2 3" xfId="1117"/>
    <cellStyle name="Komma 2 4 3 2 2 3" xfId="1118"/>
    <cellStyle name="Komma 2 4 3 2 2 3 2" xfId="1119"/>
    <cellStyle name="Komma 2 4 3 2 2 4" xfId="1120"/>
    <cellStyle name="Komma 2 4 3 2 3" xfId="1121"/>
    <cellStyle name="Komma 2 4 3 2 3 2" xfId="1122"/>
    <cellStyle name="Komma 2 4 3 2 3 2 2" xfId="1123"/>
    <cellStyle name="Komma 2 4 3 2 3 3" xfId="1124"/>
    <cellStyle name="Komma 2 4 3 2 4" xfId="1125"/>
    <cellStyle name="Komma 2 4 3 2 4 2" xfId="1126"/>
    <cellStyle name="Komma 2 4 3 2 5" xfId="1127"/>
    <cellStyle name="Komma 2 4 3 2 6" xfId="1128"/>
    <cellStyle name="Komma 2 4 3 3" xfId="1129"/>
    <cellStyle name="Komma 2 4 3 3 2" xfId="1130"/>
    <cellStyle name="Komma 2 4 3 3 2 2" xfId="1131"/>
    <cellStyle name="Komma 2 4 3 3 2 2 2" xfId="1132"/>
    <cellStyle name="Komma 2 4 3 3 2 3" xfId="1133"/>
    <cellStyle name="Komma 2 4 3 3 3" xfId="1134"/>
    <cellStyle name="Komma 2 4 3 3 3 2" xfId="1135"/>
    <cellStyle name="Komma 2 4 3 3 4" xfId="1136"/>
    <cellStyle name="Komma 2 4 3 4" xfId="1137"/>
    <cellStyle name="Komma 2 4 3 4 2" xfId="1138"/>
    <cellStyle name="Komma 2 4 3 4 2 2" xfId="1139"/>
    <cellStyle name="Komma 2 4 3 4 3" xfId="1140"/>
    <cellStyle name="Komma 2 4 3 5" xfId="1141"/>
    <cellStyle name="Komma 2 4 3 5 2" xfId="1142"/>
    <cellStyle name="Komma 2 4 3 6" xfId="1143"/>
    <cellStyle name="Komma 2 4 3 7" xfId="1144"/>
    <cellStyle name="Komma 2 4 4" xfId="1145"/>
    <cellStyle name="Komma 2 4 4 2" xfId="1146"/>
    <cellStyle name="Komma 2 4 4 2 2" xfId="1147"/>
    <cellStyle name="Komma 2 4 4 2 2 2" xfId="1148"/>
    <cellStyle name="Komma 2 4 4 2 2 2 2" xfId="1149"/>
    <cellStyle name="Komma 2 4 4 2 2 3" xfId="1150"/>
    <cellStyle name="Komma 2 4 4 2 3" xfId="1151"/>
    <cellStyle name="Komma 2 4 4 2 3 2" xfId="1152"/>
    <cellStyle name="Komma 2 4 4 2 4" xfId="1153"/>
    <cellStyle name="Komma 2 4 4 3" xfId="1154"/>
    <cellStyle name="Komma 2 4 4 3 2" xfId="1155"/>
    <cellStyle name="Komma 2 4 4 3 2 2" xfId="1156"/>
    <cellStyle name="Komma 2 4 4 3 3" xfId="1157"/>
    <cellStyle name="Komma 2 4 4 4" xfId="1158"/>
    <cellStyle name="Komma 2 4 4 4 2" xfId="1159"/>
    <cellStyle name="Komma 2 4 4 5" xfId="1160"/>
    <cellStyle name="Komma 2 4 4 6" xfId="1161"/>
    <cellStyle name="Komma 2 4 5" xfId="1162"/>
    <cellStyle name="Komma 2 4 5 2" xfId="1163"/>
    <cellStyle name="Komma 2 4 5 2 2" xfId="1164"/>
    <cellStyle name="Komma 2 4 5 2 2 2" xfId="1165"/>
    <cellStyle name="Komma 2 4 5 2 3" xfId="1166"/>
    <cellStyle name="Komma 2 4 5 3" xfId="1167"/>
    <cellStyle name="Komma 2 4 5 3 2" xfId="1168"/>
    <cellStyle name="Komma 2 4 5 4" xfId="1169"/>
    <cellStyle name="Komma 2 4 6" xfId="1170"/>
    <cellStyle name="Komma 2 4 6 2" xfId="1171"/>
    <cellStyle name="Komma 2 4 6 2 2" xfId="1172"/>
    <cellStyle name="Komma 2 4 6 3" xfId="1173"/>
    <cellStyle name="Komma 2 4 7" xfId="1174"/>
    <cellStyle name="Komma 2 4 7 2" xfId="1175"/>
    <cellStyle name="Komma 2 4 8" xfId="1176"/>
    <cellStyle name="Komma 2 4 9" xfId="1177"/>
    <cellStyle name="Komma 2 5" xfId="1178"/>
    <cellStyle name="Komma 2 5 2" xfId="1179"/>
    <cellStyle name="Komma 2 5 2 2" xfId="1180"/>
    <cellStyle name="Komma 2 5 2 2 2" xfId="1181"/>
    <cellStyle name="Komma 2 5 2 2 2 2" xfId="1182"/>
    <cellStyle name="Komma 2 5 2 2 2 2 2" xfId="1183"/>
    <cellStyle name="Komma 2 5 2 2 2 2 2 2" xfId="1184"/>
    <cellStyle name="Komma 2 5 2 2 2 2 3" xfId="1185"/>
    <cellStyle name="Komma 2 5 2 2 2 3" xfId="1186"/>
    <cellStyle name="Komma 2 5 2 2 2 3 2" xfId="1187"/>
    <cellStyle name="Komma 2 5 2 2 2 4" xfId="1188"/>
    <cellStyle name="Komma 2 5 2 2 3" xfId="1189"/>
    <cellStyle name="Komma 2 5 2 2 3 2" xfId="1190"/>
    <cellStyle name="Komma 2 5 2 2 3 2 2" xfId="1191"/>
    <cellStyle name="Komma 2 5 2 2 3 3" xfId="1192"/>
    <cellStyle name="Komma 2 5 2 2 4" xfId="1193"/>
    <cellStyle name="Komma 2 5 2 2 4 2" xfId="1194"/>
    <cellStyle name="Komma 2 5 2 2 5" xfId="1195"/>
    <cellStyle name="Komma 2 5 2 2 6" xfId="1196"/>
    <cellStyle name="Komma 2 5 2 3" xfId="1197"/>
    <cellStyle name="Komma 2 5 2 3 2" xfId="1198"/>
    <cellStyle name="Komma 2 5 2 3 2 2" xfId="1199"/>
    <cellStyle name="Komma 2 5 2 3 2 2 2" xfId="1200"/>
    <cellStyle name="Komma 2 5 2 3 2 3" xfId="1201"/>
    <cellStyle name="Komma 2 5 2 3 3" xfId="1202"/>
    <cellStyle name="Komma 2 5 2 3 3 2" xfId="1203"/>
    <cellStyle name="Komma 2 5 2 3 4" xfId="1204"/>
    <cellStyle name="Komma 2 5 2 4" xfId="1205"/>
    <cellStyle name="Komma 2 5 2 4 2" xfId="1206"/>
    <cellStyle name="Komma 2 5 2 4 2 2" xfId="1207"/>
    <cellStyle name="Komma 2 5 2 4 3" xfId="1208"/>
    <cellStyle name="Komma 2 5 2 5" xfId="1209"/>
    <cellStyle name="Komma 2 5 2 5 2" xfId="1210"/>
    <cellStyle name="Komma 2 5 2 6" xfId="1211"/>
    <cellStyle name="Komma 2 5 2 7" xfId="1212"/>
    <cellStyle name="Komma 2 5 3" xfId="1213"/>
    <cellStyle name="Komma 2 5 3 2" xfId="1214"/>
    <cellStyle name="Komma 2 5 3 2 2" xfId="1215"/>
    <cellStyle name="Komma 2 5 3 2 2 2" xfId="1216"/>
    <cellStyle name="Komma 2 5 3 2 2 2 2" xfId="1217"/>
    <cellStyle name="Komma 2 5 3 2 2 3" xfId="1218"/>
    <cellStyle name="Komma 2 5 3 2 3" xfId="1219"/>
    <cellStyle name="Komma 2 5 3 2 3 2" xfId="1220"/>
    <cellStyle name="Komma 2 5 3 2 4" xfId="1221"/>
    <cellStyle name="Komma 2 5 3 3" xfId="1222"/>
    <cellStyle name="Komma 2 5 3 3 2" xfId="1223"/>
    <cellStyle name="Komma 2 5 3 3 2 2" xfId="1224"/>
    <cellStyle name="Komma 2 5 3 3 3" xfId="1225"/>
    <cellStyle name="Komma 2 5 3 4" xfId="1226"/>
    <cellStyle name="Komma 2 5 3 4 2" xfId="1227"/>
    <cellStyle name="Komma 2 5 3 5" xfId="1228"/>
    <cellStyle name="Komma 2 5 3 6" xfId="1229"/>
    <cellStyle name="Komma 2 5 4" xfId="1230"/>
    <cellStyle name="Komma 2 5 4 2" xfId="1231"/>
    <cellStyle name="Komma 2 5 4 2 2" xfId="1232"/>
    <cellStyle name="Komma 2 5 4 2 2 2" xfId="1233"/>
    <cellStyle name="Komma 2 5 4 2 3" xfId="1234"/>
    <cellStyle name="Komma 2 5 4 3" xfId="1235"/>
    <cellStyle name="Komma 2 5 4 3 2" xfId="1236"/>
    <cellStyle name="Komma 2 5 4 4" xfId="1237"/>
    <cellStyle name="Komma 2 5 5" xfId="1238"/>
    <cellStyle name="Komma 2 5 5 2" xfId="1239"/>
    <cellStyle name="Komma 2 5 5 2 2" xfId="1240"/>
    <cellStyle name="Komma 2 5 5 3" xfId="1241"/>
    <cellStyle name="Komma 2 5 6" xfId="1242"/>
    <cellStyle name="Komma 2 5 6 2" xfId="1243"/>
    <cellStyle name="Komma 2 5 7" xfId="1244"/>
    <cellStyle name="Komma 2 5 8" xfId="1245"/>
    <cellStyle name="Komma 2 6" xfId="1246"/>
    <cellStyle name="Komma 2 6 2" xfId="1247"/>
    <cellStyle name="Komma 2 6 2 2" xfId="1248"/>
    <cellStyle name="Komma 2 6 2 2 2" xfId="1249"/>
    <cellStyle name="Komma 2 6 2 2 2 2" xfId="1250"/>
    <cellStyle name="Komma 2 6 2 2 2 2 2" xfId="1251"/>
    <cellStyle name="Komma 2 6 2 2 2 2 2 2" xfId="1252"/>
    <cellStyle name="Komma 2 6 2 2 2 2 3" xfId="1253"/>
    <cellStyle name="Komma 2 6 2 2 2 3" xfId="1254"/>
    <cellStyle name="Komma 2 6 2 2 2 3 2" xfId="1255"/>
    <cellStyle name="Komma 2 6 2 2 2 4" xfId="1256"/>
    <cellStyle name="Komma 2 6 2 2 3" xfId="1257"/>
    <cellStyle name="Komma 2 6 2 2 3 2" xfId="1258"/>
    <cellStyle name="Komma 2 6 2 2 3 2 2" xfId="1259"/>
    <cellStyle name="Komma 2 6 2 2 3 3" xfId="1260"/>
    <cellStyle name="Komma 2 6 2 2 4" xfId="1261"/>
    <cellStyle name="Komma 2 6 2 2 4 2" xfId="1262"/>
    <cellStyle name="Komma 2 6 2 2 5" xfId="1263"/>
    <cellStyle name="Komma 2 6 2 2 6" xfId="1264"/>
    <cellStyle name="Komma 2 6 2 3" xfId="1265"/>
    <cellStyle name="Komma 2 6 2 3 2" xfId="1266"/>
    <cellStyle name="Komma 2 6 2 3 2 2" xfId="1267"/>
    <cellStyle name="Komma 2 6 2 3 2 2 2" xfId="1268"/>
    <cellStyle name="Komma 2 6 2 3 2 3" xfId="1269"/>
    <cellStyle name="Komma 2 6 2 3 3" xfId="1270"/>
    <cellStyle name="Komma 2 6 2 3 3 2" xfId="1271"/>
    <cellStyle name="Komma 2 6 2 3 4" xfId="1272"/>
    <cellStyle name="Komma 2 6 2 4" xfId="1273"/>
    <cellStyle name="Komma 2 6 2 4 2" xfId="1274"/>
    <cellStyle name="Komma 2 6 2 4 2 2" xfId="1275"/>
    <cellStyle name="Komma 2 6 2 4 3" xfId="1276"/>
    <cellStyle name="Komma 2 6 2 5" xfId="1277"/>
    <cellStyle name="Komma 2 6 2 5 2" xfId="1278"/>
    <cellStyle name="Komma 2 6 2 6" xfId="1279"/>
    <cellStyle name="Komma 2 6 2 7" xfId="1280"/>
    <cellStyle name="Komma 2 6 3" xfId="1281"/>
    <cellStyle name="Komma 2 6 3 2" xfId="1282"/>
    <cellStyle name="Komma 2 6 3 2 2" xfId="1283"/>
    <cellStyle name="Komma 2 6 3 2 2 2" xfId="1284"/>
    <cellStyle name="Komma 2 6 3 2 2 2 2" xfId="1285"/>
    <cellStyle name="Komma 2 6 3 2 2 3" xfId="1286"/>
    <cellStyle name="Komma 2 6 3 2 3" xfId="1287"/>
    <cellStyle name="Komma 2 6 3 2 3 2" xfId="1288"/>
    <cellStyle name="Komma 2 6 3 2 4" xfId="1289"/>
    <cellStyle name="Komma 2 6 3 3" xfId="1290"/>
    <cellStyle name="Komma 2 6 3 3 2" xfId="1291"/>
    <cellStyle name="Komma 2 6 3 3 2 2" xfId="1292"/>
    <cellStyle name="Komma 2 6 3 3 3" xfId="1293"/>
    <cellStyle name="Komma 2 6 3 4" xfId="1294"/>
    <cellStyle name="Komma 2 6 3 4 2" xfId="1295"/>
    <cellStyle name="Komma 2 6 3 5" xfId="1296"/>
    <cellStyle name="Komma 2 6 3 6" xfId="1297"/>
    <cellStyle name="Komma 2 6 4" xfId="1298"/>
    <cellStyle name="Komma 2 6 4 2" xfId="1299"/>
    <cellStyle name="Komma 2 6 4 2 2" xfId="1300"/>
    <cellStyle name="Komma 2 6 4 2 2 2" xfId="1301"/>
    <cellStyle name="Komma 2 6 4 2 3" xfId="1302"/>
    <cellStyle name="Komma 2 6 4 3" xfId="1303"/>
    <cellStyle name="Komma 2 6 4 3 2" xfId="1304"/>
    <cellStyle name="Komma 2 6 4 4" xfId="1305"/>
    <cellStyle name="Komma 2 6 5" xfId="1306"/>
    <cellStyle name="Komma 2 6 5 2" xfId="1307"/>
    <cellStyle name="Komma 2 6 5 2 2" xfId="1308"/>
    <cellStyle name="Komma 2 6 5 3" xfId="1309"/>
    <cellStyle name="Komma 2 6 6" xfId="1310"/>
    <cellStyle name="Komma 2 6 6 2" xfId="1311"/>
    <cellStyle name="Komma 2 6 7" xfId="1312"/>
    <cellStyle name="Komma 2 6 8" xfId="1313"/>
    <cellStyle name="Komma 2 7" xfId="1314"/>
    <cellStyle name="Komma 2 7 2" xfId="1315"/>
    <cellStyle name="Komma 2 7 2 2" xfId="1316"/>
    <cellStyle name="Komma 2 7 2 2 2" xfId="1317"/>
    <cellStyle name="Komma 2 7 2 2 2 2" xfId="1318"/>
    <cellStyle name="Komma 2 7 2 2 2 2 2" xfId="1319"/>
    <cellStyle name="Komma 2 7 2 2 2 3" xfId="1320"/>
    <cellStyle name="Komma 2 7 2 2 3" xfId="1321"/>
    <cellStyle name="Komma 2 7 2 2 3 2" xfId="1322"/>
    <cellStyle name="Komma 2 7 2 2 4" xfId="1323"/>
    <cellStyle name="Komma 2 7 2 3" xfId="1324"/>
    <cellStyle name="Komma 2 7 2 3 2" xfId="1325"/>
    <cellStyle name="Komma 2 7 2 3 2 2" xfId="1326"/>
    <cellStyle name="Komma 2 7 2 3 3" xfId="1327"/>
    <cellStyle name="Komma 2 7 2 4" xfId="1328"/>
    <cellStyle name="Komma 2 7 2 4 2" xfId="1329"/>
    <cellStyle name="Komma 2 7 2 5" xfId="1330"/>
    <cellStyle name="Komma 2 7 2 6" xfId="1331"/>
    <cellStyle name="Komma 2 7 3" xfId="1332"/>
    <cellStyle name="Komma 2 7 3 2" xfId="1333"/>
    <cellStyle name="Komma 2 7 3 2 2" xfId="1334"/>
    <cellStyle name="Komma 2 7 3 2 2 2" xfId="1335"/>
    <cellStyle name="Komma 2 7 3 2 3" xfId="1336"/>
    <cellStyle name="Komma 2 7 3 3" xfId="1337"/>
    <cellStyle name="Komma 2 7 3 3 2" xfId="1338"/>
    <cellStyle name="Komma 2 7 3 4" xfId="1339"/>
    <cellStyle name="Komma 2 7 4" xfId="1340"/>
    <cellStyle name="Komma 2 7 4 2" xfId="1341"/>
    <cellStyle name="Komma 2 7 4 2 2" xfId="1342"/>
    <cellStyle name="Komma 2 7 4 3" xfId="1343"/>
    <cellStyle name="Komma 2 7 5" xfId="1344"/>
    <cellStyle name="Komma 2 7 5 2" xfId="1345"/>
    <cellStyle name="Komma 2 7 6" xfId="1346"/>
    <cellStyle name="Komma 2 7 7" xfId="1347"/>
    <cellStyle name="Komma 2 8" xfId="1348"/>
    <cellStyle name="Komma 2 8 2" xfId="1349"/>
    <cellStyle name="Komma 2 8 2 2" xfId="1350"/>
    <cellStyle name="Komma 2 8 2 2 2" xfId="1351"/>
    <cellStyle name="Komma 2 8 2 2 2 2" xfId="1352"/>
    <cellStyle name="Komma 2 8 2 2 3" xfId="1353"/>
    <cellStyle name="Komma 2 8 2 3" xfId="1354"/>
    <cellStyle name="Komma 2 8 2 3 2" xfId="1355"/>
    <cellStyle name="Komma 2 8 2 4" xfId="1356"/>
    <cellStyle name="Komma 2 8 3" xfId="1357"/>
    <cellStyle name="Komma 2 8 3 2" xfId="1358"/>
    <cellStyle name="Komma 2 8 3 2 2" xfId="1359"/>
    <cellStyle name="Komma 2 8 3 3" xfId="1360"/>
    <cellStyle name="Komma 2 8 4" xfId="1361"/>
    <cellStyle name="Komma 2 8 4 2" xfId="1362"/>
    <cellStyle name="Komma 2 8 5" xfId="1363"/>
    <cellStyle name="Komma 2 8 6" xfId="1364"/>
    <cellStyle name="Komma 2 9" xfId="1365"/>
    <cellStyle name="Komma 2 9 2" xfId="1366"/>
    <cellStyle name="Komma 2 9 2 2" xfId="1367"/>
    <cellStyle name="Komma 2 9 2 2 2" xfId="1368"/>
    <cellStyle name="Komma 2 9 2 3" xfId="1369"/>
    <cellStyle name="Komma 2 9 3" xfId="1370"/>
    <cellStyle name="Komma 2 9 3 2" xfId="1371"/>
    <cellStyle name="Komma 2 9 4" xfId="1372"/>
    <cellStyle name="Komma 3" xfId="1373"/>
    <cellStyle name="Komma 3 2" xfId="1374"/>
    <cellStyle name="Komma 4" xfId="1375"/>
    <cellStyle name="Komma 4 10" xfId="1376"/>
    <cellStyle name="Komma 4 10 2" xfId="1377"/>
    <cellStyle name="Komma 4 10 2 2" xfId="1378"/>
    <cellStyle name="Komma 4 10 3" xfId="1379"/>
    <cellStyle name="Komma 4 11" xfId="1380"/>
    <cellStyle name="Komma 4 11 2" xfId="1381"/>
    <cellStyle name="Komma 4 12" xfId="1382"/>
    <cellStyle name="Komma 4 13" xfId="1383"/>
    <cellStyle name="Komma 4 2" xfId="1384"/>
    <cellStyle name="Komma 4 2 10" xfId="1385"/>
    <cellStyle name="Komma 4 2 10 2" xfId="1386"/>
    <cellStyle name="Komma 4 2 11" xfId="1387"/>
    <cellStyle name="Komma 4 2 12" xfId="1388"/>
    <cellStyle name="Komma 4 2 2" xfId="1389"/>
    <cellStyle name="Komma 4 2 2 10" xfId="1390"/>
    <cellStyle name="Komma 4 2 2 11" xfId="1391"/>
    <cellStyle name="Komma 4 2 2 2" xfId="1392"/>
    <cellStyle name="Komma 4 2 2 2 2" xfId="1393"/>
    <cellStyle name="Komma 4 2 2 2 2 2" xfId="1394"/>
    <cellStyle name="Komma 4 2 2 2 2 2 2" xfId="1395"/>
    <cellStyle name="Komma 4 2 2 2 2 2 2 2" xfId="1396"/>
    <cellStyle name="Komma 4 2 2 2 2 2 2 2 2" xfId="1397"/>
    <cellStyle name="Komma 4 2 2 2 2 2 2 2 2 2" xfId="1398"/>
    <cellStyle name="Komma 4 2 2 2 2 2 2 2 2 2 2" xfId="1399"/>
    <cellStyle name="Komma 4 2 2 2 2 2 2 2 2 3" xfId="1400"/>
    <cellStyle name="Komma 4 2 2 2 2 2 2 2 3" xfId="1401"/>
    <cellStyle name="Komma 4 2 2 2 2 2 2 2 3 2" xfId="1402"/>
    <cellStyle name="Komma 4 2 2 2 2 2 2 2 4" xfId="1403"/>
    <cellStyle name="Komma 4 2 2 2 2 2 2 3" xfId="1404"/>
    <cellStyle name="Komma 4 2 2 2 2 2 2 3 2" xfId="1405"/>
    <cellStyle name="Komma 4 2 2 2 2 2 2 3 2 2" xfId="1406"/>
    <cellStyle name="Komma 4 2 2 2 2 2 2 3 3" xfId="1407"/>
    <cellStyle name="Komma 4 2 2 2 2 2 2 4" xfId="1408"/>
    <cellStyle name="Komma 4 2 2 2 2 2 2 4 2" xfId="1409"/>
    <cellStyle name="Komma 4 2 2 2 2 2 2 5" xfId="1410"/>
    <cellStyle name="Komma 4 2 2 2 2 2 2 6" xfId="1411"/>
    <cellStyle name="Komma 4 2 2 2 2 2 3" xfId="1412"/>
    <cellStyle name="Komma 4 2 2 2 2 2 3 2" xfId="1413"/>
    <cellStyle name="Komma 4 2 2 2 2 2 3 2 2" xfId="1414"/>
    <cellStyle name="Komma 4 2 2 2 2 2 3 2 2 2" xfId="1415"/>
    <cellStyle name="Komma 4 2 2 2 2 2 3 2 3" xfId="1416"/>
    <cellStyle name="Komma 4 2 2 2 2 2 3 3" xfId="1417"/>
    <cellStyle name="Komma 4 2 2 2 2 2 3 3 2" xfId="1418"/>
    <cellStyle name="Komma 4 2 2 2 2 2 3 4" xfId="1419"/>
    <cellStyle name="Komma 4 2 2 2 2 2 4" xfId="1420"/>
    <cellStyle name="Komma 4 2 2 2 2 2 4 2" xfId="1421"/>
    <cellStyle name="Komma 4 2 2 2 2 2 4 2 2" xfId="1422"/>
    <cellStyle name="Komma 4 2 2 2 2 2 4 3" xfId="1423"/>
    <cellStyle name="Komma 4 2 2 2 2 2 5" xfId="1424"/>
    <cellStyle name="Komma 4 2 2 2 2 2 5 2" xfId="1425"/>
    <cellStyle name="Komma 4 2 2 2 2 2 6" xfId="1426"/>
    <cellStyle name="Komma 4 2 2 2 2 2 7" xfId="1427"/>
    <cellStyle name="Komma 4 2 2 2 2 3" xfId="1428"/>
    <cellStyle name="Komma 4 2 2 2 2 3 2" xfId="1429"/>
    <cellStyle name="Komma 4 2 2 2 2 3 2 2" xfId="1430"/>
    <cellStyle name="Komma 4 2 2 2 2 3 2 2 2" xfId="1431"/>
    <cellStyle name="Komma 4 2 2 2 2 3 2 2 2 2" xfId="1432"/>
    <cellStyle name="Komma 4 2 2 2 2 3 2 2 3" xfId="1433"/>
    <cellStyle name="Komma 4 2 2 2 2 3 2 3" xfId="1434"/>
    <cellStyle name="Komma 4 2 2 2 2 3 2 3 2" xfId="1435"/>
    <cellStyle name="Komma 4 2 2 2 2 3 2 4" xfId="1436"/>
    <cellStyle name="Komma 4 2 2 2 2 3 3" xfId="1437"/>
    <cellStyle name="Komma 4 2 2 2 2 3 3 2" xfId="1438"/>
    <cellStyle name="Komma 4 2 2 2 2 3 3 2 2" xfId="1439"/>
    <cellStyle name="Komma 4 2 2 2 2 3 3 3" xfId="1440"/>
    <cellStyle name="Komma 4 2 2 2 2 3 4" xfId="1441"/>
    <cellStyle name="Komma 4 2 2 2 2 3 4 2" xfId="1442"/>
    <cellStyle name="Komma 4 2 2 2 2 3 5" xfId="1443"/>
    <cellStyle name="Komma 4 2 2 2 2 3 6" xfId="1444"/>
    <cellStyle name="Komma 4 2 2 2 2 4" xfId="1445"/>
    <cellStyle name="Komma 4 2 2 2 2 4 2" xfId="1446"/>
    <cellStyle name="Komma 4 2 2 2 2 4 2 2" xfId="1447"/>
    <cellStyle name="Komma 4 2 2 2 2 4 2 2 2" xfId="1448"/>
    <cellStyle name="Komma 4 2 2 2 2 4 2 3" xfId="1449"/>
    <cellStyle name="Komma 4 2 2 2 2 4 3" xfId="1450"/>
    <cellStyle name="Komma 4 2 2 2 2 4 3 2" xfId="1451"/>
    <cellStyle name="Komma 4 2 2 2 2 4 4" xfId="1452"/>
    <cellStyle name="Komma 4 2 2 2 2 5" xfId="1453"/>
    <cellStyle name="Komma 4 2 2 2 2 5 2" xfId="1454"/>
    <cellStyle name="Komma 4 2 2 2 2 5 2 2" xfId="1455"/>
    <cellStyle name="Komma 4 2 2 2 2 5 3" xfId="1456"/>
    <cellStyle name="Komma 4 2 2 2 2 6" xfId="1457"/>
    <cellStyle name="Komma 4 2 2 2 2 6 2" xfId="1458"/>
    <cellStyle name="Komma 4 2 2 2 2 7" xfId="1459"/>
    <cellStyle name="Komma 4 2 2 2 2 8" xfId="1460"/>
    <cellStyle name="Komma 4 2 2 2 3" xfId="1461"/>
    <cellStyle name="Komma 4 2 2 2 3 2" xfId="1462"/>
    <cellStyle name="Komma 4 2 2 2 3 2 2" xfId="1463"/>
    <cellStyle name="Komma 4 2 2 2 3 2 2 2" xfId="1464"/>
    <cellStyle name="Komma 4 2 2 2 3 2 2 2 2" xfId="1465"/>
    <cellStyle name="Komma 4 2 2 2 3 2 2 2 2 2" xfId="1466"/>
    <cellStyle name="Komma 4 2 2 2 3 2 2 2 3" xfId="1467"/>
    <cellStyle name="Komma 4 2 2 2 3 2 2 3" xfId="1468"/>
    <cellStyle name="Komma 4 2 2 2 3 2 2 3 2" xfId="1469"/>
    <cellStyle name="Komma 4 2 2 2 3 2 2 4" xfId="1470"/>
    <cellStyle name="Komma 4 2 2 2 3 2 3" xfId="1471"/>
    <cellStyle name="Komma 4 2 2 2 3 2 3 2" xfId="1472"/>
    <cellStyle name="Komma 4 2 2 2 3 2 3 2 2" xfId="1473"/>
    <cellStyle name="Komma 4 2 2 2 3 2 3 3" xfId="1474"/>
    <cellStyle name="Komma 4 2 2 2 3 2 4" xfId="1475"/>
    <cellStyle name="Komma 4 2 2 2 3 2 4 2" xfId="1476"/>
    <cellStyle name="Komma 4 2 2 2 3 2 5" xfId="1477"/>
    <cellStyle name="Komma 4 2 2 2 3 2 6" xfId="1478"/>
    <cellStyle name="Komma 4 2 2 2 3 3" xfId="1479"/>
    <cellStyle name="Komma 4 2 2 2 3 3 2" xfId="1480"/>
    <cellStyle name="Komma 4 2 2 2 3 3 2 2" xfId="1481"/>
    <cellStyle name="Komma 4 2 2 2 3 3 2 2 2" xfId="1482"/>
    <cellStyle name="Komma 4 2 2 2 3 3 2 3" xfId="1483"/>
    <cellStyle name="Komma 4 2 2 2 3 3 3" xfId="1484"/>
    <cellStyle name="Komma 4 2 2 2 3 3 3 2" xfId="1485"/>
    <cellStyle name="Komma 4 2 2 2 3 3 4" xfId="1486"/>
    <cellStyle name="Komma 4 2 2 2 3 4" xfId="1487"/>
    <cellStyle name="Komma 4 2 2 2 3 4 2" xfId="1488"/>
    <cellStyle name="Komma 4 2 2 2 3 4 2 2" xfId="1489"/>
    <cellStyle name="Komma 4 2 2 2 3 4 3" xfId="1490"/>
    <cellStyle name="Komma 4 2 2 2 3 5" xfId="1491"/>
    <cellStyle name="Komma 4 2 2 2 3 5 2" xfId="1492"/>
    <cellStyle name="Komma 4 2 2 2 3 6" xfId="1493"/>
    <cellStyle name="Komma 4 2 2 2 3 7" xfId="1494"/>
    <cellStyle name="Komma 4 2 2 2 4" xfId="1495"/>
    <cellStyle name="Komma 4 2 2 2 4 2" xfId="1496"/>
    <cellStyle name="Komma 4 2 2 2 4 2 2" xfId="1497"/>
    <cellStyle name="Komma 4 2 2 2 4 2 2 2" xfId="1498"/>
    <cellStyle name="Komma 4 2 2 2 4 2 2 2 2" xfId="1499"/>
    <cellStyle name="Komma 4 2 2 2 4 2 2 3" xfId="1500"/>
    <cellStyle name="Komma 4 2 2 2 4 2 3" xfId="1501"/>
    <cellStyle name="Komma 4 2 2 2 4 2 3 2" xfId="1502"/>
    <cellStyle name="Komma 4 2 2 2 4 2 4" xfId="1503"/>
    <cellStyle name="Komma 4 2 2 2 4 3" xfId="1504"/>
    <cellStyle name="Komma 4 2 2 2 4 3 2" xfId="1505"/>
    <cellStyle name="Komma 4 2 2 2 4 3 2 2" xfId="1506"/>
    <cellStyle name="Komma 4 2 2 2 4 3 3" xfId="1507"/>
    <cellStyle name="Komma 4 2 2 2 4 4" xfId="1508"/>
    <cellStyle name="Komma 4 2 2 2 4 4 2" xfId="1509"/>
    <cellStyle name="Komma 4 2 2 2 4 5" xfId="1510"/>
    <cellStyle name="Komma 4 2 2 2 4 6" xfId="1511"/>
    <cellStyle name="Komma 4 2 2 2 5" xfId="1512"/>
    <cellStyle name="Komma 4 2 2 2 5 2" xfId="1513"/>
    <cellStyle name="Komma 4 2 2 2 5 2 2" xfId="1514"/>
    <cellStyle name="Komma 4 2 2 2 5 2 2 2" xfId="1515"/>
    <cellStyle name="Komma 4 2 2 2 5 2 3" xfId="1516"/>
    <cellStyle name="Komma 4 2 2 2 5 3" xfId="1517"/>
    <cellStyle name="Komma 4 2 2 2 5 3 2" xfId="1518"/>
    <cellStyle name="Komma 4 2 2 2 5 4" xfId="1519"/>
    <cellStyle name="Komma 4 2 2 2 6" xfId="1520"/>
    <cellStyle name="Komma 4 2 2 2 6 2" xfId="1521"/>
    <cellStyle name="Komma 4 2 2 2 6 2 2" xfId="1522"/>
    <cellStyle name="Komma 4 2 2 2 6 3" xfId="1523"/>
    <cellStyle name="Komma 4 2 2 2 7" xfId="1524"/>
    <cellStyle name="Komma 4 2 2 2 7 2" xfId="1525"/>
    <cellStyle name="Komma 4 2 2 2 8" xfId="1526"/>
    <cellStyle name="Komma 4 2 2 2 9" xfId="1527"/>
    <cellStyle name="Komma 4 2 2 3" xfId="1528"/>
    <cellStyle name="Komma 4 2 2 3 2" xfId="1529"/>
    <cellStyle name="Komma 4 2 2 3 2 2" xfId="1530"/>
    <cellStyle name="Komma 4 2 2 3 2 2 2" xfId="1531"/>
    <cellStyle name="Komma 4 2 2 3 2 2 2 2" xfId="1532"/>
    <cellStyle name="Komma 4 2 2 3 2 2 2 2 2" xfId="1533"/>
    <cellStyle name="Komma 4 2 2 3 2 2 2 2 2 2" xfId="1534"/>
    <cellStyle name="Komma 4 2 2 3 2 2 2 2 3" xfId="1535"/>
    <cellStyle name="Komma 4 2 2 3 2 2 2 3" xfId="1536"/>
    <cellStyle name="Komma 4 2 2 3 2 2 2 3 2" xfId="1537"/>
    <cellStyle name="Komma 4 2 2 3 2 2 2 4" xfId="1538"/>
    <cellStyle name="Komma 4 2 2 3 2 2 3" xfId="1539"/>
    <cellStyle name="Komma 4 2 2 3 2 2 3 2" xfId="1540"/>
    <cellStyle name="Komma 4 2 2 3 2 2 3 2 2" xfId="1541"/>
    <cellStyle name="Komma 4 2 2 3 2 2 3 3" xfId="1542"/>
    <cellStyle name="Komma 4 2 2 3 2 2 4" xfId="1543"/>
    <cellStyle name="Komma 4 2 2 3 2 2 4 2" xfId="1544"/>
    <cellStyle name="Komma 4 2 2 3 2 2 5" xfId="1545"/>
    <cellStyle name="Komma 4 2 2 3 2 2 6" xfId="1546"/>
    <cellStyle name="Komma 4 2 2 3 2 3" xfId="1547"/>
    <cellStyle name="Komma 4 2 2 3 2 3 2" xfId="1548"/>
    <cellStyle name="Komma 4 2 2 3 2 3 2 2" xfId="1549"/>
    <cellStyle name="Komma 4 2 2 3 2 3 2 2 2" xfId="1550"/>
    <cellStyle name="Komma 4 2 2 3 2 3 2 3" xfId="1551"/>
    <cellStyle name="Komma 4 2 2 3 2 3 3" xfId="1552"/>
    <cellStyle name="Komma 4 2 2 3 2 3 3 2" xfId="1553"/>
    <cellStyle name="Komma 4 2 2 3 2 3 4" xfId="1554"/>
    <cellStyle name="Komma 4 2 2 3 2 4" xfId="1555"/>
    <cellStyle name="Komma 4 2 2 3 2 4 2" xfId="1556"/>
    <cellStyle name="Komma 4 2 2 3 2 4 2 2" xfId="1557"/>
    <cellStyle name="Komma 4 2 2 3 2 4 3" xfId="1558"/>
    <cellStyle name="Komma 4 2 2 3 2 5" xfId="1559"/>
    <cellStyle name="Komma 4 2 2 3 2 5 2" xfId="1560"/>
    <cellStyle name="Komma 4 2 2 3 2 6" xfId="1561"/>
    <cellStyle name="Komma 4 2 2 3 2 7" xfId="1562"/>
    <cellStyle name="Komma 4 2 2 3 3" xfId="1563"/>
    <cellStyle name="Komma 4 2 2 3 3 2" xfId="1564"/>
    <cellStyle name="Komma 4 2 2 3 3 2 2" xfId="1565"/>
    <cellStyle name="Komma 4 2 2 3 3 2 2 2" xfId="1566"/>
    <cellStyle name="Komma 4 2 2 3 3 2 2 2 2" xfId="1567"/>
    <cellStyle name="Komma 4 2 2 3 3 2 2 3" xfId="1568"/>
    <cellStyle name="Komma 4 2 2 3 3 2 3" xfId="1569"/>
    <cellStyle name="Komma 4 2 2 3 3 2 3 2" xfId="1570"/>
    <cellStyle name="Komma 4 2 2 3 3 2 4" xfId="1571"/>
    <cellStyle name="Komma 4 2 2 3 3 3" xfId="1572"/>
    <cellStyle name="Komma 4 2 2 3 3 3 2" xfId="1573"/>
    <cellStyle name="Komma 4 2 2 3 3 3 2 2" xfId="1574"/>
    <cellStyle name="Komma 4 2 2 3 3 3 3" xfId="1575"/>
    <cellStyle name="Komma 4 2 2 3 3 4" xfId="1576"/>
    <cellStyle name="Komma 4 2 2 3 3 4 2" xfId="1577"/>
    <cellStyle name="Komma 4 2 2 3 3 5" xfId="1578"/>
    <cellStyle name="Komma 4 2 2 3 3 6" xfId="1579"/>
    <cellStyle name="Komma 4 2 2 3 4" xfId="1580"/>
    <cellStyle name="Komma 4 2 2 3 4 2" xfId="1581"/>
    <cellStyle name="Komma 4 2 2 3 4 2 2" xfId="1582"/>
    <cellStyle name="Komma 4 2 2 3 4 2 2 2" xfId="1583"/>
    <cellStyle name="Komma 4 2 2 3 4 2 3" xfId="1584"/>
    <cellStyle name="Komma 4 2 2 3 4 3" xfId="1585"/>
    <cellStyle name="Komma 4 2 2 3 4 3 2" xfId="1586"/>
    <cellStyle name="Komma 4 2 2 3 4 4" xfId="1587"/>
    <cellStyle name="Komma 4 2 2 3 5" xfId="1588"/>
    <cellStyle name="Komma 4 2 2 3 5 2" xfId="1589"/>
    <cellStyle name="Komma 4 2 2 3 5 2 2" xfId="1590"/>
    <cellStyle name="Komma 4 2 2 3 5 3" xfId="1591"/>
    <cellStyle name="Komma 4 2 2 3 6" xfId="1592"/>
    <cellStyle name="Komma 4 2 2 3 6 2" xfId="1593"/>
    <cellStyle name="Komma 4 2 2 3 7" xfId="1594"/>
    <cellStyle name="Komma 4 2 2 3 8" xfId="1595"/>
    <cellStyle name="Komma 4 2 2 4" xfId="1596"/>
    <cellStyle name="Komma 4 2 2 4 2" xfId="1597"/>
    <cellStyle name="Komma 4 2 2 4 2 2" xfId="1598"/>
    <cellStyle name="Komma 4 2 2 4 2 2 2" xfId="1599"/>
    <cellStyle name="Komma 4 2 2 4 2 2 2 2" xfId="1600"/>
    <cellStyle name="Komma 4 2 2 4 2 2 2 2 2" xfId="1601"/>
    <cellStyle name="Komma 4 2 2 4 2 2 2 2 2 2" xfId="1602"/>
    <cellStyle name="Komma 4 2 2 4 2 2 2 2 3" xfId="1603"/>
    <cellStyle name="Komma 4 2 2 4 2 2 2 3" xfId="1604"/>
    <cellStyle name="Komma 4 2 2 4 2 2 2 3 2" xfId="1605"/>
    <cellStyle name="Komma 4 2 2 4 2 2 2 4" xfId="1606"/>
    <cellStyle name="Komma 4 2 2 4 2 2 3" xfId="1607"/>
    <cellStyle name="Komma 4 2 2 4 2 2 3 2" xfId="1608"/>
    <cellStyle name="Komma 4 2 2 4 2 2 3 2 2" xfId="1609"/>
    <cellStyle name="Komma 4 2 2 4 2 2 3 3" xfId="1610"/>
    <cellStyle name="Komma 4 2 2 4 2 2 4" xfId="1611"/>
    <cellStyle name="Komma 4 2 2 4 2 2 4 2" xfId="1612"/>
    <cellStyle name="Komma 4 2 2 4 2 2 5" xfId="1613"/>
    <cellStyle name="Komma 4 2 2 4 2 2 6" xfId="1614"/>
    <cellStyle name="Komma 4 2 2 4 2 3" xfId="1615"/>
    <cellStyle name="Komma 4 2 2 4 2 3 2" xfId="1616"/>
    <cellStyle name="Komma 4 2 2 4 2 3 2 2" xfId="1617"/>
    <cellStyle name="Komma 4 2 2 4 2 3 2 2 2" xfId="1618"/>
    <cellStyle name="Komma 4 2 2 4 2 3 2 3" xfId="1619"/>
    <cellStyle name="Komma 4 2 2 4 2 3 3" xfId="1620"/>
    <cellStyle name="Komma 4 2 2 4 2 3 3 2" xfId="1621"/>
    <cellStyle name="Komma 4 2 2 4 2 3 4" xfId="1622"/>
    <cellStyle name="Komma 4 2 2 4 2 4" xfId="1623"/>
    <cellStyle name="Komma 4 2 2 4 2 4 2" xfId="1624"/>
    <cellStyle name="Komma 4 2 2 4 2 4 2 2" xfId="1625"/>
    <cellStyle name="Komma 4 2 2 4 2 4 3" xfId="1626"/>
    <cellStyle name="Komma 4 2 2 4 2 5" xfId="1627"/>
    <cellStyle name="Komma 4 2 2 4 2 5 2" xfId="1628"/>
    <cellStyle name="Komma 4 2 2 4 2 6" xfId="1629"/>
    <cellStyle name="Komma 4 2 2 4 2 7" xfId="1630"/>
    <cellStyle name="Komma 4 2 2 4 3" xfId="1631"/>
    <cellStyle name="Komma 4 2 2 4 3 2" xfId="1632"/>
    <cellStyle name="Komma 4 2 2 4 3 2 2" xfId="1633"/>
    <cellStyle name="Komma 4 2 2 4 3 2 2 2" xfId="1634"/>
    <cellStyle name="Komma 4 2 2 4 3 2 2 2 2" xfId="1635"/>
    <cellStyle name="Komma 4 2 2 4 3 2 2 3" xfId="1636"/>
    <cellStyle name="Komma 4 2 2 4 3 2 3" xfId="1637"/>
    <cellStyle name="Komma 4 2 2 4 3 2 3 2" xfId="1638"/>
    <cellStyle name="Komma 4 2 2 4 3 2 4" xfId="1639"/>
    <cellStyle name="Komma 4 2 2 4 3 3" xfId="1640"/>
    <cellStyle name="Komma 4 2 2 4 3 3 2" xfId="1641"/>
    <cellStyle name="Komma 4 2 2 4 3 3 2 2" xfId="1642"/>
    <cellStyle name="Komma 4 2 2 4 3 3 3" xfId="1643"/>
    <cellStyle name="Komma 4 2 2 4 3 4" xfId="1644"/>
    <cellStyle name="Komma 4 2 2 4 3 4 2" xfId="1645"/>
    <cellStyle name="Komma 4 2 2 4 3 5" xfId="1646"/>
    <cellStyle name="Komma 4 2 2 4 3 6" xfId="1647"/>
    <cellStyle name="Komma 4 2 2 4 4" xfId="1648"/>
    <cellStyle name="Komma 4 2 2 4 4 2" xfId="1649"/>
    <cellStyle name="Komma 4 2 2 4 4 2 2" xfId="1650"/>
    <cellStyle name="Komma 4 2 2 4 4 2 2 2" xfId="1651"/>
    <cellStyle name="Komma 4 2 2 4 4 2 3" xfId="1652"/>
    <cellStyle name="Komma 4 2 2 4 4 3" xfId="1653"/>
    <cellStyle name="Komma 4 2 2 4 4 3 2" xfId="1654"/>
    <cellStyle name="Komma 4 2 2 4 4 4" xfId="1655"/>
    <cellStyle name="Komma 4 2 2 4 5" xfId="1656"/>
    <cellStyle name="Komma 4 2 2 4 5 2" xfId="1657"/>
    <cellStyle name="Komma 4 2 2 4 5 2 2" xfId="1658"/>
    <cellStyle name="Komma 4 2 2 4 5 3" xfId="1659"/>
    <cellStyle name="Komma 4 2 2 4 6" xfId="1660"/>
    <cellStyle name="Komma 4 2 2 4 6 2" xfId="1661"/>
    <cellStyle name="Komma 4 2 2 4 7" xfId="1662"/>
    <cellStyle name="Komma 4 2 2 4 8" xfId="1663"/>
    <cellStyle name="Komma 4 2 2 5" xfId="1664"/>
    <cellStyle name="Komma 4 2 2 5 2" xfId="1665"/>
    <cellStyle name="Komma 4 2 2 5 2 2" xfId="1666"/>
    <cellStyle name="Komma 4 2 2 5 2 2 2" xfId="1667"/>
    <cellStyle name="Komma 4 2 2 5 2 2 2 2" xfId="1668"/>
    <cellStyle name="Komma 4 2 2 5 2 2 2 2 2" xfId="1669"/>
    <cellStyle name="Komma 4 2 2 5 2 2 2 3" xfId="1670"/>
    <cellStyle name="Komma 4 2 2 5 2 2 3" xfId="1671"/>
    <cellStyle name="Komma 4 2 2 5 2 2 3 2" xfId="1672"/>
    <cellStyle name="Komma 4 2 2 5 2 2 4" xfId="1673"/>
    <cellStyle name="Komma 4 2 2 5 2 3" xfId="1674"/>
    <cellStyle name="Komma 4 2 2 5 2 3 2" xfId="1675"/>
    <cellStyle name="Komma 4 2 2 5 2 3 2 2" xfId="1676"/>
    <cellStyle name="Komma 4 2 2 5 2 3 3" xfId="1677"/>
    <cellStyle name="Komma 4 2 2 5 2 4" xfId="1678"/>
    <cellStyle name="Komma 4 2 2 5 2 4 2" xfId="1679"/>
    <cellStyle name="Komma 4 2 2 5 2 5" xfId="1680"/>
    <cellStyle name="Komma 4 2 2 5 2 6" xfId="1681"/>
    <cellStyle name="Komma 4 2 2 5 3" xfId="1682"/>
    <cellStyle name="Komma 4 2 2 5 3 2" xfId="1683"/>
    <cellStyle name="Komma 4 2 2 5 3 2 2" xfId="1684"/>
    <cellStyle name="Komma 4 2 2 5 3 2 2 2" xfId="1685"/>
    <cellStyle name="Komma 4 2 2 5 3 2 3" xfId="1686"/>
    <cellStyle name="Komma 4 2 2 5 3 3" xfId="1687"/>
    <cellStyle name="Komma 4 2 2 5 3 3 2" xfId="1688"/>
    <cellStyle name="Komma 4 2 2 5 3 4" xfId="1689"/>
    <cellStyle name="Komma 4 2 2 5 4" xfId="1690"/>
    <cellStyle name="Komma 4 2 2 5 4 2" xfId="1691"/>
    <cellStyle name="Komma 4 2 2 5 4 2 2" xfId="1692"/>
    <cellStyle name="Komma 4 2 2 5 4 3" xfId="1693"/>
    <cellStyle name="Komma 4 2 2 5 5" xfId="1694"/>
    <cellStyle name="Komma 4 2 2 5 5 2" xfId="1695"/>
    <cellStyle name="Komma 4 2 2 5 6" xfId="1696"/>
    <cellStyle name="Komma 4 2 2 5 7" xfId="1697"/>
    <cellStyle name="Komma 4 2 2 6" xfId="1698"/>
    <cellStyle name="Komma 4 2 2 6 2" xfId="1699"/>
    <cellStyle name="Komma 4 2 2 6 2 2" xfId="1700"/>
    <cellStyle name="Komma 4 2 2 6 2 2 2" xfId="1701"/>
    <cellStyle name="Komma 4 2 2 6 2 2 2 2" xfId="1702"/>
    <cellStyle name="Komma 4 2 2 6 2 2 3" xfId="1703"/>
    <cellStyle name="Komma 4 2 2 6 2 3" xfId="1704"/>
    <cellStyle name="Komma 4 2 2 6 2 3 2" xfId="1705"/>
    <cellStyle name="Komma 4 2 2 6 2 4" xfId="1706"/>
    <cellStyle name="Komma 4 2 2 6 3" xfId="1707"/>
    <cellStyle name="Komma 4 2 2 6 3 2" xfId="1708"/>
    <cellStyle name="Komma 4 2 2 6 3 2 2" xfId="1709"/>
    <cellStyle name="Komma 4 2 2 6 3 3" xfId="1710"/>
    <cellStyle name="Komma 4 2 2 6 4" xfId="1711"/>
    <cellStyle name="Komma 4 2 2 6 4 2" xfId="1712"/>
    <cellStyle name="Komma 4 2 2 6 5" xfId="1713"/>
    <cellStyle name="Komma 4 2 2 6 6" xfId="1714"/>
    <cellStyle name="Komma 4 2 2 7" xfId="1715"/>
    <cellStyle name="Komma 4 2 2 7 2" xfId="1716"/>
    <cellStyle name="Komma 4 2 2 7 2 2" xfId="1717"/>
    <cellStyle name="Komma 4 2 2 7 2 2 2" xfId="1718"/>
    <cellStyle name="Komma 4 2 2 7 2 3" xfId="1719"/>
    <cellStyle name="Komma 4 2 2 7 3" xfId="1720"/>
    <cellStyle name="Komma 4 2 2 7 3 2" xfId="1721"/>
    <cellStyle name="Komma 4 2 2 7 4" xfId="1722"/>
    <cellStyle name="Komma 4 2 2 8" xfId="1723"/>
    <cellStyle name="Komma 4 2 2 8 2" xfId="1724"/>
    <cellStyle name="Komma 4 2 2 8 2 2" xfId="1725"/>
    <cellStyle name="Komma 4 2 2 8 3" xfId="1726"/>
    <cellStyle name="Komma 4 2 2 9" xfId="1727"/>
    <cellStyle name="Komma 4 2 2 9 2" xfId="1728"/>
    <cellStyle name="Komma 4 2 3" xfId="1729"/>
    <cellStyle name="Komma 4 2 3 2" xfId="1730"/>
    <cellStyle name="Komma 4 2 3 2 2" xfId="1731"/>
    <cellStyle name="Komma 4 2 3 2 2 2" xfId="1732"/>
    <cellStyle name="Komma 4 2 3 2 2 2 2" xfId="1733"/>
    <cellStyle name="Komma 4 2 3 2 2 2 2 2" xfId="1734"/>
    <cellStyle name="Komma 4 2 3 2 2 2 2 2 2" xfId="1735"/>
    <cellStyle name="Komma 4 2 3 2 2 2 2 2 2 2" xfId="1736"/>
    <cellStyle name="Komma 4 2 3 2 2 2 2 2 3" xfId="1737"/>
    <cellStyle name="Komma 4 2 3 2 2 2 2 3" xfId="1738"/>
    <cellStyle name="Komma 4 2 3 2 2 2 2 3 2" xfId="1739"/>
    <cellStyle name="Komma 4 2 3 2 2 2 2 4" xfId="1740"/>
    <cellStyle name="Komma 4 2 3 2 2 2 3" xfId="1741"/>
    <cellStyle name="Komma 4 2 3 2 2 2 3 2" xfId="1742"/>
    <cellStyle name="Komma 4 2 3 2 2 2 3 2 2" xfId="1743"/>
    <cellStyle name="Komma 4 2 3 2 2 2 3 3" xfId="1744"/>
    <cellStyle name="Komma 4 2 3 2 2 2 4" xfId="1745"/>
    <cellStyle name="Komma 4 2 3 2 2 2 4 2" xfId="1746"/>
    <cellStyle name="Komma 4 2 3 2 2 2 5" xfId="1747"/>
    <cellStyle name="Komma 4 2 3 2 2 2 6" xfId="1748"/>
    <cellStyle name="Komma 4 2 3 2 2 3" xfId="1749"/>
    <cellStyle name="Komma 4 2 3 2 2 3 2" xfId="1750"/>
    <cellStyle name="Komma 4 2 3 2 2 3 2 2" xfId="1751"/>
    <cellStyle name="Komma 4 2 3 2 2 3 2 2 2" xfId="1752"/>
    <cellStyle name="Komma 4 2 3 2 2 3 2 3" xfId="1753"/>
    <cellStyle name="Komma 4 2 3 2 2 3 3" xfId="1754"/>
    <cellStyle name="Komma 4 2 3 2 2 3 3 2" xfId="1755"/>
    <cellStyle name="Komma 4 2 3 2 2 3 4" xfId="1756"/>
    <cellStyle name="Komma 4 2 3 2 2 4" xfId="1757"/>
    <cellStyle name="Komma 4 2 3 2 2 4 2" xfId="1758"/>
    <cellStyle name="Komma 4 2 3 2 2 4 2 2" xfId="1759"/>
    <cellStyle name="Komma 4 2 3 2 2 4 3" xfId="1760"/>
    <cellStyle name="Komma 4 2 3 2 2 5" xfId="1761"/>
    <cellStyle name="Komma 4 2 3 2 2 5 2" xfId="1762"/>
    <cellStyle name="Komma 4 2 3 2 2 6" xfId="1763"/>
    <cellStyle name="Komma 4 2 3 2 2 7" xfId="1764"/>
    <cellStyle name="Komma 4 2 3 2 3" xfId="1765"/>
    <cellStyle name="Komma 4 2 3 2 3 2" xfId="1766"/>
    <cellStyle name="Komma 4 2 3 2 3 2 2" xfId="1767"/>
    <cellStyle name="Komma 4 2 3 2 3 2 2 2" xfId="1768"/>
    <cellStyle name="Komma 4 2 3 2 3 2 2 2 2" xfId="1769"/>
    <cellStyle name="Komma 4 2 3 2 3 2 2 3" xfId="1770"/>
    <cellStyle name="Komma 4 2 3 2 3 2 3" xfId="1771"/>
    <cellStyle name="Komma 4 2 3 2 3 2 3 2" xfId="1772"/>
    <cellStyle name="Komma 4 2 3 2 3 2 4" xfId="1773"/>
    <cellStyle name="Komma 4 2 3 2 3 3" xfId="1774"/>
    <cellStyle name="Komma 4 2 3 2 3 3 2" xfId="1775"/>
    <cellStyle name="Komma 4 2 3 2 3 3 2 2" xfId="1776"/>
    <cellStyle name="Komma 4 2 3 2 3 3 3" xfId="1777"/>
    <cellStyle name="Komma 4 2 3 2 3 4" xfId="1778"/>
    <cellStyle name="Komma 4 2 3 2 3 4 2" xfId="1779"/>
    <cellStyle name="Komma 4 2 3 2 3 5" xfId="1780"/>
    <cellStyle name="Komma 4 2 3 2 3 6" xfId="1781"/>
    <cellStyle name="Komma 4 2 3 2 4" xfId="1782"/>
    <cellStyle name="Komma 4 2 3 2 4 2" xfId="1783"/>
    <cellStyle name="Komma 4 2 3 2 4 2 2" xfId="1784"/>
    <cellStyle name="Komma 4 2 3 2 4 2 2 2" xfId="1785"/>
    <cellStyle name="Komma 4 2 3 2 4 2 3" xfId="1786"/>
    <cellStyle name="Komma 4 2 3 2 4 3" xfId="1787"/>
    <cellStyle name="Komma 4 2 3 2 4 3 2" xfId="1788"/>
    <cellStyle name="Komma 4 2 3 2 4 4" xfId="1789"/>
    <cellStyle name="Komma 4 2 3 2 5" xfId="1790"/>
    <cellStyle name="Komma 4 2 3 2 5 2" xfId="1791"/>
    <cellStyle name="Komma 4 2 3 2 5 2 2" xfId="1792"/>
    <cellStyle name="Komma 4 2 3 2 5 3" xfId="1793"/>
    <cellStyle name="Komma 4 2 3 2 6" xfId="1794"/>
    <cellStyle name="Komma 4 2 3 2 6 2" xfId="1795"/>
    <cellStyle name="Komma 4 2 3 2 7" xfId="1796"/>
    <cellStyle name="Komma 4 2 3 2 8" xfId="1797"/>
    <cellStyle name="Komma 4 2 3 3" xfId="1798"/>
    <cellStyle name="Komma 4 2 3 3 2" xfId="1799"/>
    <cellStyle name="Komma 4 2 3 3 2 2" xfId="1800"/>
    <cellStyle name="Komma 4 2 3 3 2 2 2" xfId="1801"/>
    <cellStyle name="Komma 4 2 3 3 2 2 2 2" xfId="1802"/>
    <cellStyle name="Komma 4 2 3 3 2 2 2 2 2" xfId="1803"/>
    <cellStyle name="Komma 4 2 3 3 2 2 2 3" xfId="1804"/>
    <cellStyle name="Komma 4 2 3 3 2 2 3" xfId="1805"/>
    <cellStyle name="Komma 4 2 3 3 2 2 3 2" xfId="1806"/>
    <cellStyle name="Komma 4 2 3 3 2 2 4" xfId="1807"/>
    <cellStyle name="Komma 4 2 3 3 2 3" xfId="1808"/>
    <cellStyle name="Komma 4 2 3 3 2 3 2" xfId="1809"/>
    <cellStyle name="Komma 4 2 3 3 2 3 2 2" xfId="1810"/>
    <cellStyle name="Komma 4 2 3 3 2 3 3" xfId="1811"/>
    <cellStyle name="Komma 4 2 3 3 2 4" xfId="1812"/>
    <cellStyle name="Komma 4 2 3 3 2 4 2" xfId="1813"/>
    <cellStyle name="Komma 4 2 3 3 2 5" xfId="1814"/>
    <cellStyle name="Komma 4 2 3 3 2 6" xfId="1815"/>
    <cellStyle name="Komma 4 2 3 3 3" xfId="1816"/>
    <cellStyle name="Komma 4 2 3 3 3 2" xfId="1817"/>
    <cellStyle name="Komma 4 2 3 3 3 2 2" xfId="1818"/>
    <cellStyle name="Komma 4 2 3 3 3 2 2 2" xfId="1819"/>
    <cellStyle name="Komma 4 2 3 3 3 2 3" xfId="1820"/>
    <cellStyle name="Komma 4 2 3 3 3 3" xfId="1821"/>
    <cellStyle name="Komma 4 2 3 3 3 3 2" xfId="1822"/>
    <cellStyle name="Komma 4 2 3 3 3 4" xfId="1823"/>
    <cellStyle name="Komma 4 2 3 3 4" xfId="1824"/>
    <cellStyle name="Komma 4 2 3 3 4 2" xfId="1825"/>
    <cellStyle name="Komma 4 2 3 3 4 2 2" xfId="1826"/>
    <cellStyle name="Komma 4 2 3 3 4 3" xfId="1827"/>
    <cellStyle name="Komma 4 2 3 3 5" xfId="1828"/>
    <cellStyle name="Komma 4 2 3 3 5 2" xfId="1829"/>
    <cellStyle name="Komma 4 2 3 3 6" xfId="1830"/>
    <cellStyle name="Komma 4 2 3 3 7" xfId="1831"/>
    <cellStyle name="Komma 4 2 3 4" xfId="1832"/>
    <cellStyle name="Komma 4 2 3 4 2" xfId="1833"/>
    <cellStyle name="Komma 4 2 3 4 2 2" xfId="1834"/>
    <cellStyle name="Komma 4 2 3 4 2 2 2" xfId="1835"/>
    <cellStyle name="Komma 4 2 3 4 2 2 2 2" xfId="1836"/>
    <cellStyle name="Komma 4 2 3 4 2 2 3" xfId="1837"/>
    <cellStyle name="Komma 4 2 3 4 2 3" xfId="1838"/>
    <cellStyle name="Komma 4 2 3 4 2 3 2" xfId="1839"/>
    <cellStyle name="Komma 4 2 3 4 2 4" xfId="1840"/>
    <cellStyle name="Komma 4 2 3 4 3" xfId="1841"/>
    <cellStyle name="Komma 4 2 3 4 3 2" xfId="1842"/>
    <cellStyle name="Komma 4 2 3 4 3 2 2" xfId="1843"/>
    <cellStyle name="Komma 4 2 3 4 3 3" xfId="1844"/>
    <cellStyle name="Komma 4 2 3 4 4" xfId="1845"/>
    <cellStyle name="Komma 4 2 3 4 4 2" xfId="1846"/>
    <cellStyle name="Komma 4 2 3 4 5" xfId="1847"/>
    <cellStyle name="Komma 4 2 3 4 6" xfId="1848"/>
    <cellStyle name="Komma 4 2 3 5" xfId="1849"/>
    <cellStyle name="Komma 4 2 3 5 2" xfId="1850"/>
    <cellStyle name="Komma 4 2 3 5 2 2" xfId="1851"/>
    <cellStyle name="Komma 4 2 3 5 2 2 2" xfId="1852"/>
    <cellStyle name="Komma 4 2 3 5 2 3" xfId="1853"/>
    <cellStyle name="Komma 4 2 3 5 3" xfId="1854"/>
    <cellStyle name="Komma 4 2 3 5 3 2" xfId="1855"/>
    <cellStyle name="Komma 4 2 3 5 4" xfId="1856"/>
    <cellStyle name="Komma 4 2 3 6" xfId="1857"/>
    <cellStyle name="Komma 4 2 3 6 2" xfId="1858"/>
    <cellStyle name="Komma 4 2 3 6 2 2" xfId="1859"/>
    <cellStyle name="Komma 4 2 3 6 3" xfId="1860"/>
    <cellStyle name="Komma 4 2 3 7" xfId="1861"/>
    <cellStyle name="Komma 4 2 3 7 2" xfId="1862"/>
    <cellStyle name="Komma 4 2 3 8" xfId="1863"/>
    <cellStyle name="Komma 4 2 3 9" xfId="1864"/>
    <cellStyle name="Komma 4 2 4" xfId="1865"/>
    <cellStyle name="Komma 4 2 4 2" xfId="1866"/>
    <cellStyle name="Komma 4 2 4 2 2" xfId="1867"/>
    <cellStyle name="Komma 4 2 4 2 2 2" xfId="1868"/>
    <cellStyle name="Komma 4 2 4 2 2 2 2" xfId="1869"/>
    <cellStyle name="Komma 4 2 4 2 2 2 2 2" xfId="1870"/>
    <cellStyle name="Komma 4 2 4 2 2 2 2 2 2" xfId="1871"/>
    <cellStyle name="Komma 4 2 4 2 2 2 2 3" xfId="1872"/>
    <cellStyle name="Komma 4 2 4 2 2 2 3" xfId="1873"/>
    <cellStyle name="Komma 4 2 4 2 2 2 3 2" xfId="1874"/>
    <cellStyle name="Komma 4 2 4 2 2 2 4" xfId="1875"/>
    <cellStyle name="Komma 4 2 4 2 2 3" xfId="1876"/>
    <cellStyle name="Komma 4 2 4 2 2 3 2" xfId="1877"/>
    <cellStyle name="Komma 4 2 4 2 2 3 2 2" xfId="1878"/>
    <cellStyle name="Komma 4 2 4 2 2 3 3" xfId="1879"/>
    <cellStyle name="Komma 4 2 4 2 2 4" xfId="1880"/>
    <cellStyle name="Komma 4 2 4 2 2 4 2" xfId="1881"/>
    <cellStyle name="Komma 4 2 4 2 2 5" xfId="1882"/>
    <cellStyle name="Komma 4 2 4 2 2 6" xfId="1883"/>
    <cellStyle name="Komma 4 2 4 2 3" xfId="1884"/>
    <cellStyle name="Komma 4 2 4 2 3 2" xfId="1885"/>
    <cellStyle name="Komma 4 2 4 2 3 2 2" xfId="1886"/>
    <cellStyle name="Komma 4 2 4 2 3 2 2 2" xfId="1887"/>
    <cellStyle name="Komma 4 2 4 2 3 2 3" xfId="1888"/>
    <cellStyle name="Komma 4 2 4 2 3 3" xfId="1889"/>
    <cellStyle name="Komma 4 2 4 2 3 3 2" xfId="1890"/>
    <cellStyle name="Komma 4 2 4 2 3 4" xfId="1891"/>
    <cellStyle name="Komma 4 2 4 2 4" xfId="1892"/>
    <cellStyle name="Komma 4 2 4 2 4 2" xfId="1893"/>
    <cellStyle name="Komma 4 2 4 2 4 2 2" xfId="1894"/>
    <cellStyle name="Komma 4 2 4 2 4 3" xfId="1895"/>
    <cellStyle name="Komma 4 2 4 2 5" xfId="1896"/>
    <cellStyle name="Komma 4 2 4 2 5 2" xfId="1897"/>
    <cellStyle name="Komma 4 2 4 2 6" xfId="1898"/>
    <cellStyle name="Komma 4 2 4 2 7" xfId="1899"/>
    <cellStyle name="Komma 4 2 4 3" xfId="1900"/>
    <cellStyle name="Komma 4 2 4 3 2" xfId="1901"/>
    <cellStyle name="Komma 4 2 4 3 2 2" xfId="1902"/>
    <cellStyle name="Komma 4 2 4 3 2 2 2" xfId="1903"/>
    <cellStyle name="Komma 4 2 4 3 2 2 2 2" xfId="1904"/>
    <cellStyle name="Komma 4 2 4 3 2 2 3" xfId="1905"/>
    <cellStyle name="Komma 4 2 4 3 2 3" xfId="1906"/>
    <cellStyle name="Komma 4 2 4 3 2 3 2" xfId="1907"/>
    <cellStyle name="Komma 4 2 4 3 2 4" xfId="1908"/>
    <cellStyle name="Komma 4 2 4 3 3" xfId="1909"/>
    <cellStyle name="Komma 4 2 4 3 3 2" xfId="1910"/>
    <cellStyle name="Komma 4 2 4 3 3 2 2" xfId="1911"/>
    <cellStyle name="Komma 4 2 4 3 3 3" xfId="1912"/>
    <cellStyle name="Komma 4 2 4 3 4" xfId="1913"/>
    <cellStyle name="Komma 4 2 4 3 4 2" xfId="1914"/>
    <cellStyle name="Komma 4 2 4 3 5" xfId="1915"/>
    <cellStyle name="Komma 4 2 4 3 6" xfId="1916"/>
    <cellStyle name="Komma 4 2 4 4" xfId="1917"/>
    <cellStyle name="Komma 4 2 4 4 2" xfId="1918"/>
    <cellStyle name="Komma 4 2 4 4 2 2" xfId="1919"/>
    <cellStyle name="Komma 4 2 4 4 2 2 2" xfId="1920"/>
    <cellStyle name="Komma 4 2 4 4 2 3" xfId="1921"/>
    <cellStyle name="Komma 4 2 4 4 3" xfId="1922"/>
    <cellStyle name="Komma 4 2 4 4 3 2" xfId="1923"/>
    <cellStyle name="Komma 4 2 4 4 4" xfId="1924"/>
    <cellStyle name="Komma 4 2 4 5" xfId="1925"/>
    <cellStyle name="Komma 4 2 4 5 2" xfId="1926"/>
    <cellStyle name="Komma 4 2 4 5 2 2" xfId="1927"/>
    <cellStyle name="Komma 4 2 4 5 3" xfId="1928"/>
    <cellStyle name="Komma 4 2 4 6" xfId="1929"/>
    <cellStyle name="Komma 4 2 4 6 2" xfId="1930"/>
    <cellStyle name="Komma 4 2 4 7" xfId="1931"/>
    <cellStyle name="Komma 4 2 4 8" xfId="1932"/>
    <cellStyle name="Komma 4 2 5" xfId="1933"/>
    <cellStyle name="Komma 4 2 5 2" xfId="1934"/>
    <cellStyle name="Komma 4 2 5 2 2" xfId="1935"/>
    <cellStyle name="Komma 4 2 5 2 2 2" xfId="1936"/>
    <cellStyle name="Komma 4 2 5 2 2 2 2" xfId="1937"/>
    <cellStyle name="Komma 4 2 5 2 2 2 2 2" xfId="1938"/>
    <cellStyle name="Komma 4 2 5 2 2 2 2 2 2" xfId="1939"/>
    <cellStyle name="Komma 4 2 5 2 2 2 2 3" xfId="1940"/>
    <cellStyle name="Komma 4 2 5 2 2 2 3" xfId="1941"/>
    <cellStyle name="Komma 4 2 5 2 2 2 3 2" xfId="1942"/>
    <cellStyle name="Komma 4 2 5 2 2 2 4" xfId="1943"/>
    <cellStyle name="Komma 4 2 5 2 2 3" xfId="1944"/>
    <cellStyle name="Komma 4 2 5 2 2 3 2" xfId="1945"/>
    <cellStyle name="Komma 4 2 5 2 2 3 2 2" xfId="1946"/>
    <cellStyle name="Komma 4 2 5 2 2 3 3" xfId="1947"/>
    <cellStyle name="Komma 4 2 5 2 2 4" xfId="1948"/>
    <cellStyle name="Komma 4 2 5 2 2 4 2" xfId="1949"/>
    <cellStyle name="Komma 4 2 5 2 2 5" xfId="1950"/>
    <cellStyle name="Komma 4 2 5 2 2 6" xfId="1951"/>
    <cellStyle name="Komma 4 2 5 2 3" xfId="1952"/>
    <cellStyle name="Komma 4 2 5 2 3 2" xfId="1953"/>
    <cellStyle name="Komma 4 2 5 2 3 2 2" xfId="1954"/>
    <cellStyle name="Komma 4 2 5 2 3 2 2 2" xfId="1955"/>
    <cellStyle name="Komma 4 2 5 2 3 2 3" xfId="1956"/>
    <cellStyle name="Komma 4 2 5 2 3 3" xfId="1957"/>
    <cellStyle name="Komma 4 2 5 2 3 3 2" xfId="1958"/>
    <cellStyle name="Komma 4 2 5 2 3 4" xfId="1959"/>
    <cellStyle name="Komma 4 2 5 2 4" xfId="1960"/>
    <cellStyle name="Komma 4 2 5 2 4 2" xfId="1961"/>
    <cellStyle name="Komma 4 2 5 2 4 2 2" xfId="1962"/>
    <cellStyle name="Komma 4 2 5 2 4 3" xfId="1963"/>
    <cellStyle name="Komma 4 2 5 2 5" xfId="1964"/>
    <cellStyle name="Komma 4 2 5 2 5 2" xfId="1965"/>
    <cellStyle name="Komma 4 2 5 2 6" xfId="1966"/>
    <cellStyle name="Komma 4 2 5 2 7" xfId="1967"/>
    <cellStyle name="Komma 4 2 5 3" xfId="1968"/>
    <cellStyle name="Komma 4 2 5 3 2" xfId="1969"/>
    <cellStyle name="Komma 4 2 5 3 2 2" xfId="1970"/>
    <cellStyle name="Komma 4 2 5 3 2 2 2" xfId="1971"/>
    <cellStyle name="Komma 4 2 5 3 2 2 2 2" xfId="1972"/>
    <cellStyle name="Komma 4 2 5 3 2 2 3" xfId="1973"/>
    <cellStyle name="Komma 4 2 5 3 2 3" xfId="1974"/>
    <cellStyle name="Komma 4 2 5 3 2 3 2" xfId="1975"/>
    <cellStyle name="Komma 4 2 5 3 2 4" xfId="1976"/>
    <cellStyle name="Komma 4 2 5 3 3" xfId="1977"/>
    <cellStyle name="Komma 4 2 5 3 3 2" xfId="1978"/>
    <cellStyle name="Komma 4 2 5 3 3 2 2" xfId="1979"/>
    <cellStyle name="Komma 4 2 5 3 3 3" xfId="1980"/>
    <cellStyle name="Komma 4 2 5 3 4" xfId="1981"/>
    <cellStyle name="Komma 4 2 5 3 4 2" xfId="1982"/>
    <cellStyle name="Komma 4 2 5 3 5" xfId="1983"/>
    <cellStyle name="Komma 4 2 5 3 6" xfId="1984"/>
    <cellStyle name="Komma 4 2 5 4" xfId="1985"/>
    <cellStyle name="Komma 4 2 5 4 2" xfId="1986"/>
    <cellStyle name="Komma 4 2 5 4 2 2" xfId="1987"/>
    <cellStyle name="Komma 4 2 5 4 2 2 2" xfId="1988"/>
    <cellStyle name="Komma 4 2 5 4 2 3" xfId="1989"/>
    <cellStyle name="Komma 4 2 5 4 3" xfId="1990"/>
    <cellStyle name="Komma 4 2 5 4 3 2" xfId="1991"/>
    <cellStyle name="Komma 4 2 5 4 4" xfId="1992"/>
    <cellStyle name="Komma 4 2 5 5" xfId="1993"/>
    <cellStyle name="Komma 4 2 5 5 2" xfId="1994"/>
    <cellStyle name="Komma 4 2 5 5 2 2" xfId="1995"/>
    <cellStyle name="Komma 4 2 5 5 3" xfId="1996"/>
    <cellStyle name="Komma 4 2 5 6" xfId="1997"/>
    <cellStyle name="Komma 4 2 5 6 2" xfId="1998"/>
    <cellStyle name="Komma 4 2 5 7" xfId="1999"/>
    <cellStyle name="Komma 4 2 5 8" xfId="2000"/>
    <cellStyle name="Komma 4 2 6" xfId="2001"/>
    <cellStyle name="Komma 4 2 6 2" xfId="2002"/>
    <cellStyle name="Komma 4 2 6 2 2" xfId="2003"/>
    <cellStyle name="Komma 4 2 6 2 2 2" xfId="2004"/>
    <cellStyle name="Komma 4 2 6 2 2 2 2" xfId="2005"/>
    <cellStyle name="Komma 4 2 6 2 2 2 2 2" xfId="2006"/>
    <cellStyle name="Komma 4 2 6 2 2 2 3" xfId="2007"/>
    <cellStyle name="Komma 4 2 6 2 2 3" xfId="2008"/>
    <cellStyle name="Komma 4 2 6 2 2 3 2" xfId="2009"/>
    <cellStyle name="Komma 4 2 6 2 2 4" xfId="2010"/>
    <cellStyle name="Komma 4 2 6 2 3" xfId="2011"/>
    <cellStyle name="Komma 4 2 6 2 3 2" xfId="2012"/>
    <cellStyle name="Komma 4 2 6 2 3 2 2" xfId="2013"/>
    <cellStyle name="Komma 4 2 6 2 3 3" xfId="2014"/>
    <cellStyle name="Komma 4 2 6 2 4" xfId="2015"/>
    <cellStyle name="Komma 4 2 6 2 4 2" xfId="2016"/>
    <cellStyle name="Komma 4 2 6 2 5" xfId="2017"/>
    <cellStyle name="Komma 4 2 6 2 6" xfId="2018"/>
    <cellStyle name="Komma 4 2 6 3" xfId="2019"/>
    <cellStyle name="Komma 4 2 6 3 2" xfId="2020"/>
    <cellStyle name="Komma 4 2 6 3 2 2" xfId="2021"/>
    <cellStyle name="Komma 4 2 6 3 2 2 2" xfId="2022"/>
    <cellStyle name="Komma 4 2 6 3 2 3" xfId="2023"/>
    <cellStyle name="Komma 4 2 6 3 3" xfId="2024"/>
    <cellStyle name="Komma 4 2 6 3 3 2" xfId="2025"/>
    <cellStyle name="Komma 4 2 6 3 4" xfId="2026"/>
    <cellStyle name="Komma 4 2 6 4" xfId="2027"/>
    <cellStyle name="Komma 4 2 6 4 2" xfId="2028"/>
    <cellStyle name="Komma 4 2 6 4 2 2" xfId="2029"/>
    <cellStyle name="Komma 4 2 6 4 3" xfId="2030"/>
    <cellStyle name="Komma 4 2 6 5" xfId="2031"/>
    <cellStyle name="Komma 4 2 6 5 2" xfId="2032"/>
    <cellStyle name="Komma 4 2 6 6" xfId="2033"/>
    <cellStyle name="Komma 4 2 6 7" xfId="2034"/>
    <cellStyle name="Komma 4 2 7" xfId="2035"/>
    <cellStyle name="Komma 4 2 7 2" xfId="2036"/>
    <cellStyle name="Komma 4 2 7 2 2" xfId="2037"/>
    <cellStyle name="Komma 4 2 7 2 2 2" xfId="2038"/>
    <cellStyle name="Komma 4 2 7 2 2 2 2" xfId="2039"/>
    <cellStyle name="Komma 4 2 7 2 2 3" xfId="2040"/>
    <cellStyle name="Komma 4 2 7 2 3" xfId="2041"/>
    <cellStyle name="Komma 4 2 7 2 3 2" xfId="2042"/>
    <cellStyle name="Komma 4 2 7 2 4" xfId="2043"/>
    <cellStyle name="Komma 4 2 7 3" xfId="2044"/>
    <cellStyle name="Komma 4 2 7 3 2" xfId="2045"/>
    <cellStyle name="Komma 4 2 7 3 2 2" xfId="2046"/>
    <cellStyle name="Komma 4 2 7 3 3" xfId="2047"/>
    <cellStyle name="Komma 4 2 7 4" xfId="2048"/>
    <cellStyle name="Komma 4 2 7 4 2" xfId="2049"/>
    <cellStyle name="Komma 4 2 7 5" xfId="2050"/>
    <cellStyle name="Komma 4 2 7 6" xfId="2051"/>
    <cellStyle name="Komma 4 2 8" xfId="2052"/>
    <cellStyle name="Komma 4 2 8 2" xfId="2053"/>
    <cellStyle name="Komma 4 2 8 2 2" xfId="2054"/>
    <cellStyle name="Komma 4 2 8 2 2 2" xfId="2055"/>
    <cellStyle name="Komma 4 2 8 2 3" xfId="2056"/>
    <cellStyle name="Komma 4 2 8 3" xfId="2057"/>
    <cellStyle name="Komma 4 2 8 3 2" xfId="2058"/>
    <cellStyle name="Komma 4 2 8 4" xfId="2059"/>
    <cellStyle name="Komma 4 2 9" xfId="2060"/>
    <cellStyle name="Komma 4 2 9 2" xfId="2061"/>
    <cellStyle name="Komma 4 2 9 2 2" xfId="2062"/>
    <cellStyle name="Komma 4 2 9 3" xfId="2063"/>
    <cellStyle name="Komma 4 3" xfId="2064"/>
    <cellStyle name="Komma 4 3 10" xfId="2065"/>
    <cellStyle name="Komma 4 3 11" xfId="2066"/>
    <cellStyle name="Komma 4 3 2" xfId="2067"/>
    <cellStyle name="Komma 4 3 2 2" xfId="2068"/>
    <cellStyle name="Komma 4 3 2 2 2" xfId="2069"/>
    <cellStyle name="Komma 4 3 2 2 2 2" xfId="2070"/>
    <cellStyle name="Komma 4 3 2 2 2 2 2" xfId="2071"/>
    <cellStyle name="Komma 4 3 2 2 2 2 2 2" xfId="2072"/>
    <cellStyle name="Komma 4 3 2 2 2 2 2 2 2" xfId="2073"/>
    <cellStyle name="Komma 4 3 2 2 2 2 2 2 2 2" xfId="2074"/>
    <cellStyle name="Komma 4 3 2 2 2 2 2 2 3" xfId="2075"/>
    <cellStyle name="Komma 4 3 2 2 2 2 2 3" xfId="2076"/>
    <cellStyle name="Komma 4 3 2 2 2 2 2 3 2" xfId="2077"/>
    <cellStyle name="Komma 4 3 2 2 2 2 2 4" xfId="2078"/>
    <cellStyle name="Komma 4 3 2 2 2 2 3" xfId="2079"/>
    <cellStyle name="Komma 4 3 2 2 2 2 3 2" xfId="2080"/>
    <cellStyle name="Komma 4 3 2 2 2 2 3 2 2" xfId="2081"/>
    <cellStyle name="Komma 4 3 2 2 2 2 3 3" xfId="2082"/>
    <cellStyle name="Komma 4 3 2 2 2 2 4" xfId="2083"/>
    <cellStyle name="Komma 4 3 2 2 2 2 4 2" xfId="2084"/>
    <cellStyle name="Komma 4 3 2 2 2 2 5" xfId="2085"/>
    <cellStyle name="Komma 4 3 2 2 2 2 6" xfId="2086"/>
    <cellStyle name="Komma 4 3 2 2 2 3" xfId="2087"/>
    <cellStyle name="Komma 4 3 2 2 2 3 2" xfId="2088"/>
    <cellStyle name="Komma 4 3 2 2 2 3 2 2" xfId="2089"/>
    <cellStyle name="Komma 4 3 2 2 2 3 2 2 2" xfId="2090"/>
    <cellStyle name="Komma 4 3 2 2 2 3 2 3" xfId="2091"/>
    <cellStyle name="Komma 4 3 2 2 2 3 3" xfId="2092"/>
    <cellStyle name="Komma 4 3 2 2 2 3 3 2" xfId="2093"/>
    <cellStyle name="Komma 4 3 2 2 2 3 4" xfId="2094"/>
    <cellStyle name="Komma 4 3 2 2 2 4" xfId="2095"/>
    <cellStyle name="Komma 4 3 2 2 2 4 2" xfId="2096"/>
    <cellStyle name="Komma 4 3 2 2 2 4 2 2" xfId="2097"/>
    <cellStyle name="Komma 4 3 2 2 2 4 3" xfId="2098"/>
    <cellStyle name="Komma 4 3 2 2 2 5" xfId="2099"/>
    <cellStyle name="Komma 4 3 2 2 2 5 2" xfId="2100"/>
    <cellStyle name="Komma 4 3 2 2 2 6" xfId="2101"/>
    <cellStyle name="Komma 4 3 2 2 2 7" xfId="2102"/>
    <cellStyle name="Komma 4 3 2 2 3" xfId="2103"/>
    <cellStyle name="Komma 4 3 2 2 3 2" xfId="2104"/>
    <cellStyle name="Komma 4 3 2 2 3 2 2" xfId="2105"/>
    <cellStyle name="Komma 4 3 2 2 3 2 2 2" xfId="2106"/>
    <cellStyle name="Komma 4 3 2 2 3 2 2 2 2" xfId="2107"/>
    <cellStyle name="Komma 4 3 2 2 3 2 2 3" xfId="2108"/>
    <cellStyle name="Komma 4 3 2 2 3 2 3" xfId="2109"/>
    <cellStyle name="Komma 4 3 2 2 3 2 3 2" xfId="2110"/>
    <cellStyle name="Komma 4 3 2 2 3 2 4" xfId="2111"/>
    <cellStyle name="Komma 4 3 2 2 3 3" xfId="2112"/>
    <cellStyle name="Komma 4 3 2 2 3 3 2" xfId="2113"/>
    <cellStyle name="Komma 4 3 2 2 3 3 2 2" xfId="2114"/>
    <cellStyle name="Komma 4 3 2 2 3 3 3" xfId="2115"/>
    <cellStyle name="Komma 4 3 2 2 3 4" xfId="2116"/>
    <cellStyle name="Komma 4 3 2 2 3 4 2" xfId="2117"/>
    <cellStyle name="Komma 4 3 2 2 3 5" xfId="2118"/>
    <cellStyle name="Komma 4 3 2 2 3 6" xfId="2119"/>
    <cellStyle name="Komma 4 3 2 2 4" xfId="2120"/>
    <cellStyle name="Komma 4 3 2 2 4 2" xfId="2121"/>
    <cellStyle name="Komma 4 3 2 2 4 2 2" xfId="2122"/>
    <cellStyle name="Komma 4 3 2 2 4 2 2 2" xfId="2123"/>
    <cellStyle name="Komma 4 3 2 2 4 2 3" xfId="2124"/>
    <cellStyle name="Komma 4 3 2 2 4 3" xfId="2125"/>
    <cellStyle name="Komma 4 3 2 2 4 3 2" xfId="2126"/>
    <cellStyle name="Komma 4 3 2 2 4 4" xfId="2127"/>
    <cellStyle name="Komma 4 3 2 2 5" xfId="2128"/>
    <cellStyle name="Komma 4 3 2 2 5 2" xfId="2129"/>
    <cellStyle name="Komma 4 3 2 2 5 2 2" xfId="2130"/>
    <cellStyle name="Komma 4 3 2 2 5 3" xfId="2131"/>
    <cellStyle name="Komma 4 3 2 2 6" xfId="2132"/>
    <cellStyle name="Komma 4 3 2 2 6 2" xfId="2133"/>
    <cellStyle name="Komma 4 3 2 2 7" xfId="2134"/>
    <cellStyle name="Komma 4 3 2 2 8" xfId="2135"/>
    <cellStyle name="Komma 4 3 2 3" xfId="2136"/>
    <cellStyle name="Komma 4 3 2 3 2" xfId="2137"/>
    <cellStyle name="Komma 4 3 2 3 2 2" xfId="2138"/>
    <cellStyle name="Komma 4 3 2 3 2 2 2" xfId="2139"/>
    <cellStyle name="Komma 4 3 2 3 2 2 2 2" xfId="2140"/>
    <cellStyle name="Komma 4 3 2 3 2 2 2 2 2" xfId="2141"/>
    <cellStyle name="Komma 4 3 2 3 2 2 2 3" xfId="2142"/>
    <cellStyle name="Komma 4 3 2 3 2 2 3" xfId="2143"/>
    <cellStyle name="Komma 4 3 2 3 2 2 3 2" xfId="2144"/>
    <cellStyle name="Komma 4 3 2 3 2 2 4" xfId="2145"/>
    <cellStyle name="Komma 4 3 2 3 2 3" xfId="2146"/>
    <cellStyle name="Komma 4 3 2 3 2 3 2" xfId="2147"/>
    <cellStyle name="Komma 4 3 2 3 2 3 2 2" xfId="2148"/>
    <cellStyle name="Komma 4 3 2 3 2 3 3" xfId="2149"/>
    <cellStyle name="Komma 4 3 2 3 2 4" xfId="2150"/>
    <cellStyle name="Komma 4 3 2 3 2 4 2" xfId="2151"/>
    <cellStyle name="Komma 4 3 2 3 2 5" xfId="2152"/>
    <cellStyle name="Komma 4 3 2 3 2 6" xfId="2153"/>
    <cellStyle name="Komma 4 3 2 3 3" xfId="2154"/>
    <cellStyle name="Komma 4 3 2 3 3 2" xfId="2155"/>
    <cellStyle name="Komma 4 3 2 3 3 2 2" xfId="2156"/>
    <cellStyle name="Komma 4 3 2 3 3 2 2 2" xfId="2157"/>
    <cellStyle name="Komma 4 3 2 3 3 2 3" xfId="2158"/>
    <cellStyle name="Komma 4 3 2 3 3 3" xfId="2159"/>
    <cellStyle name="Komma 4 3 2 3 3 3 2" xfId="2160"/>
    <cellStyle name="Komma 4 3 2 3 3 4" xfId="2161"/>
    <cellStyle name="Komma 4 3 2 3 4" xfId="2162"/>
    <cellStyle name="Komma 4 3 2 3 4 2" xfId="2163"/>
    <cellStyle name="Komma 4 3 2 3 4 2 2" xfId="2164"/>
    <cellStyle name="Komma 4 3 2 3 4 3" xfId="2165"/>
    <cellStyle name="Komma 4 3 2 3 5" xfId="2166"/>
    <cellStyle name="Komma 4 3 2 3 5 2" xfId="2167"/>
    <cellStyle name="Komma 4 3 2 3 6" xfId="2168"/>
    <cellStyle name="Komma 4 3 2 3 7" xfId="2169"/>
    <cellStyle name="Komma 4 3 2 4" xfId="2170"/>
    <cellStyle name="Komma 4 3 2 4 2" xfId="2171"/>
    <cellStyle name="Komma 4 3 2 4 2 2" xfId="2172"/>
    <cellStyle name="Komma 4 3 2 4 2 2 2" xfId="2173"/>
    <cellStyle name="Komma 4 3 2 4 2 2 2 2" xfId="2174"/>
    <cellStyle name="Komma 4 3 2 4 2 2 3" xfId="2175"/>
    <cellStyle name="Komma 4 3 2 4 2 3" xfId="2176"/>
    <cellStyle name="Komma 4 3 2 4 2 3 2" xfId="2177"/>
    <cellStyle name="Komma 4 3 2 4 2 4" xfId="2178"/>
    <cellStyle name="Komma 4 3 2 4 3" xfId="2179"/>
    <cellStyle name="Komma 4 3 2 4 3 2" xfId="2180"/>
    <cellStyle name="Komma 4 3 2 4 3 2 2" xfId="2181"/>
    <cellStyle name="Komma 4 3 2 4 3 3" xfId="2182"/>
    <cellStyle name="Komma 4 3 2 4 4" xfId="2183"/>
    <cellStyle name="Komma 4 3 2 4 4 2" xfId="2184"/>
    <cellStyle name="Komma 4 3 2 4 5" xfId="2185"/>
    <cellStyle name="Komma 4 3 2 4 6" xfId="2186"/>
    <cellStyle name="Komma 4 3 2 5" xfId="2187"/>
    <cellStyle name="Komma 4 3 2 5 2" xfId="2188"/>
    <cellStyle name="Komma 4 3 2 5 2 2" xfId="2189"/>
    <cellStyle name="Komma 4 3 2 5 2 2 2" xfId="2190"/>
    <cellStyle name="Komma 4 3 2 5 2 3" xfId="2191"/>
    <cellStyle name="Komma 4 3 2 5 3" xfId="2192"/>
    <cellStyle name="Komma 4 3 2 5 3 2" xfId="2193"/>
    <cellStyle name="Komma 4 3 2 5 4" xfId="2194"/>
    <cellStyle name="Komma 4 3 2 6" xfId="2195"/>
    <cellStyle name="Komma 4 3 2 6 2" xfId="2196"/>
    <cellStyle name="Komma 4 3 2 6 2 2" xfId="2197"/>
    <cellStyle name="Komma 4 3 2 6 3" xfId="2198"/>
    <cellStyle name="Komma 4 3 2 7" xfId="2199"/>
    <cellStyle name="Komma 4 3 2 7 2" xfId="2200"/>
    <cellStyle name="Komma 4 3 2 8" xfId="2201"/>
    <cellStyle name="Komma 4 3 2 9" xfId="2202"/>
    <cellStyle name="Komma 4 3 3" xfId="2203"/>
    <cellStyle name="Komma 4 3 3 2" xfId="2204"/>
    <cellStyle name="Komma 4 3 3 2 2" xfId="2205"/>
    <cellStyle name="Komma 4 3 3 2 2 2" xfId="2206"/>
    <cellStyle name="Komma 4 3 3 2 2 2 2" xfId="2207"/>
    <cellStyle name="Komma 4 3 3 2 2 2 2 2" xfId="2208"/>
    <cellStyle name="Komma 4 3 3 2 2 2 2 2 2" xfId="2209"/>
    <cellStyle name="Komma 4 3 3 2 2 2 2 3" xfId="2210"/>
    <cellStyle name="Komma 4 3 3 2 2 2 3" xfId="2211"/>
    <cellStyle name="Komma 4 3 3 2 2 2 3 2" xfId="2212"/>
    <cellStyle name="Komma 4 3 3 2 2 2 4" xfId="2213"/>
    <cellStyle name="Komma 4 3 3 2 2 3" xfId="2214"/>
    <cellStyle name="Komma 4 3 3 2 2 3 2" xfId="2215"/>
    <cellStyle name="Komma 4 3 3 2 2 3 2 2" xfId="2216"/>
    <cellStyle name="Komma 4 3 3 2 2 3 3" xfId="2217"/>
    <cellStyle name="Komma 4 3 3 2 2 4" xfId="2218"/>
    <cellStyle name="Komma 4 3 3 2 2 4 2" xfId="2219"/>
    <cellStyle name="Komma 4 3 3 2 2 5" xfId="2220"/>
    <cellStyle name="Komma 4 3 3 2 2 6" xfId="2221"/>
    <cellStyle name="Komma 4 3 3 2 3" xfId="2222"/>
    <cellStyle name="Komma 4 3 3 2 3 2" xfId="2223"/>
    <cellStyle name="Komma 4 3 3 2 3 2 2" xfId="2224"/>
    <cellStyle name="Komma 4 3 3 2 3 2 2 2" xfId="2225"/>
    <cellStyle name="Komma 4 3 3 2 3 2 3" xfId="2226"/>
    <cellStyle name="Komma 4 3 3 2 3 3" xfId="2227"/>
    <cellStyle name="Komma 4 3 3 2 3 3 2" xfId="2228"/>
    <cellStyle name="Komma 4 3 3 2 3 4" xfId="2229"/>
    <cellStyle name="Komma 4 3 3 2 4" xfId="2230"/>
    <cellStyle name="Komma 4 3 3 2 4 2" xfId="2231"/>
    <cellStyle name="Komma 4 3 3 2 4 2 2" xfId="2232"/>
    <cellStyle name="Komma 4 3 3 2 4 3" xfId="2233"/>
    <cellStyle name="Komma 4 3 3 2 5" xfId="2234"/>
    <cellStyle name="Komma 4 3 3 2 5 2" xfId="2235"/>
    <cellStyle name="Komma 4 3 3 2 6" xfId="2236"/>
    <cellStyle name="Komma 4 3 3 2 7" xfId="2237"/>
    <cellStyle name="Komma 4 3 3 3" xfId="2238"/>
    <cellStyle name="Komma 4 3 3 3 2" xfId="2239"/>
    <cellStyle name="Komma 4 3 3 3 2 2" xfId="2240"/>
    <cellStyle name="Komma 4 3 3 3 2 2 2" xfId="2241"/>
    <cellStyle name="Komma 4 3 3 3 2 2 2 2" xfId="2242"/>
    <cellStyle name="Komma 4 3 3 3 2 2 3" xfId="2243"/>
    <cellStyle name="Komma 4 3 3 3 2 3" xfId="2244"/>
    <cellStyle name="Komma 4 3 3 3 2 3 2" xfId="2245"/>
    <cellStyle name="Komma 4 3 3 3 2 4" xfId="2246"/>
    <cellStyle name="Komma 4 3 3 3 3" xfId="2247"/>
    <cellStyle name="Komma 4 3 3 3 3 2" xfId="2248"/>
    <cellStyle name="Komma 4 3 3 3 3 2 2" xfId="2249"/>
    <cellStyle name="Komma 4 3 3 3 3 3" xfId="2250"/>
    <cellStyle name="Komma 4 3 3 3 4" xfId="2251"/>
    <cellStyle name="Komma 4 3 3 3 4 2" xfId="2252"/>
    <cellStyle name="Komma 4 3 3 3 5" xfId="2253"/>
    <cellStyle name="Komma 4 3 3 3 6" xfId="2254"/>
    <cellStyle name="Komma 4 3 3 4" xfId="2255"/>
    <cellStyle name="Komma 4 3 3 4 2" xfId="2256"/>
    <cellStyle name="Komma 4 3 3 4 2 2" xfId="2257"/>
    <cellStyle name="Komma 4 3 3 4 2 2 2" xfId="2258"/>
    <cellStyle name="Komma 4 3 3 4 2 3" xfId="2259"/>
    <cellStyle name="Komma 4 3 3 4 3" xfId="2260"/>
    <cellStyle name="Komma 4 3 3 4 3 2" xfId="2261"/>
    <cellStyle name="Komma 4 3 3 4 4" xfId="2262"/>
    <cellStyle name="Komma 4 3 3 5" xfId="2263"/>
    <cellStyle name="Komma 4 3 3 5 2" xfId="2264"/>
    <cellStyle name="Komma 4 3 3 5 2 2" xfId="2265"/>
    <cellStyle name="Komma 4 3 3 5 3" xfId="2266"/>
    <cellStyle name="Komma 4 3 3 6" xfId="2267"/>
    <cellStyle name="Komma 4 3 3 6 2" xfId="2268"/>
    <cellStyle name="Komma 4 3 3 7" xfId="2269"/>
    <cellStyle name="Komma 4 3 3 8" xfId="2270"/>
    <cellStyle name="Komma 4 3 4" xfId="2271"/>
    <cellStyle name="Komma 4 3 4 2" xfId="2272"/>
    <cellStyle name="Komma 4 3 4 2 2" xfId="2273"/>
    <cellStyle name="Komma 4 3 4 2 2 2" xfId="2274"/>
    <cellStyle name="Komma 4 3 4 2 2 2 2" xfId="2275"/>
    <cellStyle name="Komma 4 3 4 2 2 2 2 2" xfId="2276"/>
    <cellStyle name="Komma 4 3 4 2 2 2 2 2 2" xfId="2277"/>
    <cellStyle name="Komma 4 3 4 2 2 2 2 3" xfId="2278"/>
    <cellStyle name="Komma 4 3 4 2 2 2 3" xfId="2279"/>
    <cellStyle name="Komma 4 3 4 2 2 2 3 2" xfId="2280"/>
    <cellStyle name="Komma 4 3 4 2 2 2 4" xfId="2281"/>
    <cellStyle name="Komma 4 3 4 2 2 3" xfId="2282"/>
    <cellStyle name="Komma 4 3 4 2 2 3 2" xfId="2283"/>
    <cellStyle name="Komma 4 3 4 2 2 3 2 2" xfId="2284"/>
    <cellStyle name="Komma 4 3 4 2 2 3 3" xfId="2285"/>
    <cellStyle name="Komma 4 3 4 2 2 4" xfId="2286"/>
    <cellStyle name="Komma 4 3 4 2 2 4 2" xfId="2287"/>
    <cellStyle name="Komma 4 3 4 2 2 5" xfId="2288"/>
    <cellStyle name="Komma 4 3 4 2 2 6" xfId="2289"/>
    <cellStyle name="Komma 4 3 4 2 3" xfId="2290"/>
    <cellStyle name="Komma 4 3 4 2 3 2" xfId="2291"/>
    <cellStyle name="Komma 4 3 4 2 3 2 2" xfId="2292"/>
    <cellStyle name="Komma 4 3 4 2 3 2 2 2" xfId="2293"/>
    <cellStyle name="Komma 4 3 4 2 3 2 3" xfId="2294"/>
    <cellStyle name="Komma 4 3 4 2 3 3" xfId="2295"/>
    <cellStyle name="Komma 4 3 4 2 3 3 2" xfId="2296"/>
    <cellStyle name="Komma 4 3 4 2 3 4" xfId="2297"/>
    <cellStyle name="Komma 4 3 4 2 4" xfId="2298"/>
    <cellStyle name="Komma 4 3 4 2 4 2" xfId="2299"/>
    <cellStyle name="Komma 4 3 4 2 4 2 2" xfId="2300"/>
    <cellStyle name="Komma 4 3 4 2 4 3" xfId="2301"/>
    <cellStyle name="Komma 4 3 4 2 5" xfId="2302"/>
    <cellStyle name="Komma 4 3 4 2 5 2" xfId="2303"/>
    <cellStyle name="Komma 4 3 4 2 6" xfId="2304"/>
    <cellStyle name="Komma 4 3 4 2 7" xfId="2305"/>
    <cellStyle name="Komma 4 3 4 3" xfId="2306"/>
    <cellStyle name="Komma 4 3 4 3 2" xfId="2307"/>
    <cellStyle name="Komma 4 3 4 3 2 2" xfId="2308"/>
    <cellStyle name="Komma 4 3 4 3 2 2 2" xfId="2309"/>
    <cellStyle name="Komma 4 3 4 3 2 2 2 2" xfId="2310"/>
    <cellStyle name="Komma 4 3 4 3 2 2 3" xfId="2311"/>
    <cellStyle name="Komma 4 3 4 3 2 3" xfId="2312"/>
    <cellStyle name="Komma 4 3 4 3 2 3 2" xfId="2313"/>
    <cellStyle name="Komma 4 3 4 3 2 4" xfId="2314"/>
    <cellStyle name="Komma 4 3 4 3 3" xfId="2315"/>
    <cellStyle name="Komma 4 3 4 3 3 2" xfId="2316"/>
    <cellStyle name="Komma 4 3 4 3 3 2 2" xfId="2317"/>
    <cellStyle name="Komma 4 3 4 3 3 3" xfId="2318"/>
    <cellStyle name="Komma 4 3 4 3 4" xfId="2319"/>
    <cellStyle name="Komma 4 3 4 3 4 2" xfId="2320"/>
    <cellStyle name="Komma 4 3 4 3 5" xfId="2321"/>
    <cellStyle name="Komma 4 3 4 3 6" xfId="2322"/>
    <cellStyle name="Komma 4 3 4 4" xfId="2323"/>
    <cellStyle name="Komma 4 3 4 4 2" xfId="2324"/>
    <cellStyle name="Komma 4 3 4 4 2 2" xfId="2325"/>
    <cellStyle name="Komma 4 3 4 4 2 2 2" xfId="2326"/>
    <cellStyle name="Komma 4 3 4 4 2 3" xfId="2327"/>
    <cellStyle name="Komma 4 3 4 4 3" xfId="2328"/>
    <cellStyle name="Komma 4 3 4 4 3 2" xfId="2329"/>
    <cellStyle name="Komma 4 3 4 4 4" xfId="2330"/>
    <cellStyle name="Komma 4 3 4 5" xfId="2331"/>
    <cellStyle name="Komma 4 3 4 5 2" xfId="2332"/>
    <cellStyle name="Komma 4 3 4 5 2 2" xfId="2333"/>
    <cellStyle name="Komma 4 3 4 5 3" xfId="2334"/>
    <cellStyle name="Komma 4 3 4 6" xfId="2335"/>
    <cellStyle name="Komma 4 3 4 6 2" xfId="2336"/>
    <cellStyle name="Komma 4 3 4 7" xfId="2337"/>
    <cellStyle name="Komma 4 3 4 8" xfId="2338"/>
    <cellStyle name="Komma 4 3 5" xfId="2339"/>
    <cellStyle name="Komma 4 3 5 2" xfId="2340"/>
    <cellStyle name="Komma 4 3 5 2 2" xfId="2341"/>
    <cellStyle name="Komma 4 3 5 2 2 2" xfId="2342"/>
    <cellStyle name="Komma 4 3 5 2 2 2 2" xfId="2343"/>
    <cellStyle name="Komma 4 3 5 2 2 2 2 2" xfId="2344"/>
    <cellStyle name="Komma 4 3 5 2 2 2 3" xfId="2345"/>
    <cellStyle name="Komma 4 3 5 2 2 3" xfId="2346"/>
    <cellStyle name="Komma 4 3 5 2 2 3 2" xfId="2347"/>
    <cellStyle name="Komma 4 3 5 2 2 4" xfId="2348"/>
    <cellStyle name="Komma 4 3 5 2 3" xfId="2349"/>
    <cellStyle name="Komma 4 3 5 2 3 2" xfId="2350"/>
    <cellStyle name="Komma 4 3 5 2 3 2 2" xfId="2351"/>
    <cellStyle name="Komma 4 3 5 2 3 3" xfId="2352"/>
    <cellStyle name="Komma 4 3 5 2 4" xfId="2353"/>
    <cellStyle name="Komma 4 3 5 2 4 2" xfId="2354"/>
    <cellStyle name="Komma 4 3 5 2 5" xfId="2355"/>
    <cellStyle name="Komma 4 3 5 2 6" xfId="2356"/>
    <cellStyle name="Komma 4 3 5 3" xfId="2357"/>
    <cellStyle name="Komma 4 3 5 3 2" xfId="2358"/>
    <cellStyle name="Komma 4 3 5 3 2 2" xfId="2359"/>
    <cellStyle name="Komma 4 3 5 3 2 2 2" xfId="2360"/>
    <cellStyle name="Komma 4 3 5 3 2 3" xfId="2361"/>
    <cellStyle name="Komma 4 3 5 3 3" xfId="2362"/>
    <cellStyle name="Komma 4 3 5 3 3 2" xfId="2363"/>
    <cellStyle name="Komma 4 3 5 3 4" xfId="2364"/>
    <cellStyle name="Komma 4 3 5 4" xfId="2365"/>
    <cellStyle name="Komma 4 3 5 4 2" xfId="2366"/>
    <cellStyle name="Komma 4 3 5 4 2 2" xfId="2367"/>
    <cellStyle name="Komma 4 3 5 4 3" xfId="2368"/>
    <cellStyle name="Komma 4 3 5 5" xfId="2369"/>
    <cellStyle name="Komma 4 3 5 5 2" xfId="2370"/>
    <cellStyle name="Komma 4 3 5 6" xfId="2371"/>
    <cellStyle name="Komma 4 3 5 7" xfId="2372"/>
    <cellStyle name="Komma 4 3 6" xfId="2373"/>
    <cellStyle name="Komma 4 3 6 2" xfId="2374"/>
    <cellStyle name="Komma 4 3 6 2 2" xfId="2375"/>
    <cellStyle name="Komma 4 3 6 2 2 2" xfId="2376"/>
    <cellStyle name="Komma 4 3 6 2 2 2 2" xfId="2377"/>
    <cellStyle name="Komma 4 3 6 2 2 3" xfId="2378"/>
    <cellStyle name="Komma 4 3 6 2 3" xfId="2379"/>
    <cellStyle name="Komma 4 3 6 2 3 2" xfId="2380"/>
    <cellStyle name="Komma 4 3 6 2 4" xfId="2381"/>
    <cellStyle name="Komma 4 3 6 3" xfId="2382"/>
    <cellStyle name="Komma 4 3 6 3 2" xfId="2383"/>
    <cellStyle name="Komma 4 3 6 3 2 2" xfId="2384"/>
    <cellStyle name="Komma 4 3 6 3 3" xfId="2385"/>
    <cellStyle name="Komma 4 3 6 4" xfId="2386"/>
    <cellStyle name="Komma 4 3 6 4 2" xfId="2387"/>
    <cellStyle name="Komma 4 3 6 5" xfId="2388"/>
    <cellStyle name="Komma 4 3 6 6" xfId="2389"/>
    <cellStyle name="Komma 4 3 7" xfId="2390"/>
    <cellStyle name="Komma 4 3 7 2" xfId="2391"/>
    <cellStyle name="Komma 4 3 7 2 2" xfId="2392"/>
    <cellStyle name="Komma 4 3 7 2 2 2" xfId="2393"/>
    <cellStyle name="Komma 4 3 7 2 3" xfId="2394"/>
    <cellStyle name="Komma 4 3 7 3" xfId="2395"/>
    <cellStyle name="Komma 4 3 7 3 2" xfId="2396"/>
    <cellStyle name="Komma 4 3 7 4" xfId="2397"/>
    <cellStyle name="Komma 4 3 8" xfId="2398"/>
    <cellStyle name="Komma 4 3 8 2" xfId="2399"/>
    <cellStyle name="Komma 4 3 8 2 2" xfId="2400"/>
    <cellStyle name="Komma 4 3 8 3" xfId="2401"/>
    <cellStyle name="Komma 4 3 9" xfId="2402"/>
    <cellStyle name="Komma 4 3 9 2" xfId="2403"/>
    <cellStyle name="Komma 4 4" xfId="2404"/>
    <cellStyle name="Komma 4 4 2" xfId="2405"/>
    <cellStyle name="Komma 4 4 2 2" xfId="2406"/>
    <cellStyle name="Komma 4 4 2 2 2" xfId="2407"/>
    <cellStyle name="Komma 4 4 2 2 2 2" xfId="2408"/>
    <cellStyle name="Komma 4 4 2 2 2 2 2" xfId="2409"/>
    <cellStyle name="Komma 4 4 2 2 2 2 2 2" xfId="2410"/>
    <cellStyle name="Komma 4 4 2 2 2 2 2 2 2" xfId="2411"/>
    <cellStyle name="Komma 4 4 2 2 2 2 2 3" xfId="2412"/>
    <cellStyle name="Komma 4 4 2 2 2 2 3" xfId="2413"/>
    <cellStyle name="Komma 4 4 2 2 2 2 3 2" xfId="2414"/>
    <cellStyle name="Komma 4 4 2 2 2 2 4" xfId="2415"/>
    <cellStyle name="Komma 4 4 2 2 2 3" xfId="2416"/>
    <cellStyle name="Komma 4 4 2 2 2 3 2" xfId="2417"/>
    <cellStyle name="Komma 4 4 2 2 2 3 2 2" xfId="2418"/>
    <cellStyle name="Komma 4 4 2 2 2 3 3" xfId="2419"/>
    <cellStyle name="Komma 4 4 2 2 2 4" xfId="2420"/>
    <cellStyle name="Komma 4 4 2 2 2 4 2" xfId="2421"/>
    <cellStyle name="Komma 4 4 2 2 2 5" xfId="2422"/>
    <cellStyle name="Komma 4 4 2 2 2 6" xfId="2423"/>
    <cellStyle name="Komma 4 4 2 2 3" xfId="2424"/>
    <cellStyle name="Komma 4 4 2 2 3 2" xfId="2425"/>
    <cellStyle name="Komma 4 4 2 2 3 2 2" xfId="2426"/>
    <cellStyle name="Komma 4 4 2 2 3 2 2 2" xfId="2427"/>
    <cellStyle name="Komma 4 4 2 2 3 2 3" xfId="2428"/>
    <cellStyle name="Komma 4 4 2 2 3 3" xfId="2429"/>
    <cellStyle name="Komma 4 4 2 2 3 3 2" xfId="2430"/>
    <cellStyle name="Komma 4 4 2 2 3 4" xfId="2431"/>
    <cellStyle name="Komma 4 4 2 2 4" xfId="2432"/>
    <cellStyle name="Komma 4 4 2 2 4 2" xfId="2433"/>
    <cellStyle name="Komma 4 4 2 2 4 2 2" xfId="2434"/>
    <cellStyle name="Komma 4 4 2 2 4 3" xfId="2435"/>
    <cellStyle name="Komma 4 4 2 2 5" xfId="2436"/>
    <cellStyle name="Komma 4 4 2 2 5 2" xfId="2437"/>
    <cellStyle name="Komma 4 4 2 2 6" xfId="2438"/>
    <cellStyle name="Komma 4 4 2 2 7" xfId="2439"/>
    <cellStyle name="Komma 4 4 2 3" xfId="2440"/>
    <cellStyle name="Komma 4 4 2 3 2" xfId="2441"/>
    <cellStyle name="Komma 4 4 2 3 2 2" xfId="2442"/>
    <cellStyle name="Komma 4 4 2 3 2 2 2" xfId="2443"/>
    <cellStyle name="Komma 4 4 2 3 2 2 2 2" xfId="2444"/>
    <cellStyle name="Komma 4 4 2 3 2 2 3" xfId="2445"/>
    <cellStyle name="Komma 4 4 2 3 2 3" xfId="2446"/>
    <cellStyle name="Komma 4 4 2 3 2 3 2" xfId="2447"/>
    <cellStyle name="Komma 4 4 2 3 2 4" xfId="2448"/>
    <cellStyle name="Komma 4 4 2 3 3" xfId="2449"/>
    <cellStyle name="Komma 4 4 2 3 3 2" xfId="2450"/>
    <cellStyle name="Komma 4 4 2 3 3 2 2" xfId="2451"/>
    <cellStyle name="Komma 4 4 2 3 3 3" xfId="2452"/>
    <cellStyle name="Komma 4 4 2 3 4" xfId="2453"/>
    <cellStyle name="Komma 4 4 2 3 4 2" xfId="2454"/>
    <cellStyle name="Komma 4 4 2 3 5" xfId="2455"/>
    <cellStyle name="Komma 4 4 2 3 6" xfId="2456"/>
    <cellStyle name="Komma 4 4 2 4" xfId="2457"/>
    <cellStyle name="Komma 4 4 2 4 2" xfId="2458"/>
    <cellStyle name="Komma 4 4 2 4 2 2" xfId="2459"/>
    <cellStyle name="Komma 4 4 2 4 2 2 2" xfId="2460"/>
    <cellStyle name="Komma 4 4 2 4 2 3" xfId="2461"/>
    <cellStyle name="Komma 4 4 2 4 3" xfId="2462"/>
    <cellStyle name="Komma 4 4 2 4 3 2" xfId="2463"/>
    <cellStyle name="Komma 4 4 2 4 4" xfId="2464"/>
    <cellStyle name="Komma 4 4 2 5" xfId="2465"/>
    <cellStyle name="Komma 4 4 2 5 2" xfId="2466"/>
    <cellStyle name="Komma 4 4 2 5 2 2" xfId="2467"/>
    <cellStyle name="Komma 4 4 2 5 3" xfId="2468"/>
    <cellStyle name="Komma 4 4 2 6" xfId="2469"/>
    <cellStyle name="Komma 4 4 2 6 2" xfId="2470"/>
    <cellStyle name="Komma 4 4 2 7" xfId="2471"/>
    <cellStyle name="Komma 4 4 2 8" xfId="2472"/>
    <cellStyle name="Komma 4 4 3" xfId="2473"/>
    <cellStyle name="Komma 4 4 3 2" xfId="2474"/>
    <cellStyle name="Komma 4 4 3 2 2" xfId="2475"/>
    <cellStyle name="Komma 4 4 3 2 2 2" xfId="2476"/>
    <cellStyle name="Komma 4 4 3 2 2 2 2" xfId="2477"/>
    <cellStyle name="Komma 4 4 3 2 2 2 2 2" xfId="2478"/>
    <cellStyle name="Komma 4 4 3 2 2 2 3" xfId="2479"/>
    <cellStyle name="Komma 4 4 3 2 2 3" xfId="2480"/>
    <cellStyle name="Komma 4 4 3 2 2 3 2" xfId="2481"/>
    <cellStyle name="Komma 4 4 3 2 2 4" xfId="2482"/>
    <cellStyle name="Komma 4 4 3 2 3" xfId="2483"/>
    <cellStyle name="Komma 4 4 3 2 3 2" xfId="2484"/>
    <cellStyle name="Komma 4 4 3 2 3 2 2" xfId="2485"/>
    <cellStyle name="Komma 4 4 3 2 3 3" xfId="2486"/>
    <cellStyle name="Komma 4 4 3 2 4" xfId="2487"/>
    <cellStyle name="Komma 4 4 3 2 4 2" xfId="2488"/>
    <cellStyle name="Komma 4 4 3 2 5" xfId="2489"/>
    <cellStyle name="Komma 4 4 3 2 6" xfId="2490"/>
    <cellStyle name="Komma 4 4 3 3" xfId="2491"/>
    <cellStyle name="Komma 4 4 3 3 2" xfId="2492"/>
    <cellStyle name="Komma 4 4 3 3 2 2" xfId="2493"/>
    <cellStyle name="Komma 4 4 3 3 2 2 2" xfId="2494"/>
    <cellStyle name="Komma 4 4 3 3 2 3" xfId="2495"/>
    <cellStyle name="Komma 4 4 3 3 3" xfId="2496"/>
    <cellStyle name="Komma 4 4 3 3 3 2" xfId="2497"/>
    <cellStyle name="Komma 4 4 3 3 4" xfId="2498"/>
    <cellStyle name="Komma 4 4 3 4" xfId="2499"/>
    <cellStyle name="Komma 4 4 3 4 2" xfId="2500"/>
    <cellStyle name="Komma 4 4 3 4 2 2" xfId="2501"/>
    <cellStyle name="Komma 4 4 3 4 3" xfId="2502"/>
    <cellStyle name="Komma 4 4 3 5" xfId="2503"/>
    <cellStyle name="Komma 4 4 3 5 2" xfId="2504"/>
    <cellStyle name="Komma 4 4 3 6" xfId="2505"/>
    <cellStyle name="Komma 4 4 3 7" xfId="2506"/>
    <cellStyle name="Komma 4 4 4" xfId="2507"/>
    <cellStyle name="Komma 4 4 4 2" xfId="2508"/>
    <cellStyle name="Komma 4 4 4 2 2" xfId="2509"/>
    <cellStyle name="Komma 4 4 4 2 2 2" xfId="2510"/>
    <cellStyle name="Komma 4 4 4 2 2 2 2" xfId="2511"/>
    <cellStyle name="Komma 4 4 4 2 2 3" xfId="2512"/>
    <cellStyle name="Komma 4 4 4 2 3" xfId="2513"/>
    <cellStyle name="Komma 4 4 4 2 3 2" xfId="2514"/>
    <cellStyle name="Komma 4 4 4 2 4" xfId="2515"/>
    <cellStyle name="Komma 4 4 4 3" xfId="2516"/>
    <cellStyle name="Komma 4 4 4 3 2" xfId="2517"/>
    <cellStyle name="Komma 4 4 4 3 2 2" xfId="2518"/>
    <cellStyle name="Komma 4 4 4 3 3" xfId="2519"/>
    <cellStyle name="Komma 4 4 4 4" xfId="2520"/>
    <cellStyle name="Komma 4 4 4 4 2" xfId="2521"/>
    <cellStyle name="Komma 4 4 4 5" xfId="2522"/>
    <cellStyle name="Komma 4 4 4 6" xfId="2523"/>
    <cellStyle name="Komma 4 4 5" xfId="2524"/>
    <cellStyle name="Komma 4 4 5 2" xfId="2525"/>
    <cellStyle name="Komma 4 4 5 2 2" xfId="2526"/>
    <cellStyle name="Komma 4 4 5 2 2 2" xfId="2527"/>
    <cellStyle name="Komma 4 4 5 2 3" xfId="2528"/>
    <cellStyle name="Komma 4 4 5 3" xfId="2529"/>
    <cellStyle name="Komma 4 4 5 3 2" xfId="2530"/>
    <cellStyle name="Komma 4 4 5 4" xfId="2531"/>
    <cellStyle name="Komma 4 4 6" xfId="2532"/>
    <cellStyle name="Komma 4 4 6 2" xfId="2533"/>
    <cellStyle name="Komma 4 4 6 2 2" xfId="2534"/>
    <cellStyle name="Komma 4 4 6 3" xfId="2535"/>
    <cellStyle name="Komma 4 4 7" xfId="2536"/>
    <cellStyle name="Komma 4 4 7 2" xfId="2537"/>
    <cellStyle name="Komma 4 4 8" xfId="2538"/>
    <cellStyle name="Komma 4 4 9" xfId="2539"/>
    <cellStyle name="Komma 4 5" xfId="2540"/>
    <cellStyle name="Komma 4 5 2" xfId="2541"/>
    <cellStyle name="Komma 4 5 2 2" xfId="2542"/>
    <cellStyle name="Komma 4 5 2 2 2" xfId="2543"/>
    <cellStyle name="Komma 4 5 2 2 2 2" xfId="2544"/>
    <cellStyle name="Komma 4 5 2 2 2 2 2" xfId="2545"/>
    <cellStyle name="Komma 4 5 2 2 2 2 2 2" xfId="2546"/>
    <cellStyle name="Komma 4 5 2 2 2 2 3" xfId="2547"/>
    <cellStyle name="Komma 4 5 2 2 2 3" xfId="2548"/>
    <cellStyle name="Komma 4 5 2 2 2 3 2" xfId="2549"/>
    <cellStyle name="Komma 4 5 2 2 2 4" xfId="2550"/>
    <cellStyle name="Komma 4 5 2 2 3" xfId="2551"/>
    <cellStyle name="Komma 4 5 2 2 3 2" xfId="2552"/>
    <cellStyle name="Komma 4 5 2 2 3 2 2" xfId="2553"/>
    <cellStyle name="Komma 4 5 2 2 3 3" xfId="2554"/>
    <cellStyle name="Komma 4 5 2 2 4" xfId="2555"/>
    <cellStyle name="Komma 4 5 2 2 4 2" xfId="2556"/>
    <cellStyle name="Komma 4 5 2 2 5" xfId="2557"/>
    <cellStyle name="Komma 4 5 2 2 6" xfId="2558"/>
    <cellStyle name="Komma 4 5 2 3" xfId="2559"/>
    <cellStyle name="Komma 4 5 2 3 2" xfId="2560"/>
    <cellStyle name="Komma 4 5 2 3 2 2" xfId="2561"/>
    <cellStyle name="Komma 4 5 2 3 2 2 2" xfId="2562"/>
    <cellStyle name="Komma 4 5 2 3 2 3" xfId="2563"/>
    <cellStyle name="Komma 4 5 2 3 3" xfId="2564"/>
    <cellStyle name="Komma 4 5 2 3 3 2" xfId="2565"/>
    <cellStyle name="Komma 4 5 2 3 4" xfId="2566"/>
    <cellStyle name="Komma 4 5 2 4" xfId="2567"/>
    <cellStyle name="Komma 4 5 2 4 2" xfId="2568"/>
    <cellStyle name="Komma 4 5 2 4 2 2" xfId="2569"/>
    <cellStyle name="Komma 4 5 2 4 3" xfId="2570"/>
    <cellStyle name="Komma 4 5 2 5" xfId="2571"/>
    <cellStyle name="Komma 4 5 2 5 2" xfId="2572"/>
    <cellStyle name="Komma 4 5 2 6" xfId="2573"/>
    <cellStyle name="Komma 4 5 2 7" xfId="2574"/>
    <cellStyle name="Komma 4 5 3" xfId="2575"/>
    <cellStyle name="Komma 4 5 3 2" xfId="2576"/>
    <cellStyle name="Komma 4 5 3 2 2" xfId="2577"/>
    <cellStyle name="Komma 4 5 3 2 2 2" xfId="2578"/>
    <cellStyle name="Komma 4 5 3 2 2 2 2" xfId="2579"/>
    <cellStyle name="Komma 4 5 3 2 2 3" xfId="2580"/>
    <cellStyle name="Komma 4 5 3 2 3" xfId="2581"/>
    <cellStyle name="Komma 4 5 3 2 3 2" xfId="2582"/>
    <cellStyle name="Komma 4 5 3 2 4" xfId="2583"/>
    <cellStyle name="Komma 4 5 3 3" xfId="2584"/>
    <cellStyle name="Komma 4 5 3 3 2" xfId="2585"/>
    <cellStyle name="Komma 4 5 3 3 2 2" xfId="2586"/>
    <cellStyle name="Komma 4 5 3 3 3" xfId="2587"/>
    <cellStyle name="Komma 4 5 3 4" xfId="2588"/>
    <cellStyle name="Komma 4 5 3 4 2" xfId="2589"/>
    <cellStyle name="Komma 4 5 3 5" xfId="2590"/>
    <cellStyle name="Komma 4 5 3 6" xfId="2591"/>
    <cellStyle name="Komma 4 5 4" xfId="2592"/>
    <cellStyle name="Komma 4 5 4 2" xfId="2593"/>
    <cellStyle name="Komma 4 5 4 2 2" xfId="2594"/>
    <cellStyle name="Komma 4 5 4 2 2 2" xfId="2595"/>
    <cellStyle name="Komma 4 5 4 2 3" xfId="2596"/>
    <cellStyle name="Komma 4 5 4 3" xfId="2597"/>
    <cellStyle name="Komma 4 5 4 3 2" xfId="2598"/>
    <cellStyle name="Komma 4 5 4 4" xfId="2599"/>
    <cellStyle name="Komma 4 5 5" xfId="2600"/>
    <cellStyle name="Komma 4 5 5 2" xfId="2601"/>
    <cellStyle name="Komma 4 5 5 2 2" xfId="2602"/>
    <cellStyle name="Komma 4 5 5 3" xfId="2603"/>
    <cellStyle name="Komma 4 5 6" xfId="2604"/>
    <cellStyle name="Komma 4 5 6 2" xfId="2605"/>
    <cellStyle name="Komma 4 5 7" xfId="2606"/>
    <cellStyle name="Komma 4 5 8" xfId="2607"/>
    <cellStyle name="Komma 4 6" xfId="2608"/>
    <cellStyle name="Komma 4 6 2" xfId="2609"/>
    <cellStyle name="Komma 4 6 2 2" xfId="2610"/>
    <cellStyle name="Komma 4 6 2 2 2" xfId="2611"/>
    <cellStyle name="Komma 4 6 2 2 2 2" xfId="2612"/>
    <cellStyle name="Komma 4 6 2 2 2 2 2" xfId="2613"/>
    <cellStyle name="Komma 4 6 2 2 2 2 2 2" xfId="2614"/>
    <cellStyle name="Komma 4 6 2 2 2 2 3" xfId="2615"/>
    <cellStyle name="Komma 4 6 2 2 2 3" xfId="2616"/>
    <cellStyle name="Komma 4 6 2 2 2 3 2" xfId="2617"/>
    <cellStyle name="Komma 4 6 2 2 2 4" xfId="2618"/>
    <cellStyle name="Komma 4 6 2 2 3" xfId="2619"/>
    <cellStyle name="Komma 4 6 2 2 3 2" xfId="2620"/>
    <cellStyle name="Komma 4 6 2 2 3 2 2" xfId="2621"/>
    <cellStyle name="Komma 4 6 2 2 3 3" xfId="2622"/>
    <cellStyle name="Komma 4 6 2 2 4" xfId="2623"/>
    <cellStyle name="Komma 4 6 2 2 4 2" xfId="2624"/>
    <cellStyle name="Komma 4 6 2 2 5" xfId="2625"/>
    <cellStyle name="Komma 4 6 2 2 6" xfId="2626"/>
    <cellStyle name="Komma 4 6 2 3" xfId="2627"/>
    <cellStyle name="Komma 4 6 2 3 2" xfId="2628"/>
    <cellStyle name="Komma 4 6 2 3 2 2" xfId="2629"/>
    <cellStyle name="Komma 4 6 2 3 2 2 2" xfId="2630"/>
    <cellStyle name="Komma 4 6 2 3 2 3" xfId="2631"/>
    <cellStyle name="Komma 4 6 2 3 3" xfId="2632"/>
    <cellStyle name="Komma 4 6 2 3 3 2" xfId="2633"/>
    <cellStyle name="Komma 4 6 2 3 4" xfId="2634"/>
    <cellStyle name="Komma 4 6 2 4" xfId="2635"/>
    <cellStyle name="Komma 4 6 2 4 2" xfId="2636"/>
    <cellStyle name="Komma 4 6 2 4 2 2" xfId="2637"/>
    <cellStyle name="Komma 4 6 2 4 3" xfId="2638"/>
    <cellStyle name="Komma 4 6 2 5" xfId="2639"/>
    <cellStyle name="Komma 4 6 2 5 2" xfId="2640"/>
    <cellStyle name="Komma 4 6 2 6" xfId="2641"/>
    <cellStyle name="Komma 4 6 2 7" xfId="2642"/>
    <cellStyle name="Komma 4 6 3" xfId="2643"/>
    <cellStyle name="Komma 4 6 3 2" xfId="2644"/>
    <cellStyle name="Komma 4 6 3 2 2" xfId="2645"/>
    <cellStyle name="Komma 4 6 3 2 2 2" xfId="2646"/>
    <cellStyle name="Komma 4 6 3 2 2 2 2" xfId="2647"/>
    <cellStyle name="Komma 4 6 3 2 2 3" xfId="2648"/>
    <cellStyle name="Komma 4 6 3 2 3" xfId="2649"/>
    <cellStyle name="Komma 4 6 3 2 3 2" xfId="2650"/>
    <cellStyle name="Komma 4 6 3 2 4" xfId="2651"/>
    <cellStyle name="Komma 4 6 3 3" xfId="2652"/>
    <cellStyle name="Komma 4 6 3 3 2" xfId="2653"/>
    <cellStyle name="Komma 4 6 3 3 2 2" xfId="2654"/>
    <cellStyle name="Komma 4 6 3 3 3" xfId="2655"/>
    <cellStyle name="Komma 4 6 3 4" xfId="2656"/>
    <cellStyle name="Komma 4 6 3 4 2" xfId="2657"/>
    <cellStyle name="Komma 4 6 3 5" xfId="2658"/>
    <cellStyle name="Komma 4 6 3 6" xfId="2659"/>
    <cellStyle name="Komma 4 6 4" xfId="2660"/>
    <cellStyle name="Komma 4 6 4 2" xfId="2661"/>
    <cellStyle name="Komma 4 6 4 2 2" xfId="2662"/>
    <cellStyle name="Komma 4 6 4 2 2 2" xfId="2663"/>
    <cellStyle name="Komma 4 6 4 2 3" xfId="2664"/>
    <cellStyle name="Komma 4 6 4 3" xfId="2665"/>
    <cellStyle name="Komma 4 6 4 3 2" xfId="2666"/>
    <cellStyle name="Komma 4 6 4 4" xfId="2667"/>
    <cellStyle name="Komma 4 6 5" xfId="2668"/>
    <cellStyle name="Komma 4 6 5 2" xfId="2669"/>
    <cellStyle name="Komma 4 6 5 2 2" xfId="2670"/>
    <cellStyle name="Komma 4 6 5 3" xfId="2671"/>
    <cellStyle name="Komma 4 6 6" xfId="2672"/>
    <cellStyle name="Komma 4 6 6 2" xfId="2673"/>
    <cellStyle name="Komma 4 6 7" xfId="2674"/>
    <cellStyle name="Komma 4 6 8" xfId="2675"/>
    <cellStyle name="Komma 4 7" xfId="2676"/>
    <cellStyle name="Komma 4 7 2" xfId="2677"/>
    <cellStyle name="Komma 4 7 2 2" xfId="2678"/>
    <cellStyle name="Komma 4 7 2 2 2" xfId="2679"/>
    <cellStyle name="Komma 4 7 2 2 2 2" xfId="2680"/>
    <cellStyle name="Komma 4 7 2 2 2 2 2" xfId="2681"/>
    <cellStyle name="Komma 4 7 2 2 2 3" xfId="2682"/>
    <cellStyle name="Komma 4 7 2 2 3" xfId="2683"/>
    <cellStyle name="Komma 4 7 2 2 3 2" xfId="2684"/>
    <cellStyle name="Komma 4 7 2 2 4" xfId="2685"/>
    <cellStyle name="Komma 4 7 2 3" xfId="2686"/>
    <cellStyle name="Komma 4 7 2 3 2" xfId="2687"/>
    <cellStyle name="Komma 4 7 2 3 2 2" xfId="2688"/>
    <cellStyle name="Komma 4 7 2 3 3" xfId="2689"/>
    <cellStyle name="Komma 4 7 2 4" xfId="2690"/>
    <cellStyle name="Komma 4 7 2 4 2" xfId="2691"/>
    <cellStyle name="Komma 4 7 2 5" xfId="2692"/>
    <cellStyle name="Komma 4 7 2 6" xfId="2693"/>
    <cellStyle name="Komma 4 7 3" xfId="2694"/>
    <cellStyle name="Komma 4 7 3 2" xfId="2695"/>
    <cellStyle name="Komma 4 7 3 2 2" xfId="2696"/>
    <cellStyle name="Komma 4 7 3 2 2 2" xfId="2697"/>
    <cellStyle name="Komma 4 7 3 2 3" xfId="2698"/>
    <cellStyle name="Komma 4 7 3 3" xfId="2699"/>
    <cellStyle name="Komma 4 7 3 3 2" xfId="2700"/>
    <cellStyle name="Komma 4 7 3 4" xfId="2701"/>
    <cellStyle name="Komma 4 7 4" xfId="2702"/>
    <cellStyle name="Komma 4 7 4 2" xfId="2703"/>
    <cellStyle name="Komma 4 7 4 2 2" xfId="2704"/>
    <cellStyle name="Komma 4 7 4 3" xfId="2705"/>
    <cellStyle name="Komma 4 7 5" xfId="2706"/>
    <cellStyle name="Komma 4 7 5 2" xfId="2707"/>
    <cellStyle name="Komma 4 7 6" xfId="2708"/>
    <cellStyle name="Komma 4 7 7" xfId="2709"/>
    <cellStyle name="Komma 4 8" xfId="2710"/>
    <cellStyle name="Komma 4 8 2" xfId="2711"/>
    <cellStyle name="Komma 4 8 2 2" xfId="2712"/>
    <cellStyle name="Komma 4 8 2 2 2" xfId="2713"/>
    <cellStyle name="Komma 4 8 2 2 2 2" xfId="2714"/>
    <cellStyle name="Komma 4 8 2 2 3" xfId="2715"/>
    <cellStyle name="Komma 4 8 2 3" xfId="2716"/>
    <cellStyle name="Komma 4 8 2 3 2" xfId="2717"/>
    <cellStyle name="Komma 4 8 2 4" xfId="2718"/>
    <cellStyle name="Komma 4 8 3" xfId="2719"/>
    <cellStyle name="Komma 4 8 3 2" xfId="2720"/>
    <cellStyle name="Komma 4 8 3 2 2" xfId="2721"/>
    <cellStyle name="Komma 4 8 3 3" xfId="2722"/>
    <cellStyle name="Komma 4 8 4" xfId="2723"/>
    <cellStyle name="Komma 4 8 4 2" xfId="2724"/>
    <cellStyle name="Komma 4 8 5" xfId="2725"/>
    <cellStyle name="Komma 4 8 6" xfId="2726"/>
    <cellStyle name="Komma 4 9" xfId="2727"/>
    <cellStyle name="Komma 4 9 2" xfId="2728"/>
    <cellStyle name="Komma 4 9 2 2" xfId="2729"/>
    <cellStyle name="Komma 4 9 2 2 2" xfId="2730"/>
    <cellStyle name="Komma 4 9 2 3" xfId="2731"/>
    <cellStyle name="Komma 4 9 3" xfId="2732"/>
    <cellStyle name="Komma 4 9 3 2" xfId="2733"/>
    <cellStyle name="Komma 4 9 4" xfId="2734"/>
    <cellStyle name="Komma 5" xfId="2735"/>
    <cellStyle name="Komma 5 2" xfId="2736"/>
    <cellStyle name="Komma 6" xfId="2737"/>
    <cellStyle name="Komma 6 2" xfId="2738"/>
    <cellStyle name="Komma 7" xfId="2739"/>
    <cellStyle name="Komma 7 2" xfId="2740"/>
    <cellStyle name="Komma 8" xfId="2741"/>
    <cellStyle name="Komma 9" xfId="2742"/>
    <cellStyle name="Komma 9 2" xfId="2743"/>
    <cellStyle name="Komma 9 2 2" xfId="2744"/>
    <cellStyle name="Komma 9 2 2 2" xfId="2745"/>
    <cellStyle name="Komma 9 2 3" xfId="2746"/>
    <cellStyle name="Komma 9 3" xfId="2747"/>
    <cellStyle name="Komma 9 3 2" xfId="2748"/>
    <cellStyle name="Komma 9 4" xfId="2749"/>
    <cellStyle name="Normal" xfId="0" builtinId="0"/>
    <cellStyle name="Normal 2" xfId="2750"/>
    <cellStyle name="Percent" xfId="1" builtinId="5"/>
    <cellStyle name="Procent 2" xfId="2751"/>
    <cellStyle name="Procent 2 2" xfId="2752"/>
    <cellStyle name="Procent 3" xfId="2753"/>
    <cellStyle name="Procent 3 2" xfId="2754"/>
    <cellStyle name="Procent 4" xfId="2755"/>
    <cellStyle name="Procent 5" xfId="2756"/>
    <cellStyle name="Procent 6" xfId="2757"/>
    <cellStyle name="Standaard 10" xfId="2758"/>
    <cellStyle name="Standaard 10 10" xfId="2759"/>
    <cellStyle name="Standaard 10 10 2" xfId="2760"/>
    <cellStyle name="Standaard 10 10 2 2" xfId="2761"/>
    <cellStyle name="Standaard 10 10 3" xfId="2762"/>
    <cellStyle name="Standaard 10 11" xfId="2763"/>
    <cellStyle name="Standaard 10 11 2" xfId="2764"/>
    <cellStyle name="Standaard 10 12" xfId="2765"/>
    <cellStyle name="Standaard 10 13" xfId="2766"/>
    <cellStyle name="Standaard 10 2" xfId="2767"/>
    <cellStyle name="Standaard 10 2 10" xfId="2768"/>
    <cellStyle name="Standaard 10 2 10 2" xfId="2769"/>
    <cellStyle name="Standaard 10 2 10 2 2" xfId="2770"/>
    <cellStyle name="Standaard 10 2 10 3" xfId="2771"/>
    <cellStyle name="Standaard 10 2 11" xfId="2772"/>
    <cellStyle name="Standaard 10 2 11 2" xfId="2773"/>
    <cellStyle name="Standaard 10 2 12" xfId="2774"/>
    <cellStyle name="Standaard 10 2 13" xfId="2775"/>
    <cellStyle name="Standaard 10 2 2" xfId="2776"/>
    <cellStyle name="Standaard 10 2 2 10" xfId="2777"/>
    <cellStyle name="Standaard 10 2 2 11" xfId="2778"/>
    <cellStyle name="Standaard 10 2 2 2" xfId="2779"/>
    <cellStyle name="Standaard 10 2 2 2 10" xfId="2780"/>
    <cellStyle name="Standaard 10 2 2 2 2" xfId="2781"/>
    <cellStyle name="Standaard 10 2 2 2 2 10" xfId="2782"/>
    <cellStyle name="Standaard 10 2 2 2 2 10 2" xfId="2783"/>
    <cellStyle name="Standaard 10 2 2 2 2 10 2 2" xfId="2784"/>
    <cellStyle name="Standaard 10 2 2 2 2 10 3" xfId="2785"/>
    <cellStyle name="Standaard 10 2 2 2 2 11" xfId="2786"/>
    <cellStyle name="Standaard 10 2 2 2 2 11 2" xfId="2787"/>
    <cellStyle name="Standaard 10 2 2 2 2 12" xfId="2788"/>
    <cellStyle name="Standaard 10 2 2 2 2 13" xfId="2789"/>
    <cellStyle name="Standaard 10 2 2 2 2 2" xfId="2790"/>
    <cellStyle name="Standaard 10 2 2 2 2 2 10" xfId="2791"/>
    <cellStyle name="Standaard 10 2 2 2 2 2 10 2" xfId="2792"/>
    <cellStyle name="Standaard 10 2 2 2 2 2 11" xfId="2793"/>
    <cellStyle name="Standaard 10 2 2 2 2 2 12" xfId="2794"/>
    <cellStyle name="Standaard 10 2 2 2 2 2 2" xfId="2795"/>
    <cellStyle name="Standaard 10 2 2 2 2 2 2 10" xfId="2796"/>
    <cellStyle name="Standaard 10 2 2 2 2 2 2 11" xfId="2797"/>
    <cellStyle name="Standaard 10 2 2 2 2 2 2 2" xfId="2798"/>
    <cellStyle name="Standaard 10 2 2 2 2 2 2 2 2" xfId="2799"/>
    <cellStyle name="Standaard 10 2 2 2 2 2 2 2 2 2" xfId="2800"/>
    <cellStyle name="Standaard 10 2 2 2 2 2 2 2 2 2 2" xfId="2801"/>
    <cellStyle name="Standaard 10 2 2 2 2 2 2 2 2 2 2 2" xfId="2802"/>
    <cellStyle name="Standaard 10 2 2 2 2 2 2 2 2 2 2 2 2" xfId="2803"/>
    <cellStyle name="Standaard 10 2 2 2 2 2 2 2 2 2 2 2 2 2" xfId="2804"/>
    <cellStyle name="Standaard 10 2 2 2 2 2 2 2 2 2 2 2 2 2 2" xfId="2805"/>
    <cellStyle name="Standaard 10 2 2 2 2 2 2 2 2 2 2 2 2 3" xfId="2806"/>
    <cellStyle name="Standaard 10 2 2 2 2 2 2 2 2 2 2 2 3" xfId="2807"/>
    <cellStyle name="Standaard 10 2 2 2 2 2 2 2 2 2 2 2 3 2" xfId="2808"/>
    <cellStyle name="Standaard 10 2 2 2 2 2 2 2 2 2 2 2 4" xfId="2809"/>
    <cellStyle name="Standaard 10 2 2 2 2 2 2 2 2 2 2 3" xfId="2810"/>
    <cellStyle name="Standaard 10 2 2 2 2 2 2 2 2 2 2 3 2" xfId="2811"/>
    <cellStyle name="Standaard 10 2 2 2 2 2 2 2 2 2 2 3 2 2" xfId="2812"/>
    <cellStyle name="Standaard 10 2 2 2 2 2 2 2 2 2 2 3 3" xfId="2813"/>
    <cellStyle name="Standaard 10 2 2 2 2 2 2 2 2 2 2 4" xfId="2814"/>
    <cellStyle name="Standaard 10 2 2 2 2 2 2 2 2 2 2 4 2" xfId="2815"/>
    <cellStyle name="Standaard 10 2 2 2 2 2 2 2 2 2 2 5" xfId="2816"/>
    <cellStyle name="Standaard 10 2 2 2 2 2 2 2 2 2 2 6" xfId="2817"/>
    <cellStyle name="Standaard 10 2 2 2 2 2 2 2 2 2 3" xfId="2818"/>
    <cellStyle name="Standaard 10 2 2 2 2 2 2 2 2 2 3 2" xfId="2819"/>
    <cellStyle name="Standaard 10 2 2 2 2 2 2 2 2 2 3 2 2" xfId="2820"/>
    <cellStyle name="Standaard 10 2 2 2 2 2 2 2 2 2 3 2 2 2" xfId="2821"/>
    <cellStyle name="Standaard 10 2 2 2 2 2 2 2 2 2 3 2 3" xfId="2822"/>
    <cellStyle name="Standaard 10 2 2 2 2 2 2 2 2 2 3 3" xfId="2823"/>
    <cellStyle name="Standaard 10 2 2 2 2 2 2 2 2 2 3 3 2" xfId="2824"/>
    <cellStyle name="Standaard 10 2 2 2 2 2 2 2 2 2 3 4" xfId="2825"/>
    <cellStyle name="Standaard 10 2 2 2 2 2 2 2 2 2 4" xfId="2826"/>
    <cellStyle name="Standaard 10 2 2 2 2 2 2 2 2 2 4 2" xfId="2827"/>
    <cellStyle name="Standaard 10 2 2 2 2 2 2 2 2 2 4 2 2" xfId="2828"/>
    <cellStyle name="Standaard 10 2 2 2 2 2 2 2 2 2 4 3" xfId="2829"/>
    <cellStyle name="Standaard 10 2 2 2 2 2 2 2 2 2 5" xfId="2830"/>
    <cellStyle name="Standaard 10 2 2 2 2 2 2 2 2 2 5 2" xfId="2831"/>
    <cellStyle name="Standaard 10 2 2 2 2 2 2 2 2 2 6" xfId="2832"/>
    <cellStyle name="Standaard 10 2 2 2 2 2 2 2 2 2 7" xfId="2833"/>
    <cellStyle name="Standaard 10 2 2 2 2 2 2 2 2 3" xfId="2834"/>
    <cellStyle name="Standaard 10 2 2 2 2 2 2 2 2 3 2" xfId="2835"/>
    <cellStyle name="Standaard 10 2 2 2 2 2 2 2 2 3 2 2" xfId="2836"/>
    <cellStyle name="Standaard 10 2 2 2 2 2 2 2 2 3 2 2 2" xfId="2837"/>
    <cellStyle name="Standaard 10 2 2 2 2 2 2 2 2 3 2 2 2 2" xfId="2838"/>
    <cellStyle name="Standaard 10 2 2 2 2 2 2 2 2 3 2 2 3" xfId="2839"/>
    <cellStyle name="Standaard 10 2 2 2 2 2 2 2 2 3 2 3" xfId="2840"/>
    <cellStyle name="Standaard 10 2 2 2 2 2 2 2 2 3 2 3 2" xfId="2841"/>
    <cellStyle name="Standaard 10 2 2 2 2 2 2 2 2 3 2 4" xfId="2842"/>
    <cellStyle name="Standaard 10 2 2 2 2 2 2 2 2 3 3" xfId="2843"/>
    <cellStyle name="Standaard 10 2 2 2 2 2 2 2 2 3 3 2" xfId="2844"/>
    <cellStyle name="Standaard 10 2 2 2 2 2 2 2 2 3 3 2 2" xfId="2845"/>
    <cellStyle name="Standaard 10 2 2 2 2 2 2 2 2 3 3 3" xfId="2846"/>
    <cellStyle name="Standaard 10 2 2 2 2 2 2 2 2 3 4" xfId="2847"/>
    <cellStyle name="Standaard 10 2 2 2 2 2 2 2 2 3 4 2" xfId="2848"/>
    <cellStyle name="Standaard 10 2 2 2 2 2 2 2 2 3 5" xfId="2849"/>
    <cellStyle name="Standaard 10 2 2 2 2 2 2 2 2 3 6" xfId="2850"/>
    <cellStyle name="Standaard 10 2 2 2 2 2 2 2 2 4" xfId="2851"/>
    <cellStyle name="Standaard 10 2 2 2 2 2 2 2 2 4 2" xfId="2852"/>
    <cellStyle name="Standaard 10 2 2 2 2 2 2 2 2 4 2 2" xfId="2853"/>
    <cellStyle name="Standaard 10 2 2 2 2 2 2 2 2 4 2 2 2" xfId="2854"/>
    <cellStyle name="Standaard 10 2 2 2 2 2 2 2 2 4 2 3" xfId="2855"/>
    <cellStyle name="Standaard 10 2 2 2 2 2 2 2 2 4 3" xfId="2856"/>
    <cellStyle name="Standaard 10 2 2 2 2 2 2 2 2 4 3 2" xfId="2857"/>
    <cellStyle name="Standaard 10 2 2 2 2 2 2 2 2 4 4" xfId="2858"/>
    <cellStyle name="Standaard 10 2 2 2 2 2 2 2 2 5" xfId="2859"/>
    <cellStyle name="Standaard 10 2 2 2 2 2 2 2 2 5 2" xfId="2860"/>
    <cellStyle name="Standaard 10 2 2 2 2 2 2 2 2 5 2 2" xfId="2861"/>
    <cellStyle name="Standaard 10 2 2 2 2 2 2 2 2 5 3" xfId="2862"/>
    <cellStyle name="Standaard 10 2 2 2 2 2 2 2 2 6" xfId="2863"/>
    <cellStyle name="Standaard 10 2 2 2 2 2 2 2 2 6 2" xfId="2864"/>
    <cellStyle name="Standaard 10 2 2 2 2 2 2 2 2 7" xfId="2865"/>
    <cellStyle name="Standaard 10 2 2 2 2 2 2 2 2 8" xfId="2866"/>
    <cellStyle name="Standaard 10 2 2 2 2 2 2 2 3" xfId="2867"/>
    <cellStyle name="Standaard 10 2 2 2 2 2 2 2 3 2" xfId="2868"/>
    <cellStyle name="Standaard 10 2 2 2 2 2 2 2 3 2 2" xfId="2869"/>
    <cellStyle name="Standaard 10 2 2 2 2 2 2 2 3 2 2 2" xfId="2870"/>
    <cellStyle name="Standaard 10 2 2 2 2 2 2 2 3 2 2 2 2" xfId="2871"/>
    <cellStyle name="Standaard 10 2 2 2 2 2 2 2 3 2 2 2 2 2" xfId="2872"/>
    <cellStyle name="Standaard 10 2 2 2 2 2 2 2 3 2 2 2 3" xfId="2873"/>
    <cellStyle name="Standaard 10 2 2 2 2 2 2 2 3 2 2 3" xfId="2874"/>
    <cellStyle name="Standaard 10 2 2 2 2 2 2 2 3 2 2 3 2" xfId="2875"/>
    <cellStyle name="Standaard 10 2 2 2 2 2 2 2 3 2 2 4" xfId="2876"/>
    <cellStyle name="Standaard 10 2 2 2 2 2 2 2 3 2 3" xfId="2877"/>
    <cellStyle name="Standaard 10 2 2 2 2 2 2 2 3 2 3 2" xfId="2878"/>
    <cellStyle name="Standaard 10 2 2 2 2 2 2 2 3 2 3 2 2" xfId="2879"/>
    <cellStyle name="Standaard 10 2 2 2 2 2 2 2 3 2 3 3" xfId="2880"/>
    <cellStyle name="Standaard 10 2 2 2 2 2 2 2 3 2 4" xfId="2881"/>
    <cellStyle name="Standaard 10 2 2 2 2 2 2 2 3 2 4 2" xfId="2882"/>
    <cellStyle name="Standaard 10 2 2 2 2 2 2 2 3 2 5" xfId="2883"/>
    <cellStyle name="Standaard 10 2 2 2 2 2 2 2 3 2 6" xfId="2884"/>
    <cellStyle name="Standaard 10 2 2 2 2 2 2 2 3 3" xfId="2885"/>
    <cellStyle name="Standaard 10 2 2 2 2 2 2 2 3 3 2" xfId="2886"/>
    <cellStyle name="Standaard 10 2 2 2 2 2 2 2 3 3 2 2" xfId="2887"/>
    <cellStyle name="Standaard 10 2 2 2 2 2 2 2 3 3 2 2 2" xfId="2888"/>
    <cellStyle name="Standaard 10 2 2 2 2 2 2 2 3 3 2 3" xfId="2889"/>
    <cellStyle name="Standaard 10 2 2 2 2 2 2 2 3 3 3" xfId="2890"/>
    <cellStyle name="Standaard 10 2 2 2 2 2 2 2 3 3 3 2" xfId="2891"/>
    <cellStyle name="Standaard 10 2 2 2 2 2 2 2 3 3 4" xfId="2892"/>
    <cellStyle name="Standaard 10 2 2 2 2 2 2 2 3 4" xfId="2893"/>
    <cellStyle name="Standaard 10 2 2 2 2 2 2 2 3 4 2" xfId="2894"/>
    <cellStyle name="Standaard 10 2 2 2 2 2 2 2 3 4 2 2" xfId="2895"/>
    <cellStyle name="Standaard 10 2 2 2 2 2 2 2 3 4 3" xfId="2896"/>
    <cellStyle name="Standaard 10 2 2 2 2 2 2 2 3 5" xfId="2897"/>
    <cellStyle name="Standaard 10 2 2 2 2 2 2 2 3 5 2" xfId="2898"/>
    <cellStyle name="Standaard 10 2 2 2 2 2 2 2 3 6" xfId="2899"/>
    <cellStyle name="Standaard 10 2 2 2 2 2 2 2 3 7" xfId="2900"/>
    <cellStyle name="Standaard 10 2 2 2 2 2 2 2 4" xfId="2901"/>
    <cellStyle name="Standaard 10 2 2 2 2 2 2 2 4 2" xfId="2902"/>
    <cellStyle name="Standaard 10 2 2 2 2 2 2 2 4 2 2" xfId="2903"/>
    <cellStyle name="Standaard 10 2 2 2 2 2 2 2 4 2 2 2" xfId="2904"/>
    <cellStyle name="Standaard 10 2 2 2 2 2 2 2 4 2 2 2 2" xfId="2905"/>
    <cellStyle name="Standaard 10 2 2 2 2 2 2 2 4 2 2 3" xfId="2906"/>
    <cellStyle name="Standaard 10 2 2 2 2 2 2 2 4 2 3" xfId="2907"/>
    <cellStyle name="Standaard 10 2 2 2 2 2 2 2 4 2 3 2" xfId="2908"/>
    <cellStyle name="Standaard 10 2 2 2 2 2 2 2 4 2 4" xfId="2909"/>
    <cellStyle name="Standaard 10 2 2 2 2 2 2 2 4 3" xfId="2910"/>
    <cellStyle name="Standaard 10 2 2 2 2 2 2 2 4 3 2" xfId="2911"/>
    <cellStyle name="Standaard 10 2 2 2 2 2 2 2 4 3 2 2" xfId="2912"/>
    <cellStyle name="Standaard 10 2 2 2 2 2 2 2 4 3 3" xfId="2913"/>
    <cellStyle name="Standaard 10 2 2 2 2 2 2 2 4 4" xfId="2914"/>
    <cellStyle name="Standaard 10 2 2 2 2 2 2 2 4 4 2" xfId="2915"/>
    <cellStyle name="Standaard 10 2 2 2 2 2 2 2 4 5" xfId="2916"/>
    <cellStyle name="Standaard 10 2 2 2 2 2 2 2 4 6" xfId="2917"/>
    <cellStyle name="Standaard 10 2 2 2 2 2 2 2 5" xfId="2918"/>
    <cellStyle name="Standaard 10 2 2 2 2 2 2 2 5 2" xfId="2919"/>
    <cellStyle name="Standaard 10 2 2 2 2 2 2 2 5 2 2" xfId="2920"/>
    <cellStyle name="Standaard 10 2 2 2 2 2 2 2 5 2 2 2" xfId="2921"/>
    <cellStyle name="Standaard 10 2 2 2 2 2 2 2 5 2 3" xfId="2922"/>
    <cellStyle name="Standaard 10 2 2 2 2 2 2 2 5 3" xfId="2923"/>
    <cellStyle name="Standaard 10 2 2 2 2 2 2 2 5 3 2" xfId="2924"/>
    <cellStyle name="Standaard 10 2 2 2 2 2 2 2 5 4" xfId="2925"/>
    <cellStyle name="Standaard 10 2 2 2 2 2 2 2 6" xfId="2926"/>
    <cellStyle name="Standaard 10 2 2 2 2 2 2 2 6 2" xfId="2927"/>
    <cellStyle name="Standaard 10 2 2 2 2 2 2 2 6 2 2" xfId="2928"/>
    <cellStyle name="Standaard 10 2 2 2 2 2 2 2 6 3" xfId="2929"/>
    <cellStyle name="Standaard 10 2 2 2 2 2 2 2 7" xfId="2930"/>
    <cellStyle name="Standaard 10 2 2 2 2 2 2 2 7 2" xfId="2931"/>
    <cellStyle name="Standaard 10 2 2 2 2 2 2 2 8" xfId="2932"/>
    <cellStyle name="Standaard 10 2 2 2 2 2 2 2 9" xfId="2933"/>
    <cellStyle name="Standaard 10 2 2 2 2 2 2 3" xfId="2934"/>
    <cellStyle name="Standaard 10 2 2 2 2 2 2 3 2" xfId="2935"/>
    <cellStyle name="Standaard 10 2 2 2 2 2 2 3 2 2" xfId="2936"/>
    <cellStyle name="Standaard 10 2 2 2 2 2 2 3 2 2 2" xfId="2937"/>
    <cellStyle name="Standaard 10 2 2 2 2 2 2 3 2 2 2 2" xfId="2938"/>
    <cellStyle name="Standaard 10 2 2 2 2 2 2 3 2 2 2 2 2" xfId="2939"/>
    <cellStyle name="Standaard 10 2 2 2 2 2 2 3 2 2 2 2 2 2" xfId="2940"/>
    <cellStyle name="Standaard 10 2 2 2 2 2 2 3 2 2 2 2 3" xfId="2941"/>
    <cellStyle name="Standaard 10 2 2 2 2 2 2 3 2 2 2 3" xfId="2942"/>
    <cellStyle name="Standaard 10 2 2 2 2 2 2 3 2 2 2 3 2" xfId="2943"/>
    <cellStyle name="Standaard 10 2 2 2 2 2 2 3 2 2 2 4" xfId="2944"/>
    <cellStyle name="Standaard 10 2 2 2 2 2 2 3 2 2 3" xfId="2945"/>
    <cellStyle name="Standaard 10 2 2 2 2 2 2 3 2 2 3 2" xfId="2946"/>
    <cellStyle name="Standaard 10 2 2 2 2 2 2 3 2 2 3 2 2" xfId="2947"/>
    <cellStyle name="Standaard 10 2 2 2 2 2 2 3 2 2 3 3" xfId="2948"/>
    <cellStyle name="Standaard 10 2 2 2 2 2 2 3 2 2 4" xfId="2949"/>
    <cellStyle name="Standaard 10 2 2 2 2 2 2 3 2 2 4 2" xfId="2950"/>
    <cellStyle name="Standaard 10 2 2 2 2 2 2 3 2 2 5" xfId="2951"/>
    <cellStyle name="Standaard 10 2 2 2 2 2 2 3 2 2 6" xfId="2952"/>
    <cellStyle name="Standaard 10 2 2 2 2 2 2 3 2 3" xfId="2953"/>
    <cellStyle name="Standaard 10 2 2 2 2 2 2 3 2 3 2" xfId="2954"/>
    <cellStyle name="Standaard 10 2 2 2 2 2 2 3 2 3 2 2" xfId="2955"/>
    <cellStyle name="Standaard 10 2 2 2 2 2 2 3 2 3 2 2 2" xfId="2956"/>
    <cellStyle name="Standaard 10 2 2 2 2 2 2 3 2 3 2 3" xfId="2957"/>
    <cellStyle name="Standaard 10 2 2 2 2 2 2 3 2 3 3" xfId="2958"/>
    <cellStyle name="Standaard 10 2 2 2 2 2 2 3 2 3 3 2" xfId="2959"/>
    <cellStyle name="Standaard 10 2 2 2 2 2 2 3 2 3 4" xfId="2960"/>
    <cellStyle name="Standaard 10 2 2 2 2 2 2 3 2 4" xfId="2961"/>
    <cellStyle name="Standaard 10 2 2 2 2 2 2 3 2 4 2" xfId="2962"/>
    <cellStyle name="Standaard 10 2 2 2 2 2 2 3 2 4 2 2" xfId="2963"/>
    <cellStyle name="Standaard 10 2 2 2 2 2 2 3 2 4 3" xfId="2964"/>
    <cellStyle name="Standaard 10 2 2 2 2 2 2 3 2 5" xfId="2965"/>
    <cellStyle name="Standaard 10 2 2 2 2 2 2 3 2 5 2" xfId="2966"/>
    <cellStyle name="Standaard 10 2 2 2 2 2 2 3 2 6" xfId="2967"/>
    <cellStyle name="Standaard 10 2 2 2 2 2 2 3 2 7" xfId="2968"/>
    <cellStyle name="Standaard 10 2 2 2 2 2 2 3 3" xfId="2969"/>
    <cellStyle name="Standaard 10 2 2 2 2 2 2 3 3 2" xfId="2970"/>
    <cellStyle name="Standaard 10 2 2 2 2 2 2 3 3 2 2" xfId="2971"/>
    <cellStyle name="Standaard 10 2 2 2 2 2 2 3 3 2 2 2" xfId="2972"/>
    <cellStyle name="Standaard 10 2 2 2 2 2 2 3 3 2 2 2 2" xfId="2973"/>
    <cellStyle name="Standaard 10 2 2 2 2 2 2 3 3 2 2 3" xfId="2974"/>
    <cellStyle name="Standaard 10 2 2 2 2 2 2 3 3 2 3" xfId="2975"/>
    <cellStyle name="Standaard 10 2 2 2 2 2 2 3 3 2 3 2" xfId="2976"/>
    <cellStyle name="Standaard 10 2 2 2 2 2 2 3 3 2 4" xfId="2977"/>
    <cellStyle name="Standaard 10 2 2 2 2 2 2 3 3 3" xfId="2978"/>
    <cellStyle name="Standaard 10 2 2 2 2 2 2 3 3 3 2" xfId="2979"/>
    <cellStyle name="Standaard 10 2 2 2 2 2 2 3 3 3 2 2" xfId="2980"/>
    <cellStyle name="Standaard 10 2 2 2 2 2 2 3 3 3 3" xfId="2981"/>
    <cellStyle name="Standaard 10 2 2 2 2 2 2 3 3 4" xfId="2982"/>
    <cellStyle name="Standaard 10 2 2 2 2 2 2 3 3 4 2" xfId="2983"/>
    <cellStyle name="Standaard 10 2 2 2 2 2 2 3 3 5" xfId="2984"/>
    <cellStyle name="Standaard 10 2 2 2 2 2 2 3 3 6" xfId="2985"/>
    <cellStyle name="Standaard 10 2 2 2 2 2 2 3 4" xfId="2986"/>
    <cellStyle name="Standaard 10 2 2 2 2 2 2 3 4 2" xfId="2987"/>
    <cellStyle name="Standaard 10 2 2 2 2 2 2 3 4 2 2" xfId="2988"/>
    <cellStyle name="Standaard 10 2 2 2 2 2 2 3 4 2 2 2" xfId="2989"/>
    <cellStyle name="Standaard 10 2 2 2 2 2 2 3 4 2 3" xfId="2990"/>
    <cellStyle name="Standaard 10 2 2 2 2 2 2 3 4 3" xfId="2991"/>
    <cellStyle name="Standaard 10 2 2 2 2 2 2 3 4 3 2" xfId="2992"/>
    <cellStyle name="Standaard 10 2 2 2 2 2 2 3 4 4" xfId="2993"/>
    <cellStyle name="Standaard 10 2 2 2 2 2 2 3 5" xfId="2994"/>
    <cellStyle name="Standaard 10 2 2 2 2 2 2 3 5 2" xfId="2995"/>
    <cellStyle name="Standaard 10 2 2 2 2 2 2 3 5 2 2" xfId="2996"/>
    <cellStyle name="Standaard 10 2 2 2 2 2 2 3 5 3" xfId="2997"/>
    <cellStyle name="Standaard 10 2 2 2 2 2 2 3 6" xfId="2998"/>
    <cellStyle name="Standaard 10 2 2 2 2 2 2 3 6 2" xfId="2999"/>
    <cellStyle name="Standaard 10 2 2 2 2 2 2 3 7" xfId="3000"/>
    <cellStyle name="Standaard 10 2 2 2 2 2 2 3 8" xfId="3001"/>
    <cellStyle name="Standaard 10 2 2 2 2 2 2 4" xfId="3002"/>
    <cellStyle name="Standaard 10 2 2 2 2 2 2 4 2" xfId="3003"/>
    <cellStyle name="Standaard 10 2 2 2 2 2 2 4 2 2" xfId="3004"/>
    <cellStyle name="Standaard 10 2 2 2 2 2 2 4 2 2 2" xfId="3005"/>
    <cellStyle name="Standaard 10 2 2 2 2 2 2 4 2 2 2 2" xfId="3006"/>
    <cellStyle name="Standaard 10 2 2 2 2 2 2 4 2 2 2 2 2" xfId="3007"/>
    <cellStyle name="Standaard 10 2 2 2 2 2 2 4 2 2 2 2 2 2" xfId="3008"/>
    <cellStyle name="Standaard 10 2 2 2 2 2 2 4 2 2 2 2 3" xfId="3009"/>
    <cellStyle name="Standaard 10 2 2 2 2 2 2 4 2 2 2 3" xfId="3010"/>
    <cellStyle name="Standaard 10 2 2 2 2 2 2 4 2 2 2 3 2" xfId="3011"/>
    <cellStyle name="Standaard 10 2 2 2 2 2 2 4 2 2 2 4" xfId="3012"/>
    <cellStyle name="Standaard 10 2 2 2 2 2 2 4 2 2 3" xfId="3013"/>
    <cellStyle name="Standaard 10 2 2 2 2 2 2 4 2 2 3 2" xfId="3014"/>
    <cellStyle name="Standaard 10 2 2 2 2 2 2 4 2 2 3 2 2" xfId="3015"/>
    <cellStyle name="Standaard 10 2 2 2 2 2 2 4 2 2 3 3" xfId="3016"/>
    <cellStyle name="Standaard 10 2 2 2 2 2 2 4 2 2 4" xfId="3017"/>
    <cellStyle name="Standaard 10 2 2 2 2 2 2 4 2 2 4 2" xfId="3018"/>
    <cellStyle name="Standaard 10 2 2 2 2 2 2 4 2 2 5" xfId="3019"/>
    <cellStyle name="Standaard 10 2 2 2 2 2 2 4 2 2 6" xfId="3020"/>
    <cellStyle name="Standaard 10 2 2 2 2 2 2 4 2 3" xfId="3021"/>
    <cellStyle name="Standaard 10 2 2 2 2 2 2 4 2 3 2" xfId="3022"/>
    <cellStyle name="Standaard 10 2 2 2 2 2 2 4 2 3 2 2" xfId="3023"/>
    <cellStyle name="Standaard 10 2 2 2 2 2 2 4 2 3 2 2 2" xfId="3024"/>
    <cellStyle name="Standaard 10 2 2 2 2 2 2 4 2 3 2 3" xfId="3025"/>
    <cellStyle name="Standaard 10 2 2 2 2 2 2 4 2 3 3" xfId="3026"/>
    <cellStyle name="Standaard 10 2 2 2 2 2 2 4 2 3 3 2" xfId="3027"/>
    <cellStyle name="Standaard 10 2 2 2 2 2 2 4 2 3 4" xfId="3028"/>
    <cellStyle name="Standaard 10 2 2 2 2 2 2 4 2 4" xfId="3029"/>
    <cellStyle name="Standaard 10 2 2 2 2 2 2 4 2 4 2" xfId="3030"/>
    <cellStyle name="Standaard 10 2 2 2 2 2 2 4 2 4 2 2" xfId="3031"/>
    <cellStyle name="Standaard 10 2 2 2 2 2 2 4 2 4 3" xfId="3032"/>
    <cellStyle name="Standaard 10 2 2 2 2 2 2 4 2 5" xfId="3033"/>
    <cellStyle name="Standaard 10 2 2 2 2 2 2 4 2 5 2" xfId="3034"/>
    <cellStyle name="Standaard 10 2 2 2 2 2 2 4 2 6" xfId="3035"/>
    <cellStyle name="Standaard 10 2 2 2 2 2 2 4 2 7" xfId="3036"/>
    <cellStyle name="Standaard 10 2 2 2 2 2 2 4 3" xfId="3037"/>
    <cellStyle name="Standaard 10 2 2 2 2 2 2 4 3 2" xfId="3038"/>
    <cellStyle name="Standaard 10 2 2 2 2 2 2 4 3 2 2" xfId="3039"/>
    <cellStyle name="Standaard 10 2 2 2 2 2 2 4 3 2 2 2" xfId="3040"/>
    <cellStyle name="Standaard 10 2 2 2 2 2 2 4 3 2 2 2 2" xfId="3041"/>
    <cellStyle name="Standaard 10 2 2 2 2 2 2 4 3 2 2 3" xfId="3042"/>
    <cellStyle name="Standaard 10 2 2 2 2 2 2 4 3 2 3" xfId="3043"/>
    <cellStyle name="Standaard 10 2 2 2 2 2 2 4 3 2 3 2" xfId="3044"/>
    <cellStyle name="Standaard 10 2 2 2 2 2 2 4 3 2 4" xfId="3045"/>
    <cellStyle name="Standaard 10 2 2 2 2 2 2 4 3 3" xfId="3046"/>
    <cellStyle name="Standaard 10 2 2 2 2 2 2 4 3 3 2" xfId="3047"/>
    <cellStyle name="Standaard 10 2 2 2 2 2 2 4 3 3 2 2" xfId="3048"/>
    <cellStyle name="Standaard 10 2 2 2 2 2 2 4 3 3 3" xfId="3049"/>
    <cellStyle name="Standaard 10 2 2 2 2 2 2 4 3 4" xfId="3050"/>
    <cellStyle name="Standaard 10 2 2 2 2 2 2 4 3 4 2" xfId="3051"/>
    <cellStyle name="Standaard 10 2 2 2 2 2 2 4 3 5" xfId="3052"/>
    <cellStyle name="Standaard 10 2 2 2 2 2 2 4 3 6" xfId="3053"/>
    <cellStyle name="Standaard 10 2 2 2 2 2 2 4 4" xfId="3054"/>
    <cellStyle name="Standaard 10 2 2 2 2 2 2 4 4 2" xfId="3055"/>
    <cellStyle name="Standaard 10 2 2 2 2 2 2 4 4 2 2" xfId="3056"/>
    <cellStyle name="Standaard 10 2 2 2 2 2 2 4 4 2 2 2" xfId="3057"/>
    <cellStyle name="Standaard 10 2 2 2 2 2 2 4 4 2 3" xfId="3058"/>
    <cellStyle name="Standaard 10 2 2 2 2 2 2 4 4 3" xfId="3059"/>
    <cellStyle name="Standaard 10 2 2 2 2 2 2 4 4 3 2" xfId="3060"/>
    <cellStyle name="Standaard 10 2 2 2 2 2 2 4 4 4" xfId="3061"/>
    <cellStyle name="Standaard 10 2 2 2 2 2 2 4 5" xfId="3062"/>
    <cellStyle name="Standaard 10 2 2 2 2 2 2 4 5 2" xfId="3063"/>
    <cellStyle name="Standaard 10 2 2 2 2 2 2 4 5 2 2" xfId="3064"/>
    <cellStyle name="Standaard 10 2 2 2 2 2 2 4 5 3" xfId="3065"/>
    <cellStyle name="Standaard 10 2 2 2 2 2 2 4 6" xfId="3066"/>
    <cellStyle name="Standaard 10 2 2 2 2 2 2 4 6 2" xfId="3067"/>
    <cellStyle name="Standaard 10 2 2 2 2 2 2 4 7" xfId="3068"/>
    <cellStyle name="Standaard 10 2 2 2 2 2 2 4 8" xfId="3069"/>
    <cellStyle name="Standaard 10 2 2 2 2 2 2 5" xfId="3070"/>
    <cellStyle name="Standaard 10 2 2 2 2 2 2 5 2" xfId="3071"/>
    <cellStyle name="Standaard 10 2 2 2 2 2 2 5 2 2" xfId="3072"/>
    <cellStyle name="Standaard 10 2 2 2 2 2 2 5 2 2 2" xfId="3073"/>
    <cellStyle name="Standaard 10 2 2 2 2 2 2 5 2 2 2 2" xfId="3074"/>
    <cellStyle name="Standaard 10 2 2 2 2 2 2 5 2 2 2 2 2" xfId="3075"/>
    <cellStyle name="Standaard 10 2 2 2 2 2 2 5 2 2 2 3" xfId="3076"/>
    <cellStyle name="Standaard 10 2 2 2 2 2 2 5 2 2 3" xfId="3077"/>
    <cellStyle name="Standaard 10 2 2 2 2 2 2 5 2 2 3 2" xfId="3078"/>
    <cellStyle name="Standaard 10 2 2 2 2 2 2 5 2 2 4" xfId="3079"/>
    <cellStyle name="Standaard 10 2 2 2 2 2 2 5 2 3" xfId="3080"/>
    <cellStyle name="Standaard 10 2 2 2 2 2 2 5 2 3 2" xfId="3081"/>
    <cellStyle name="Standaard 10 2 2 2 2 2 2 5 2 3 2 2" xfId="3082"/>
    <cellStyle name="Standaard 10 2 2 2 2 2 2 5 2 3 3" xfId="3083"/>
    <cellStyle name="Standaard 10 2 2 2 2 2 2 5 2 4" xfId="3084"/>
    <cellStyle name="Standaard 10 2 2 2 2 2 2 5 2 4 2" xfId="3085"/>
    <cellStyle name="Standaard 10 2 2 2 2 2 2 5 2 5" xfId="3086"/>
    <cellStyle name="Standaard 10 2 2 2 2 2 2 5 2 6" xfId="3087"/>
    <cellStyle name="Standaard 10 2 2 2 2 2 2 5 3" xfId="3088"/>
    <cellStyle name="Standaard 10 2 2 2 2 2 2 5 3 2" xfId="3089"/>
    <cellStyle name="Standaard 10 2 2 2 2 2 2 5 3 2 2" xfId="3090"/>
    <cellStyle name="Standaard 10 2 2 2 2 2 2 5 3 2 2 2" xfId="3091"/>
    <cellStyle name="Standaard 10 2 2 2 2 2 2 5 3 2 3" xfId="3092"/>
    <cellStyle name="Standaard 10 2 2 2 2 2 2 5 3 3" xfId="3093"/>
    <cellStyle name="Standaard 10 2 2 2 2 2 2 5 3 3 2" xfId="3094"/>
    <cellStyle name="Standaard 10 2 2 2 2 2 2 5 3 4" xfId="3095"/>
    <cellStyle name="Standaard 10 2 2 2 2 2 2 5 4" xfId="3096"/>
    <cellStyle name="Standaard 10 2 2 2 2 2 2 5 4 2" xfId="3097"/>
    <cellStyle name="Standaard 10 2 2 2 2 2 2 5 4 2 2" xfId="3098"/>
    <cellStyle name="Standaard 10 2 2 2 2 2 2 5 4 3" xfId="3099"/>
    <cellStyle name="Standaard 10 2 2 2 2 2 2 5 5" xfId="3100"/>
    <cellStyle name="Standaard 10 2 2 2 2 2 2 5 5 2" xfId="3101"/>
    <cellStyle name="Standaard 10 2 2 2 2 2 2 5 6" xfId="3102"/>
    <cellStyle name="Standaard 10 2 2 2 2 2 2 5 7" xfId="3103"/>
    <cellStyle name="Standaard 10 2 2 2 2 2 2 6" xfId="3104"/>
    <cellStyle name="Standaard 10 2 2 2 2 2 2 6 2" xfId="3105"/>
    <cellStyle name="Standaard 10 2 2 2 2 2 2 6 2 2" xfId="3106"/>
    <cellStyle name="Standaard 10 2 2 2 2 2 2 6 2 2 2" xfId="3107"/>
    <cellStyle name="Standaard 10 2 2 2 2 2 2 6 2 2 2 2" xfId="3108"/>
    <cellStyle name="Standaard 10 2 2 2 2 2 2 6 2 2 3" xfId="3109"/>
    <cellStyle name="Standaard 10 2 2 2 2 2 2 6 2 3" xfId="3110"/>
    <cellStyle name="Standaard 10 2 2 2 2 2 2 6 2 3 2" xfId="3111"/>
    <cellStyle name="Standaard 10 2 2 2 2 2 2 6 2 4" xfId="3112"/>
    <cellStyle name="Standaard 10 2 2 2 2 2 2 6 3" xfId="3113"/>
    <cellStyle name="Standaard 10 2 2 2 2 2 2 6 3 2" xfId="3114"/>
    <cellStyle name="Standaard 10 2 2 2 2 2 2 6 3 2 2" xfId="3115"/>
    <cellStyle name="Standaard 10 2 2 2 2 2 2 6 3 3" xfId="3116"/>
    <cellStyle name="Standaard 10 2 2 2 2 2 2 6 4" xfId="3117"/>
    <cellStyle name="Standaard 10 2 2 2 2 2 2 6 4 2" xfId="3118"/>
    <cellStyle name="Standaard 10 2 2 2 2 2 2 6 5" xfId="3119"/>
    <cellStyle name="Standaard 10 2 2 2 2 2 2 6 6" xfId="3120"/>
    <cellStyle name="Standaard 10 2 2 2 2 2 2 7" xfId="3121"/>
    <cellStyle name="Standaard 10 2 2 2 2 2 2 7 2" xfId="3122"/>
    <cellStyle name="Standaard 10 2 2 2 2 2 2 7 2 2" xfId="3123"/>
    <cellStyle name="Standaard 10 2 2 2 2 2 2 7 2 2 2" xfId="3124"/>
    <cellStyle name="Standaard 10 2 2 2 2 2 2 7 2 3" xfId="3125"/>
    <cellStyle name="Standaard 10 2 2 2 2 2 2 7 3" xfId="3126"/>
    <cellStyle name="Standaard 10 2 2 2 2 2 2 7 3 2" xfId="3127"/>
    <cellStyle name="Standaard 10 2 2 2 2 2 2 7 4" xfId="3128"/>
    <cellStyle name="Standaard 10 2 2 2 2 2 2 8" xfId="3129"/>
    <cellStyle name="Standaard 10 2 2 2 2 2 2 8 2" xfId="3130"/>
    <cellStyle name="Standaard 10 2 2 2 2 2 2 8 2 2" xfId="3131"/>
    <cellStyle name="Standaard 10 2 2 2 2 2 2 8 3" xfId="3132"/>
    <cellStyle name="Standaard 10 2 2 2 2 2 2 9" xfId="3133"/>
    <cellStyle name="Standaard 10 2 2 2 2 2 2 9 2" xfId="3134"/>
    <cellStyle name="Standaard 10 2 2 2 2 2 3" xfId="3135"/>
    <cellStyle name="Standaard 10 2 2 2 2 2 3 2" xfId="3136"/>
    <cellStyle name="Standaard 10 2 2 2 2 2 3 2 2" xfId="3137"/>
    <cellStyle name="Standaard 10 2 2 2 2 2 3 2 2 2" xfId="3138"/>
    <cellStyle name="Standaard 10 2 2 2 2 2 3 2 2 2 2" xfId="3139"/>
    <cellStyle name="Standaard 10 2 2 2 2 2 3 2 2 2 2 2" xfId="3140"/>
    <cellStyle name="Standaard 10 2 2 2 2 2 3 2 2 2 2 2 2" xfId="3141"/>
    <cellStyle name="Standaard 10 2 2 2 2 2 3 2 2 2 2 2 2 2" xfId="3142"/>
    <cellStyle name="Standaard 10 2 2 2 2 2 3 2 2 2 2 2 3" xfId="3143"/>
    <cellStyle name="Standaard 10 2 2 2 2 2 3 2 2 2 2 3" xfId="3144"/>
    <cellStyle name="Standaard 10 2 2 2 2 2 3 2 2 2 2 3 2" xfId="3145"/>
    <cellStyle name="Standaard 10 2 2 2 2 2 3 2 2 2 2 4" xfId="3146"/>
    <cellStyle name="Standaard 10 2 2 2 2 2 3 2 2 2 3" xfId="3147"/>
    <cellStyle name="Standaard 10 2 2 2 2 2 3 2 2 2 3 2" xfId="3148"/>
    <cellStyle name="Standaard 10 2 2 2 2 2 3 2 2 2 3 2 2" xfId="3149"/>
    <cellStyle name="Standaard 10 2 2 2 2 2 3 2 2 2 3 3" xfId="3150"/>
    <cellStyle name="Standaard 10 2 2 2 2 2 3 2 2 2 4" xfId="3151"/>
    <cellStyle name="Standaard 10 2 2 2 2 2 3 2 2 2 4 2" xfId="3152"/>
    <cellStyle name="Standaard 10 2 2 2 2 2 3 2 2 2 5" xfId="3153"/>
    <cellStyle name="Standaard 10 2 2 2 2 2 3 2 2 2 6" xfId="3154"/>
    <cellStyle name="Standaard 10 2 2 2 2 2 3 2 2 3" xfId="3155"/>
    <cellStyle name="Standaard 10 2 2 2 2 2 3 2 2 3 2" xfId="3156"/>
    <cellStyle name="Standaard 10 2 2 2 2 2 3 2 2 3 2 2" xfId="3157"/>
    <cellStyle name="Standaard 10 2 2 2 2 2 3 2 2 3 2 2 2" xfId="3158"/>
    <cellStyle name="Standaard 10 2 2 2 2 2 3 2 2 3 2 3" xfId="3159"/>
    <cellStyle name="Standaard 10 2 2 2 2 2 3 2 2 3 3" xfId="3160"/>
    <cellStyle name="Standaard 10 2 2 2 2 2 3 2 2 3 3 2" xfId="3161"/>
    <cellStyle name="Standaard 10 2 2 2 2 2 3 2 2 3 4" xfId="3162"/>
    <cellStyle name="Standaard 10 2 2 2 2 2 3 2 2 4" xfId="3163"/>
    <cellStyle name="Standaard 10 2 2 2 2 2 3 2 2 4 2" xfId="3164"/>
    <cellStyle name="Standaard 10 2 2 2 2 2 3 2 2 4 2 2" xfId="3165"/>
    <cellStyle name="Standaard 10 2 2 2 2 2 3 2 2 4 3" xfId="3166"/>
    <cellStyle name="Standaard 10 2 2 2 2 2 3 2 2 5" xfId="3167"/>
    <cellStyle name="Standaard 10 2 2 2 2 2 3 2 2 5 2" xfId="3168"/>
    <cellStyle name="Standaard 10 2 2 2 2 2 3 2 2 6" xfId="3169"/>
    <cellStyle name="Standaard 10 2 2 2 2 2 3 2 2 7" xfId="3170"/>
    <cellStyle name="Standaard 10 2 2 2 2 2 3 2 3" xfId="3171"/>
    <cellStyle name="Standaard 10 2 2 2 2 2 3 2 3 2" xfId="3172"/>
    <cellStyle name="Standaard 10 2 2 2 2 2 3 2 3 2 2" xfId="3173"/>
    <cellStyle name="Standaard 10 2 2 2 2 2 3 2 3 2 2 2" xfId="3174"/>
    <cellStyle name="Standaard 10 2 2 2 2 2 3 2 3 2 2 2 2" xfId="3175"/>
    <cellStyle name="Standaard 10 2 2 2 2 2 3 2 3 2 2 3" xfId="3176"/>
    <cellStyle name="Standaard 10 2 2 2 2 2 3 2 3 2 3" xfId="3177"/>
    <cellStyle name="Standaard 10 2 2 2 2 2 3 2 3 2 3 2" xfId="3178"/>
    <cellStyle name="Standaard 10 2 2 2 2 2 3 2 3 2 4" xfId="3179"/>
    <cellStyle name="Standaard 10 2 2 2 2 2 3 2 3 3" xfId="3180"/>
    <cellStyle name="Standaard 10 2 2 2 2 2 3 2 3 3 2" xfId="3181"/>
    <cellStyle name="Standaard 10 2 2 2 2 2 3 2 3 3 2 2" xfId="3182"/>
    <cellStyle name="Standaard 10 2 2 2 2 2 3 2 3 3 3" xfId="3183"/>
    <cellStyle name="Standaard 10 2 2 2 2 2 3 2 3 4" xfId="3184"/>
    <cellStyle name="Standaard 10 2 2 2 2 2 3 2 3 4 2" xfId="3185"/>
    <cellStyle name="Standaard 10 2 2 2 2 2 3 2 3 5" xfId="3186"/>
    <cellStyle name="Standaard 10 2 2 2 2 2 3 2 3 6" xfId="3187"/>
    <cellStyle name="Standaard 10 2 2 2 2 2 3 2 4" xfId="3188"/>
    <cellStyle name="Standaard 10 2 2 2 2 2 3 2 4 2" xfId="3189"/>
    <cellStyle name="Standaard 10 2 2 2 2 2 3 2 4 2 2" xfId="3190"/>
    <cellStyle name="Standaard 10 2 2 2 2 2 3 2 4 2 2 2" xfId="3191"/>
    <cellStyle name="Standaard 10 2 2 2 2 2 3 2 4 2 3" xfId="3192"/>
    <cellStyle name="Standaard 10 2 2 2 2 2 3 2 4 3" xfId="3193"/>
    <cellStyle name="Standaard 10 2 2 2 2 2 3 2 4 3 2" xfId="3194"/>
    <cellStyle name="Standaard 10 2 2 2 2 2 3 2 4 4" xfId="3195"/>
    <cellStyle name="Standaard 10 2 2 2 2 2 3 2 5" xfId="3196"/>
    <cellStyle name="Standaard 10 2 2 2 2 2 3 2 5 2" xfId="3197"/>
    <cellStyle name="Standaard 10 2 2 2 2 2 3 2 5 2 2" xfId="3198"/>
    <cellStyle name="Standaard 10 2 2 2 2 2 3 2 5 3" xfId="3199"/>
    <cellStyle name="Standaard 10 2 2 2 2 2 3 2 6" xfId="3200"/>
    <cellStyle name="Standaard 10 2 2 2 2 2 3 2 6 2" xfId="3201"/>
    <cellStyle name="Standaard 10 2 2 2 2 2 3 2 7" xfId="3202"/>
    <cellStyle name="Standaard 10 2 2 2 2 2 3 2 8" xfId="3203"/>
    <cellStyle name="Standaard 10 2 2 2 2 2 3 3" xfId="3204"/>
    <cellStyle name="Standaard 10 2 2 2 2 2 3 3 2" xfId="3205"/>
    <cellStyle name="Standaard 10 2 2 2 2 2 3 3 2 2" xfId="3206"/>
    <cellStyle name="Standaard 10 2 2 2 2 2 3 3 2 2 2" xfId="3207"/>
    <cellStyle name="Standaard 10 2 2 2 2 2 3 3 2 2 2 2" xfId="3208"/>
    <cellStyle name="Standaard 10 2 2 2 2 2 3 3 2 2 2 2 2" xfId="3209"/>
    <cellStyle name="Standaard 10 2 2 2 2 2 3 3 2 2 2 3" xfId="3210"/>
    <cellStyle name="Standaard 10 2 2 2 2 2 3 3 2 2 3" xfId="3211"/>
    <cellStyle name="Standaard 10 2 2 2 2 2 3 3 2 2 3 2" xfId="3212"/>
    <cellStyle name="Standaard 10 2 2 2 2 2 3 3 2 2 4" xfId="3213"/>
    <cellStyle name="Standaard 10 2 2 2 2 2 3 3 2 3" xfId="3214"/>
    <cellStyle name="Standaard 10 2 2 2 2 2 3 3 2 3 2" xfId="3215"/>
    <cellStyle name="Standaard 10 2 2 2 2 2 3 3 2 3 2 2" xfId="3216"/>
    <cellStyle name="Standaard 10 2 2 2 2 2 3 3 2 3 3" xfId="3217"/>
    <cellStyle name="Standaard 10 2 2 2 2 2 3 3 2 4" xfId="3218"/>
    <cellStyle name="Standaard 10 2 2 2 2 2 3 3 2 4 2" xfId="3219"/>
    <cellStyle name="Standaard 10 2 2 2 2 2 3 3 2 5" xfId="3220"/>
    <cellStyle name="Standaard 10 2 2 2 2 2 3 3 2 6" xfId="3221"/>
    <cellStyle name="Standaard 10 2 2 2 2 2 3 3 3" xfId="3222"/>
    <cellStyle name="Standaard 10 2 2 2 2 2 3 3 3 2" xfId="3223"/>
    <cellStyle name="Standaard 10 2 2 2 2 2 3 3 3 2 2" xfId="3224"/>
    <cellStyle name="Standaard 10 2 2 2 2 2 3 3 3 2 2 2" xfId="3225"/>
    <cellStyle name="Standaard 10 2 2 2 2 2 3 3 3 2 3" xfId="3226"/>
    <cellStyle name="Standaard 10 2 2 2 2 2 3 3 3 3" xfId="3227"/>
    <cellStyle name="Standaard 10 2 2 2 2 2 3 3 3 3 2" xfId="3228"/>
    <cellStyle name="Standaard 10 2 2 2 2 2 3 3 3 4" xfId="3229"/>
    <cellStyle name="Standaard 10 2 2 2 2 2 3 3 4" xfId="3230"/>
    <cellStyle name="Standaard 10 2 2 2 2 2 3 3 4 2" xfId="3231"/>
    <cellStyle name="Standaard 10 2 2 2 2 2 3 3 4 2 2" xfId="3232"/>
    <cellStyle name="Standaard 10 2 2 2 2 2 3 3 4 3" xfId="3233"/>
    <cellStyle name="Standaard 10 2 2 2 2 2 3 3 5" xfId="3234"/>
    <cellStyle name="Standaard 10 2 2 2 2 2 3 3 5 2" xfId="3235"/>
    <cellStyle name="Standaard 10 2 2 2 2 2 3 3 6" xfId="3236"/>
    <cellStyle name="Standaard 10 2 2 2 2 2 3 3 7" xfId="3237"/>
    <cellStyle name="Standaard 10 2 2 2 2 2 3 4" xfId="3238"/>
    <cellStyle name="Standaard 10 2 2 2 2 2 3 4 2" xfId="3239"/>
    <cellStyle name="Standaard 10 2 2 2 2 2 3 4 2 2" xfId="3240"/>
    <cellStyle name="Standaard 10 2 2 2 2 2 3 4 2 2 2" xfId="3241"/>
    <cellStyle name="Standaard 10 2 2 2 2 2 3 4 2 2 2 2" xfId="3242"/>
    <cellStyle name="Standaard 10 2 2 2 2 2 3 4 2 2 3" xfId="3243"/>
    <cellStyle name="Standaard 10 2 2 2 2 2 3 4 2 3" xfId="3244"/>
    <cellStyle name="Standaard 10 2 2 2 2 2 3 4 2 3 2" xfId="3245"/>
    <cellStyle name="Standaard 10 2 2 2 2 2 3 4 2 4" xfId="3246"/>
    <cellStyle name="Standaard 10 2 2 2 2 2 3 4 3" xfId="3247"/>
    <cellStyle name="Standaard 10 2 2 2 2 2 3 4 3 2" xfId="3248"/>
    <cellStyle name="Standaard 10 2 2 2 2 2 3 4 3 2 2" xfId="3249"/>
    <cellStyle name="Standaard 10 2 2 2 2 2 3 4 3 3" xfId="3250"/>
    <cellStyle name="Standaard 10 2 2 2 2 2 3 4 4" xfId="3251"/>
    <cellStyle name="Standaard 10 2 2 2 2 2 3 4 4 2" xfId="3252"/>
    <cellStyle name="Standaard 10 2 2 2 2 2 3 4 5" xfId="3253"/>
    <cellStyle name="Standaard 10 2 2 2 2 2 3 4 6" xfId="3254"/>
    <cellStyle name="Standaard 10 2 2 2 2 2 3 5" xfId="3255"/>
    <cellStyle name="Standaard 10 2 2 2 2 2 3 5 2" xfId="3256"/>
    <cellStyle name="Standaard 10 2 2 2 2 2 3 5 2 2" xfId="3257"/>
    <cellStyle name="Standaard 10 2 2 2 2 2 3 5 2 2 2" xfId="3258"/>
    <cellStyle name="Standaard 10 2 2 2 2 2 3 5 2 3" xfId="3259"/>
    <cellStyle name="Standaard 10 2 2 2 2 2 3 5 3" xfId="3260"/>
    <cellStyle name="Standaard 10 2 2 2 2 2 3 5 3 2" xfId="3261"/>
    <cellStyle name="Standaard 10 2 2 2 2 2 3 5 4" xfId="3262"/>
    <cellStyle name="Standaard 10 2 2 2 2 2 3 6" xfId="3263"/>
    <cellStyle name="Standaard 10 2 2 2 2 2 3 6 2" xfId="3264"/>
    <cellStyle name="Standaard 10 2 2 2 2 2 3 6 2 2" xfId="3265"/>
    <cellStyle name="Standaard 10 2 2 2 2 2 3 6 3" xfId="3266"/>
    <cellStyle name="Standaard 10 2 2 2 2 2 3 7" xfId="3267"/>
    <cellStyle name="Standaard 10 2 2 2 2 2 3 7 2" xfId="3268"/>
    <cellStyle name="Standaard 10 2 2 2 2 2 3 8" xfId="3269"/>
    <cellStyle name="Standaard 10 2 2 2 2 2 3 9" xfId="3270"/>
    <cellStyle name="Standaard 10 2 2 2 2 2 4" xfId="3271"/>
    <cellStyle name="Standaard 10 2 2 2 2 2 4 2" xfId="3272"/>
    <cellStyle name="Standaard 10 2 2 2 2 2 4 2 2" xfId="3273"/>
    <cellStyle name="Standaard 10 2 2 2 2 2 4 2 2 2" xfId="3274"/>
    <cellStyle name="Standaard 10 2 2 2 2 2 4 2 2 2 2" xfId="3275"/>
    <cellStyle name="Standaard 10 2 2 2 2 2 4 2 2 2 2 2" xfId="3276"/>
    <cellStyle name="Standaard 10 2 2 2 2 2 4 2 2 2 2 2 2" xfId="3277"/>
    <cellStyle name="Standaard 10 2 2 2 2 2 4 2 2 2 2 3" xfId="3278"/>
    <cellStyle name="Standaard 10 2 2 2 2 2 4 2 2 2 3" xfId="3279"/>
    <cellStyle name="Standaard 10 2 2 2 2 2 4 2 2 2 3 2" xfId="3280"/>
    <cellStyle name="Standaard 10 2 2 2 2 2 4 2 2 2 4" xfId="3281"/>
    <cellStyle name="Standaard 10 2 2 2 2 2 4 2 2 3" xfId="3282"/>
    <cellStyle name="Standaard 10 2 2 2 2 2 4 2 2 3 2" xfId="3283"/>
    <cellStyle name="Standaard 10 2 2 2 2 2 4 2 2 3 2 2" xfId="3284"/>
    <cellStyle name="Standaard 10 2 2 2 2 2 4 2 2 3 3" xfId="3285"/>
    <cellStyle name="Standaard 10 2 2 2 2 2 4 2 2 4" xfId="3286"/>
    <cellStyle name="Standaard 10 2 2 2 2 2 4 2 2 4 2" xfId="3287"/>
    <cellStyle name="Standaard 10 2 2 2 2 2 4 2 2 5" xfId="3288"/>
    <cellStyle name="Standaard 10 2 2 2 2 2 4 2 2 6" xfId="3289"/>
    <cellStyle name="Standaard 10 2 2 2 2 2 4 2 3" xfId="3290"/>
    <cellStyle name="Standaard 10 2 2 2 2 2 4 2 3 2" xfId="3291"/>
    <cellStyle name="Standaard 10 2 2 2 2 2 4 2 3 2 2" xfId="3292"/>
    <cellStyle name="Standaard 10 2 2 2 2 2 4 2 3 2 2 2" xfId="3293"/>
    <cellStyle name="Standaard 10 2 2 2 2 2 4 2 3 2 3" xfId="3294"/>
    <cellStyle name="Standaard 10 2 2 2 2 2 4 2 3 3" xfId="3295"/>
    <cellStyle name="Standaard 10 2 2 2 2 2 4 2 3 3 2" xfId="3296"/>
    <cellStyle name="Standaard 10 2 2 2 2 2 4 2 3 4" xfId="3297"/>
    <cellStyle name="Standaard 10 2 2 2 2 2 4 2 4" xfId="3298"/>
    <cellStyle name="Standaard 10 2 2 2 2 2 4 2 4 2" xfId="3299"/>
    <cellStyle name="Standaard 10 2 2 2 2 2 4 2 4 2 2" xfId="3300"/>
    <cellStyle name="Standaard 10 2 2 2 2 2 4 2 4 3" xfId="3301"/>
    <cellStyle name="Standaard 10 2 2 2 2 2 4 2 5" xfId="3302"/>
    <cellStyle name="Standaard 10 2 2 2 2 2 4 2 5 2" xfId="3303"/>
    <cellStyle name="Standaard 10 2 2 2 2 2 4 2 6" xfId="3304"/>
    <cellStyle name="Standaard 10 2 2 2 2 2 4 2 7" xfId="3305"/>
    <cellStyle name="Standaard 10 2 2 2 2 2 4 3" xfId="3306"/>
    <cellStyle name="Standaard 10 2 2 2 2 2 4 3 2" xfId="3307"/>
    <cellStyle name="Standaard 10 2 2 2 2 2 4 3 2 2" xfId="3308"/>
    <cellStyle name="Standaard 10 2 2 2 2 2 4 3 2 2 2" xfId="3309"/>
    <cellStyle name="Standaard 10 2 2 2 2 2 4 3 2 2 2 2" xfId="3310"/>
    <cellStyle name="Standaard 10 2 2 2 2 2 4 3 2 2 3" xfId="3311"/>
    <cellStyle name="Standaard 10 2 2 2 2 2 4 3 2 3" xfId="3312"/>
    <cellStyle name="Standaard 10 2 2 2 2 2 4 3 2 3 2" xfId="3313"/>
    <cellStyle name="Standaard 10 2 2 2 2 2 4 3 2 4" xfId="3314"/>
    <cellStyle name="Standaard 10 2 2 2 2 2 4 3 3" xfId="3315"/>
    <cellStyle name="Standaard 10 2 2 2 2 2 4 3 3 2" xfId="3316"/>
    <cellStyle name="Standaard 10 2 2 2 2 2 4 3 3 2 2" xfId="3317"/>
    <cellStyle name="Standaard 10 2 2 2 2 2 4 3 3 3" xfId="3318"/>
    <cellStyle name="Standaard 10 2 2 2 2 2 4 3 4" xfId="3319"/>
    <cellStyle name="Standaard 10 2 2 2 2 2 4 3 4 2" xfId="3320"/>
    <cellStyle name="Standaard 10 2 2 2 2 2 4 3 5" xfId="3321"/>
    <cellStyle name="Standaard 10 2 2 2 2 2 4 3 6" xfId="3322"/>
    <cellStyle name="Standaard 10 2 2 2 2 2 4 4" xfId="3323"/>
    <cellStyle name="Standaard 10 2 2 2 2 2 4 4 2" xfId="3324"/>
    <cellStyle name="Standaard 10 2 2 2 2 2 4 4 2 2" xfId="3325"/>
    <cellStyle name="Standaard 10 2 2 2 2 2 4 4 2 2 2" xfId="3326"/>
    <cellStyle name="Standaard 10 2 2 2 2 2 4 4 2 3" xfId="3327"/>
    <cellStyle name="Standaard 10 2 2 2 2 2 4 4 3" xfId="3328"/>
    <cellStyle name="Standaard 10 2 2 2 2 2 4 4 3 2" xfId="3329"/>
    <cellStyle name="Standaard 10 2 2 2 2 2 4 4 4" xfId="3330"/>
    <cellStyle name="Standaard 10 2 2 2 2 2 4 5" xfId="3331"/>
    <cellStyle name="Standaard 10 2 2 2 2 2 4 5 2" xfId="3332"/>
    <cellStyle name="Standaard 10 2 2 2 2 2 4 5 2 2" xfId="3333"/>
    <cellStyle name="Standaard 10 2 2 2 2 2 4 5 3" xfId="3334"/>
    <cellStyle name="Standaard 10 2 2 2 2 2 4 6" xfId="3335"/>
    <cellStyle name="Standaard 10 2 2 2 2 2 4 6 2" xfId="3336"/>
    <cellStyle name="Standaard 10 2 2 2 2 2 4 7" xfId="3337"/>
    <cellStyle name="Standaard 10 2 2 2 2 2 4 8" xfId="3338"/>
    <cellStyle name="Standaard 10 2 2 2 2 2 5" xfId="3339"/>
    <cellStyle name="Standaard 10 2 2 2 2 2 5 2" xfId="3340"/>
    <cellStyle name="Standaard 10 2 2 2 2 2 5 2 2" xfId="3341"/>
    <cellStyle name="Standaard 10 2 2 2 2 2 5 2 2 2" xfId="3342"/>
    <cellStyle name="Standaard 10 2 2 2 2 2 5 2 2 2 2" xfId="3343"/>
    <cellStyle name="Standaard 10 2 2 2 2 2 5 2 2 2 2 2" xfId="3344"/>
    <cellStyle name="Standaard 10 2 2 2 2 2 5 2 2 2 2 2 2" xfId="3345"/>
    <cellStyle name="Standaard 10 2 2 2 2 2 5 2 2 2 2 3" xfId="3346"/>
    <cellStyle name="Standaard 10 2 2 2 2 2 5 2 2 2 3" xfId="3347"/>
    <cellStyle name="Standaard 10 2 2 2 2 2 5 2 2 2 3 2" xfId="3348"/>
    <cellStyle name="Standaard 10 2 2 2 2 2 5 2 2 2 4" xfId="3349"/>
    <cellStyle name="Standaard 10 2 2 2 2 2 5 2 2 3" xfId="3350"/>
    <cellStyle name="Standaard 10 2 2 2 2 2 5 2 2 3 2" xfId="3351"/>
    <cellStyle name="Standaard 10 2 2 2 2 2 5 2 2 3 2 2" xfId="3352"/>
    <cellStyle name="Standaard 10 2 2 2 2 2 5 2 2 3 3" xfId="3353"/>
    <cellStyle name="Standaard 10 2 2 2 2 2 5 2 2 4" xfId="3354"/>
    <cellStyle name="Standaard 10 2 2 2 2 2 5 2 2 4 2" xfId="3355"/>
    <cellStyle name="Standaard 10 2 2 2 2 2 5 2 2 5" xfId="3356"/>
    <cellStyle name="Standaard 10 2 2 2 2 2 5 2 2 6" xfId="3357"/>
    <cellStyle name="Standaard 10 2 2 2 2 2 5 2 3" xfId="3358"/>
    <cellStyle name="Standaard 10 2 2 2 2 2 5 2 3 2" xfId="3359"/>
    <cellStyle name="Standaard 10 2 2 2 2 2 5 2 3 2 2" xfId="3360"/>
    <cellStyle name="Standaard 10 2 2 2 2 2 5 2 3 2 2 2" xfId="3361"/>
    <cellStyle name="Standaard 10 2 2 2 2 2 5 2 3 2 3" xfId="3362"/>
    <cellStyle name="Standaard 10 2 2 2 2 2 5 2 3 3" xfId="3363"/>
    <cellStyle name="Standaard 10 2 2 2 2 2 5 2 3 3 2" xfId="3364"/>
    <cellStyle name="Standaard 10 2 2 2 2 2 5 2 3 4" xfId="3365"/>
    <cellStyle name="Standaard 10 2 2 2 2 2 5 2 4" xfId="3366"/>
    <cellStyle name="Standaard 10 2 2 2 2 2 5 2 4 2" xfId="3367"/>
    <cellStyle name="Standaard 10 2 2 2 2 2 5 2 4 2 2" xfId="3368"/>
    <cellStyle name="Standaard 10 2 2 2 2 2 5 2 4 3" xfId="3369"/>
    <cellStyle name="Standaard 10 2 2 2 2 2 5 2 5" xfId="3370"/>
    <cellStyle name="Standaard 10 2 2 2 2 2 5 2 5 2" xfId="3371"/>
    <cellStyle name="Standaard 10 2 2 2 2 2 5 2 6" xfId="3372"/>
    <cellStyle name="Standaard 10 2 2 2 2 2 5 2 7" xfId="3373"/>
    <cellStyle name="Standaard 10 2 2 2 2 2 5 3" xfId="3374"/>
    <cellStyle name="Standaard 10 2 2 2 2 2 5 3 2" xfId="3375"/>
    <cellStyle name="Standaard 10 2 2 2 2 2 5 3 2 2" xfId="3376"/>
    <cellStyle name="Standaard 10 2 2 2 2 2 5 3 2 2 2" xfId="3377"/>
    <cellStyle name="Standaard 10 2 2 2 2 2 5 3 2 2 2 2" xfId="3378"/>
    <cellStyle name="Standaard 10 2 2 2 2 2 5 3 2 2 3" xfId="3379"/>
    <cellStyle name="Standaard 10 2 2 2 2 2 5 3 2 3" xfId="3380"/>
    <cellStyle name="Standaard 10 2 2 2 2 2 5 3 2 3 2" xfId="3381"/>
    <cellStyle name="Standaard 10 2 2 2 2 2 5 3 2 4" xfId="3382"/>
    <cellStyle name="Standaard 10 2 2 2 2 2 5 3 3" xfId="3383"/>
    <cellStyle name="Standaard 10 2 2 2 2 2 5 3 3 2" xfId="3384"/>
    <cellStyle name="Standaard 10 2 2 2 2 2 5 3 3 2 2" xfId="3385"/>
    <cellStyle name="Standaard 10 2 2 2 2 2 5 3 3 3" xfId="3386"/>
    <cellStyle name="Standaard 10 2 2 2 2 2 5 3 4" xfId="3387"/>
    <cellStyle name="Standaard 10 2 2 2 2 2 5 3 4 2" xfId="3388"/>
    <cellStyle name="Standaard 10 2 2 2 2 2 5 3 5" xfId="3389"/>
    <cellStyle name="Standaard 10 2 2 2 2 2 5 3 6" xfId="3390"/>
    <cellStyle name="Standaard 10 2 2 2 2 2 5 4" xfId="3391"/>
    <cellStyle name="Standaard 10 2 2 2 2 2 5 4 2" xfId="3392"/>
    <cellStyle name="Standaard 10 2 2 2 2 2 5 4 2 2" xfId="3393"/>
    <cellStyle name="Standaard 10 2 2 2 2 2 5 4 2 2 2" xfId="3394"/>
    <cellStyle name="Standaard 10 2 2 2 2 2 5 4 2 3" xfId="3395"/>
    <cellStyle name="Standaard 10 2 2 2 2 2 5 4 3" xfId="3396"/>
    <cellStyle name="Standaard 10 2 2 2 2 2 5 4 3 2" xfId="3397"/>
    <cellStyle name="Standaard 10 2 2 2 2 2 5 4 4" xfId="3398"/>
    <cellStyle name="Standaard 10 2 2 2 2 2 5 5" xfId="3399"/>
    <cellStyle name="Standaard 10 2 2 2 2 2 5 5 2" xfId="3400"/>
    <cellStyle name="Standaard 10 2 2 2 2 2 5 5 2 2" xfId="3401"/>
    <cellStyle name="Standaard 10 2 2 2 2 2 5 5 3" xfId="3402"/>
    <cellStyle name="Standaard 10 2 2 2 2 2 5 6" xfId="3403"/>
    <cellStyle name="Standaard 10 2 2 2 2 2 5 6 2" xfId="3404"/>
    <cellStyle name="Standaard 10 2 2 2 2 2 5 7" xfId="3405"/>
    <cellStyle name="Standaard 10 2 2 2 2 2 5 8" xfId="3406"/>
    <cellStyle name="Standaard 10 2 2 2 2 2 6" xfId="3407"/>
    <cellStyle name="Standaard 10 2 2 2 2 2 6 2" xfId="3408"/>
    <cellStyle name="Standaard 10 2 2 2 2 2 6 2 2" xfId="3409"/>
    <cellStyle name="Standaard 10 2 2 2 2 2 6 2 2 2" xfId="3410"/>
    <cellStyle name="Standaard 10 2 2 2 2 2 6 2 2 2 2" xfId="3411"/>
    <cellStyle name="Standaard 10 2 2 2 2 2 6 2 2 2 2 2" xfId="3412"/>
    <cellStyle name="Standaard 10 2 2 2 2 2 6 2 2 2 3" xfId="3413"/>
    <cellStyle name="Standaard 10 2 2 2 2 2 6 2 2 3" xfId="3414"/>
    <cellStyle name="Standaard 10 2 2 2 2 2 6 2 2 3 2" xfId="3415"/>
    <cellStyle name="Standaard 10 2 2 2 2 2 6 2 2 4" xfId="3416"/>
    <cellStyle name="Standaard 10 2 2 2 2 2 6 2 3" xfId="3417"/>
    <cellStyle name="Standaard 10 2 2 2 2 2 6 2 3 2" xfId="3418"/>
    <cellStyle name="Standaard 10 2 2 2 2 2 6 2 3 2 2" xfId="3419"/>
    <cellStyle name="Standaard 10 2 2 2 2 2 6 2 3 3" xfId="3420"/>
    <cellStyle name="Standaard 10 2 2 2 2 2 6 2 4" xfId="3421"/>
    <cellStyle name="Standaard 10 2 2 2 2 2 6 2 4 2" xfId="3422"/>
    <cellStyle name="Standaard 10 2 2 2 2 2 6 2 5" xfId="3423"/>
    <cellStyle name="Standaard 10 2 2 2 2 2 6 2 6" xfId="3424"/>
    <cellStyle name="Standaard 10 2 2 2 2 2 6 3" xfId="3425"/>
    <cellStyle name="Standaard 10 2 2 2 2 2 6 3 2" xfId="3426"/>
    <cellStyle name="Standaard 10 2 2 2 2 2 6 3 2 2" xfId="3427"/>
    <cellStyle name="Standaard 10 2 2 2 2 2 6 3 2 2 2" xfId="3428"/>
    <cellStyle name="Standaard 10 2 2 2 2 2 6 3 2 3" xfId="3429"/>
    <cellStyle name="Standaard 10 2 2 2 2 2 6 3 3" xfId="3430"/>
    <cellStyle name="Standaard 10 2 2 2 2 2 6 3 3 2" xfId="3431"/>
    <cellStyle name="Standaard 10 2 2 2 2 2 6 3 4" xfId="3432"/>
    <cellStyle name="Standaard 10 2 2 2 2 2 6 4" xfId="3433"/>
    <cellStyle name="Standaard 10 2 2 2 2 2 6 4 2" xfId="3434"/>
    <cellStyle name="Standaard 10 2 2 2 2 2 6 4 2 2" xfId="3435"/>
    <cellStyle name="Standaard 10 2 2 2 2 2 6 4 3" xfId="3436"/>
    <cellStyle name="Standaard 10 2 2 2 2 2 6 5" xfId="3437"/>
    <cellStyle name="Standaard 10 2 2 2 2 2 6 5 2" xfId="3438"/>
    <cellStyle name="Standaard 10 2 2 2 2 2 6 6" xfId="3439"/>
    <cellStyle name="Standaard 10 2 2 2 2 2 6 7" xfId="3440"/>
    <cellStyle name="Standaard 10 2 2 2 2 2 7" xfId="3441"/>
    <cellStyle name="Standaard 10 2 2 2 2 2 7 2" xfId="3442"/>
    <cellStyle name="Standaard 10 2 2 2 2 2 7 2 2" xfId="3443"/>
    <cellStyle name="Standaard 10 2 2 2 2 2 7 2 2 2" xfId="3444"/>
    <cellStyle name="Standaard 10 2 2 2 2 2 7 2 2 2 2" xfId="3445"/>
    <cellStyle name="Standaard 10 2 2 2 2 2 7 2 2 3" xfId="3446"/>
    <cellStyle name="Standaard 10 2 2 2 2 2 7 2 3" xfId="3447"/>
    <cellStyle name="Standaard 10 2 2 2 2 2 7 2 3 2" xfId="3448"/>
    <cellStyle name="Standaard 10 2 2 2 2 2 7 2 4" xfId="3449"/>
    <cellStyle name="Standaard 10 2 2 2 2 2 7 3" xfId="3450"/>
    <cellStyle name="Standaard 10 2 2 2 2 2 7 3 2" xfId="3451"/>
    <cellStyle name="Standaard 10 2 2 2 2 2 7 3 2 2" xfId="3452"/>
    <cellStyle name="Standaard 10 2 2 2 2 2 7 3 3" xfId="3453"/>
    <cellStyle name="Standaard 10 2 2 2 2 2 7 4" xfId="3454"/>
    <cellStyle name="Standaard 10 2 2 2 2 2 7 4 2" xfId="3455"/>
    <cellStyle name="Standaard 10 2 2 2 2 2 7 5" xfId="3456"/>
    <cellStyle name="Standaard 10 2 2 2 2 2 7 6" xfId="3457"/>
    <cellStyle name="Standaard 10 2 2 2 2 2 8" xfId="3458"/>
    <cellStyle name="Standaard 10 2 2 2 2 2 8 2" xfId="3459"/>
    <cellStyle name="Standaard 10 2 2 2 2 2 8 2 2" xfId="3460"/>
    <cellStyle name="Standaard 10 2 2 2 2 2 8 2 2 2" xfId="3461"/>
    <cellStyle name="Standaard 10 2 2 2 2 2 8 2 3" xfId="3462"/>
    <cellStyle name="Standaard 10 2 2 2 2 2 8 3" xfId="3463"/>
    <cellStyle name="Standaard 10 2 2 2 2 2 8 3 2" xfId="3464"/>
    <cellStyle name="Standaard 10 2 2 2 2 2 8 4" xfId="3465"/>
    <cellStyle name="Standaard 10 2 2 2 2 2 9" xfId="3466"/>
    <cellStyle name="Standaard 10 2 2 2 2 2 9 2" xfId="3467"/>
    <cellStyle name="Standaard 10 2 2 2 2 2 9 2 2" xfId="3468"/>
    <cellStyle name="Standaard 10 2 2 2 2 2 9 3" xfId="3469"/>
    <cellStyle name="Standaard 10 2 2 2 2 3" xfId="3470"/>
    <cellStyle name="Standaard 10 2 2 2 2 3 10" xfId="3471"/>
    <cellStyle name="Standaard 10 2 2 2 2 3 11" xfId="3472"/>
    <cellStyle name="Standaard 10 2 2 2 2 3 2" xfId="3473"/>
    <cellStyle name="Standaard 10 2 2 2 2 3 2 2" xfId="3474"/>
    <cellStyle name="Standaard 10 2 2 2 2 3 2 2 2" xfId="3475"/>
    <cellStyle name="Standaard 10 2 2 2 2 3 2 2 2 2" xfId="3476"/>
    <cellStyle name="Standaard 10 2 2 2 2 3 2 2 2 2 2" xfId="3477"/>
    <cellStyle name="Standaard 10 2 2 2 2 3 2 2 2 2 2 2" xfId="3478"/>
    <cellStyle name="Standaard 10 2 2 2 2 3 2 2 2 2 2 2 2" xfId="3479"/>
    <cellStyle name="Standaard 10 2 2 2 2 3 2 2 2 2 2 2 2 2" xfId="3480"/>
    <cellStyle name="Standaard 10 2 2 2 2 3 2 2 2 2 2 2 3" xfId="3481"/>
    <cellStyle name="Standaard 10 2 2 2 2 3 2 2 2 2 2 3" xfId="3482"/>
    <cellStyle name="Standaard 10 2 2 2 2 3 2 2 2 2 2 3 2" xfId="3483"/>
    <cellStyle name="Standaard 10 2 2 2 2 3 2 2 2 2 2 4" xfId="3484"/>
    <cellStyle name="Standaard 10 2 2 2 2 3 2 2 2 2 3" xfId="3485"/>
    <cellStyle name="Standaard 10 2 2 2 2 3 2 2 2 2 3 2" xfId="3486"/>
    <cellStyle name="Standaard 10 2 2 2 2 3 2 2 2 2 3 2 2" xfId="3487"/>
    <cellStyle name="Standaard 10 2 2 2 2 3 2 2 2 2 3 3" xfId="3488"/>
    <cellStyle name="Standaard 10 2 2 2 2 3 2 2 2 2 4" xfId="3489"/>
    <cellStyle name="Standaard 10 2 2 2 2 3 2 2 2 2 4 2" xfId="3490"/>
    <cellStyle name="Standaard 10 2 2 2 2 3 2 2 2 2 5" xfId="3491"/>
    <cellStyle name="Standaard 10 2 2 2 2 3 2 2 2 2 6" xfId="3492"/>
    <cellStyle name="Standaard 10 2 2 2 2 3 2 2 2 3" xfId="3493"/>
    <cellStyle name="Standaard 10 2 2 2 2 3 2 2 2 3 2" xfId="3494"/>
    <cellStyle name="Standaard 10 2 2 2 2 3 2 2 2 3 2 2" xfId="3495"/>
    <cellStyle name="Standaard 10 2 2 2 2 3 2 2 2 3 2 2 2" xfId="3496"/>
    <cellStyle name="Standaard 10 2 2 2 2 3 2 2 2 3 2 3" xfId="3497"/>
    <cellStyle name="Standaard 10 2 2 2 2 3 2 2 2 3 3" xfId="3498"/>
    <cellStyle name="Standaard 10 2 2 2 2 3 2 2 2 3 3 2" xfId="3499"/>
    <cellStyle name="Standaard 10 2 2 2 2 3 2 2 2 3 4" xfId="3500"/>
    <cellStyle name="Standaard 10 2 2 2 2 3 2 2 2 4" xfId="3501"/>
    <cellStyle name="Standaard 10 2 2 2 2 3 2 2 2 4 2" xfId="3502"/>
    <cellStyle name="Standaard 10 2 2 2 2 3 2 2 2 4 2 2" xfId="3503"/>
    <cellStyle name="Standaard 10 2 2 2 2 3 2 2 2 4 3" xfId="3504"/>
    <cellStyle name="Standaard 10 2 2 2 2 3 2 2 2 5" xfId="3505"/>
    <cellStyle name="Standaard 10 2 2 2 2 3 2 2 2 5 2" xfId="3506"/>
    <cellStyle name="Standaard 10 2 2 2 2 3 2 2 2 6" xfId="3507"/>
    <cellStyle name="Standaard 10 2 2 2 2 3 2 2 2 7" xfId="3508"/>
    <cellStyle name="Standaard 10 2 2 2 2 3 2 2 3" xfId="3509"/>
    <cellStyle name="Standaard 10 2 2 2 2 3 2 2 3 2" xfId="3510"/>
    <cellStyle name="Standaard 10 2 2 2 2 3 2 2 3 2 2" xfId="3511"/>
    <cellStyle name="Standaard 10 2 2 2 2 3 2 2 3 2 2 2" xfId="3512"/>
    <cellStyle name="Standaard 10 2 2 2 2 3 2 2 3 2 2 2 2" xfId="3513"/>
    <cellStyle name="Standaard 10 2 2 2 2 3 2 2 3 2 2 3" xfId="3514"/>
    <cellStyle name="Standaard 10 2 2 2 2 3 2 2 3 2 3" xfId="3515"/>
    <cellStyle name="Standaard 10 2 2 2 2 3 2 2 3 2 3 2" xfId="3516"/>
    <cellStyle name="Standaard 10 2 2 2 2 3 2 2 3 2 4" xfId="3517"/>
    <cellStyle name="Standaard 10 2 2 2 2 3 2 2 3 3" xfId="3518"/>
    <cellStyle name="Standaard 10 2 2 2 2 3 2 2 3 3 2" xfId="3519"/>
    <cellStyle name="Standaard 10 2 2 2 2 3 2 2 3 3 2 2" xfId="3520"/>
    <cellStyle name="Standaard 10 2 2 2 2 3 2 2 3 3 3" xfId="3521"/>
    <cellStyle name="Standaard 10 2 2 2 2 3 2 2 3 4" xfId="3522"/>
    <cellStyle name="Standaard 10 2 2 2 2 3 2 2 3 4 2" xfId="3523"/>
    <cellStyle name="Standaard 10 2 2 2 2 3 2 2 3 5" xfId="3524"/>
    <cellStyle name="Standaard 10 2 2 2 2 3 2 2 3 6" xfId="3525"/>
    <cellStyle name="Standaard 10 2 2 2 2 3 2 2 4" xfId="3526"/>
    <cellStyle name="Standaard 10 2 2 2 2 3 2 2 4 2" xfId="3527"/>
    <cellStyle name="Standaard 10 2 2 2 2 3 2 2 4 2 2" xfId="3528"/>
    <cellStyle name="Standaard 10 2 2 2 2 3 2 2 4 2 2 2" xfId="3529"/>
    <cellStyle name="Standaard 10 2 2 2 2 3 2 2 4 2 3" xfId="3530"/>
    <cellStyle name="Standaard 10 2 2 2 2 3 2 2 4 3" xfId="3531"/>
    <cellStyle name="Standaard 10 2 2 2 2 3 2 2 4 3 2" xfId="3532"/>
    <cellStyle name="Standaard 10 2 2 2 2 3 2 2 4 4" xfId="3533"/>
    <cellStyle name="Standaard 10 2 2 2 2 3 2 2 5" xfId="3534"/>
    <cellStyle name="Standaard 10 2 2 2 2 3 2 2 5 2" xfId="3535"/>
    <cellStyle name="Standaard 10 2 2 2 2 3 2 2 5 2 2" xfId="3536"/>
    <cellStyle name="Standaard 10 2 2 2 2 3 2 2 5 3" xfId="3537"/>
    <cellStyle name="Standaard 10 2 2 2 2 3 2 2 6" xfId="3538"/>
    <cellStyle name="Standaard 10 2 2 2 2 3 2 2 6 2" xfId="3539"/>
    <cellStyle name="Standaard 10 2 2 2 2 3 2 2 7" xfId="3540"/>
    <cellStyle name="Standaard 10 2 2 2 2 3 2 2 8" xfId="3541"/>
    <cellStyle name="Standaard 10 2 2 2 2 3 2 3" xfId="3542"/>
    <cellStyle name="Standaard 10 2 2 2 2 3 2 3 2" xfId="3543"/>
    <cellStyle name="Standaard 10 2 2 2 2 3 2 3 2 2" xfId="3544"/>
    <cellStyle name="Standaard 10 2 2 2 2 3 2 3 2 2 2" xfId="3545"/>
    <cellStyle name="Standaard 10 2 2 2 2 3 2 3 2 2 2 2" xfId="3546"/>
    <cellStyle name="Standaard 10 2 2 2 2 3 2 3 2 2 2 2 2" xfId="3547"/>
    <cellStyle name="Standaard 10 2 2 2 2 3 2 3 2 2 2 3" xfId="3548"/>
    <cellStyle name="Standaard 10 2 2 2 2 3 2 3 2 2 3" xfId="3549"/>
    <cellStyle name="Standaard 10 2 2 2 2 3 2 3 2 2 3 2" xfId="3550"/>
    <cellStyle name="Standaard 10 2 2 2 2 3 2 3 2 2 4" xfId="3551"/>
    <cellStyle name="Standaard 10 2 2 2 2 3 2 3 2 3" xfId="3552"/>
    <cellStyle name="Standaard 10 2 2 2 2 3 2 3 2 3 2" xfId="3553"/>
    <cellStyle name="Standaard 10 2 2 2 2 3 2 3 2 3 2 2" xfId="3554"/>
    <cellStyle name="Standaard 10 2 2 2 2 3 2 3 2 3 3" xfId="3555"/>
    <cellStyle name="Standaard 10 2 2 2 2 3 2 3 2 4" xfId="3556"/>
    <cellStyle name="Standaard 10 2 2 2 2 3 2 3 2 4 2" xfId="3557"/>
    <cellStyle name="Standaard 10 2 2 2 2 3 2 3 2 5" xfId="3558"/>
    <cellStyle name="Standaard 10 2 2 2 2 3 2 3 2 6" xfId="3559"/>
    <cellStyle name="Standaard 10 2 2 2 2 3 2 3 3" xfId="3560"/>
    <cellStyle name="Standaard 10 2 2 2 2 3 2 3 3 2" xfId="3561"/>
    <cellStyle name="Standaard 10 2 2 2 2 3 2 3 3 2 2" xfId="3562"/>
    <cellStyle name="Standaard 10 2 2 2 2 3 2 3 3 2 2 2" xfId="3563"/>
    <cellStyle name="Standaard 10 2 2 2 2 3 2 3 3 2 3" xfId="3564"/>
    <cellStyle name="Standaard 10 2 2 2 2 3 2 3 3 3" xfId="3565"/>
    <cellStyle name="Standaard 10 2 2 2 2 3 2 3 3 3 2" xfId="3566"/>
    <cellStyle name="Standaard 10 2 2 2 2 3 2 3 3 4" xfId="3567"/>
    <cellStyle name="Standaard 10 2 2 2 2 3 2 3 4" xfId="3568"/>
    <cellStyle name="Standaard 10 2 2 2 2 3 2 3 4 2" xfId="3569"/>
    <cellStyle name="Standaard 10 2 2 2 2 3 2 3 4 2 2" xfId="3570"/>
    <cellStyle name="Standaard 10 2 2 2 2 3 2 3 4 3" xfId="3571"/>
    <cellStyle name="Standaard 10 2 2 2 2 3 2 3 5" xfId="3572"/>
    <cellStyle name="Standaard 10 2 2 2 2 3 2 3 5 2" xfId="3573"/>
    <cellStyle name="Standaard 10 2 2 2 2 3 2 3 6" xfId="3574"/>
    <cellStyle name="Standaard 10 2 2 2 2 3 2 3 7" xfId="3575"/>
    <cellStyle name="Standaard 10 2 2 2 2 3 2 4" xfId="3576"/>
    <cellStyle name="Standaard 10 2 2 2 2 3 2 4 2" xfId="3577"/>
    <cellStyle name="Standaard 10 2 2 2 2 3 2 4 2 2" xfId="3578"/>
    <cellStyle name="Standaard 10 2 2 2 2 3 2 4 2 2 2" xfId="3579"/>
    <cellStyle name="Standaard 10 2 2 2 2 3 2 4 2 2 2 2" xfId="3580"/>
    <cellStyle name="Standaard 10 2 2 2 2 3 2 4 2 2 3" xfId="3581"/>
    <cellStyle name="Standaard 10 2 2 2 2 3 2 4 2 3" xfId="3582"/>
    <cellStyle name="Standaard 10 2 2 2 2 3 2 4 2 3 2" xfId="3583"/>
    <cellStyle name="Standaard 10 2 2 2 2 3 2 4 2 4" xfId="3584"/>
    <cellStyle name="Standaard 10 2 2 2 2 3 2 4 3" xfId="3585"/>
    <cellStyle name="Standaard 10 2 2 2 2 3 2 4 3 2" xfId="3586"/>
    <cellStyle name="Standaard 10 2 2 2 2 3 2 4 3 2 2" xfId="3587"/>
    <cellStyle name="Standaard 10 2 2 2 2 3 2 4 3 3" xfId="3588"/>
    <cellStyle name="Standaard 10 2 2 2 2 3 2 4 4" xfId="3589"/>
    <cellStyle name="Standaard 10 2 2 2 2 3 2 4 4 2" xfId="3590"/>
    <cellStyle name="Standaard 10 2 2 2 2 3 2 4 5" xfId="3591"/>
    <cellStyle name="Standaard 10 2 2 2 2 3 2 4 6" xfId="3592"/>
    <cellStyle name="Standaard 10 2 2 2 2 3 2 5" xfId="3593"/>
    <cellStyle name="Standaard 10 2 2 2 2 3 2 5 2" xfId="3594"/>
    <cellStyle name="Standaard 10 2 2 2 2 3 2 5 2 2" xfId="3595"/>
    <cellStyle name="Standaard 10 2 2 2 2 3 2 5 2 2 2" xfId="3596"/>
    <cellStyle name="Standaard 10 2 2 2 2 3 2 5 2 3" xfId="3597"/>
    <cellStyle name="Standaard 10 2 2 2 2 3 2 5 3" xfId="3598"/>
    <cellStyle name="Standaard 10 2 2 2 2 3 2 5 3 2" xfId="3599"/>
    <cellStyle name="Standaard 10 2 2 2 2 3 2 5 4" xfId="3600"/>
    <cellStyle name="Standaard 10 2 2 2 2 3 2 6" xfId="3601"/>
    <cellStyle name="Standaard 10 2 2 2 2 3 2 6 2" xfId="3602"/>
    <cellStyle name="Standaard 10 2 2 2 2 3 2 6 2 2" xfId="3603"/>
    <cellStyle name="Standaard 10 2 2 2 2 3 2 6 3" xfId="3604"/>
    <cellStyle name="Standaard 10 2 2 2 2 3 2 7" xfId="3605"/>
    <cellStyle name="Standaard 10 2 2 2 2 3 2 7 2" xfId="3606"/>
    <cellStyle name="Standaard 10 2 2 2 2 3 2 8" xfId="3607"/>
    <cellStyle name="Standaard 10 2 2 2 2 3 2 9" xfId="3608"/>
    <cellStyle name="Standaard 10 2 2 2 2 3 3" xfId="3609"/>
    <cellStyle name="Standaard 10 2 2 2 2 3 3 2" xfId="3610"/>
    <cellStyle name="Standaard 10 2 2 2 2 3 3 2 2" xfId="3611"/>
    <cellStyle name="Standaard 10 2 2 2 2 3 3 2 2 2" xfId="3612"/>
    <cellStyle name="Standaard 10 2 2 2 2 3 3 2 2 2 2" xfId="3613"/>
    <cellStyle name="Standaard 10 2 2 2 2 3 3 2 2 2 2 2" xfId="3614"/>
    <cellStyle name="Standaard 10 2 2 2 2 3 3 2 2 2 2 2 2" xfId="3615"/>
    <cellStyle name="Standaard 10 2 2 2 2 3 3 2 2 2 2 3" xfId="3616"/>
    <cellStyle name="Standaard 10 2 2 2 2 3 3 2 2 2 3" xfId="3617"/>
    <cellStyle name="Standaard 10 2 2 2 2 3 3 2 2 2 3 2" xfId="3618"/>
    <cellStyle name="Standaard 10 2 2 2 2 3 3 2 2 2 4" xfId="3619"/>
    <cellStyle name="Standaard 10 2 2 2 2 3 3 2 2 3" xfId="3620"/>
    <cellStyle name="Standaard 10 2 2 2 2 3 3 2 2 3 2" xfId="3621"/>
    <cellStyle name="Standaard 10 2 2 2 2 3 3 2 2 3 2 2" xfId="3622"/>
    <cellStyle name="Standaard 10 2 2 2 2 3 3 2 2 3 3" xfId="3623"/>
    <cellStyle name="Standaard 10 2 2 2 2 3 3 2 2 4" xfId="3624"/>
    <cellStyle name="Standaard 10 2 2 2 2 3 3 2 2 4 2" xfId="3625"/>
    <cellStyle name="Standaard 10 2 2 2 2 3 3 2 2 5" xfId="3626"/>
    <cellStyle name="Standaard 10 2 2 2 2 3 3 2 2 6" xfId="3627"/>
    <cellStyle name="Standaard 10 2 2 2 2 3 3 2 3" xfId="3628"/>
    <cellStyle name="Standaard 10 2 2 2 2 3 3 2 3 2" xfId="3629"/>
    <cellStyle name="Standaard 10 2 2 2 2 3 3 2 3 2 2" xfId="3630"/>
    <cellStyle name="Standaard 10 2 2 2 2 3 3 2 3 2 2 2" xfId="3631"/>
    <cellStyle name="Standaard 10 2 2 2 2 3 3 2 3 2 3" xfId="3632"/>
    <cellStyle name="Standaard 10 2 2 2 2 3 3 2 3 3" xfId="3633"/>
    <cellStyle name="Standaard 10 2 2 2 2 3 3 2 3 3 2" xfId="3634"/>
    <cellStyle name="Standaard 10 2 2 2 2 3 3 2 3 4" xfId="3635"/>
    <cellStyle name="Standaard 10 2 2 2 2 3 3 2 4" xfId="3636"/>
    <cellStyle name="Standaard 10 2 2 2 2 3 3 2 4 2" xfId="3637"/>
    <cellStyle name="Standaard 10 2 2 2 2 3 3 2 4 2 2" xfId="3638"/>
    <cellStyle name="Standaard 10 2 2 2 2 3 3 2 4 3" xfId="3639"/>
    <cellStyle name="Standaard 10 2 2 2 2 3 3 2 5" xfId="3640"/>
    <cellStyle name="Standaard 10 2 2 2 2 3 3 2 5 2" xfId="3641"/>
    <cellStyle name="Standaard 10 2 2 2 2 3 3 2 6" xfId="3642"/>
    <cellStyle name="Standaard 10 2 2 2 2 3 3 2 7" xfId="3643"/>
    <cellStyle name="Standaard 10 2 2 2 2 3 3 3" xfId="3644"/>
    <cellStyle name="Standaard 10 2 2 2 2 3 3 3 2" xfId="3645"/>
    <cellStyle name="Standaard 10 2 2 2 2 3 3 3 2 2" xfId="3646"/>
    <cellStyle name="Standaard 10 2 2 2 2 3 3 3 2 2 2" xfId="3647"/>
    <cellStyle name="Standaard 10 2 2 2 2 3 3 3 2 2 2 2" xfId="3648"/>
    <cellStyle name="Standaard 10 2 2 2 2 3 3 3 2 2 3" xfId="3649"/>
    <cellStyle name="Standaard 10 2 2 2 2 3 3 3 2 3" xfId="3650"/>
    <cellStyle name="Standaard 10 2 2 2 2 3 3 3 2 3 2" xfId="3651"/>
    <cellStyle name="Standaard 10 2 2 2 2 3 3 3 2 4" xfId="3652"/>
    <cellStyle name="Standaard 10 2 2 2 2 3 3 3 3" xfId="3653"/>
    <cellStyle name="Standaard 10 2 2 2 2 3 3 3 3 2" xfId="3654"/>
    <cellStyle name="Standaard 10 2 2 2 2 3 3 3 3 2 2" xfId="3655"/>
    <cellStyle name="Standaard 10 2 2 2 2 3 3 3 3 3" xfId="3656"/>
    <cellStyle name="Standaard 10 2 2 2 2 3 3 3 4" xfId="3657"/>
    <cellStyle name="Standaard 10 2 2 2 2 3 3 3 4 2" xfId="3658"/>
    <cellStyle name="Standaard 10 2 2 2 2 3 3 3 5" xfId="3659"/>
    <cellStyle name="Standaard 10 2 2 2 2 3 3 3 6" xfId="3660"/>
    <cellStyle name="Standaard 10 2 2 2 2 3 3 4" xfId="3661"/>
    <cellStyle name="Standaard 10 2 2 2 2 3 3 4 2" xfId="3662"/>
    <cellStyle name="Standaard 10 2 2 2 2 3 3 4 2 2" xfId="3663"/>
    <cellStyle name="Standaard 10 2 2 2 2 3 3 4 2 2 2" xfId="3664"/>
    <cellStyle name="Standaard 10 2 2 2 2 3 3 4 2 3" xfId="3665"/>
    <cellStyle name="Standaard 10 2 2 2 2 3 3 4 3" xfId="3666"/>
    <cellStyle name="Standaard 10 2 2 2 2 3 3 4 3 2" xfId="3667"/>
    <cellStyle name="Standaard 10 2 2 2 2 3 3 4 4" xfId="3668"/>
    <cellStyle name="Standaard 10 2 2 2 2 3 3 5" xfId="3669"/>
    <cellStyle name="Standaard 10 2 2 2 2 3 3 5 2" xfId="3670"/>
    <cellStyle name="Standaard 10 2 2 2 2 3 3 5 2 2" xfId="3671"/>
    <cellStyle name="Standaard 10 2 2 2 2 3 3 5 3" xfId="3672"/>
    <cellStyle name="Standaard 10 2 2 2 2 3 3 6" xfId="3673"/>
    <cellStyle name="Standaard 10 2 2 2 2 3 3 6 2" xfId="3674"/>
    <cellStyle name="Standaard 10 2 2 2 2 3 3 7" xfId="3675"/>
    <cellStyle name="Standaard 10 2 2 2 2 3 3 8" xfId="3676"/>
    <cellStyle name="Standaard 10 2 2 2 2 3 4" xfId="3677"/>
    <cellStyle name="Standaard 10 2 2 2 2 3 4 2" xfId="3678"/>
    <cellStyle name="Standaard 10 2 2 2 2 3 4 2 2" xfId="3679"/>
    <cellStyle name="Standaard 10 2 2 2 2 3 4 2 2 2" xfId="3680"/>
    <cellStyle name="Standaard 10 2 2 2 2 3 4 2 2 2 2" xfId="3681"/>
    <cellStyle name="Standaard 10 2 2 2 2 3 4 2 2 2 2 2" xfId="3682"/>
    <cellStyle name="Standaard 10 2 2 2 2 3 4 2 2 2 2 2 2" xfId="3683"/>
    <cellStyle name="Standaard 10 2 2 2 2 3 4 2 2 2 2 3" xfId="3684"/>
    <cellStyle name="Standaard 10 2 2 2 2 3 4 2 2 2 3" xfId="3685"/>
    <cellStyle name="Standaard 10 2 2 2 2 3 4 2 2 2 3 2" xfId="3686"/>
    <cellStyle name="Standaard 10 2 2 2 2 3 4 2 2 2 4" xfId="3687"/>
    <cellStyle name="Standaard 10 2 2 2 2 3 4 2 2 3" xfId="3688"/>
    <cellStyle name="Standaard 10 2 2 2 2 3 4 2 2 3 2" xfId="3689"/>
    <cellStyle name="Standaard 10 2 2 2 2 3 4 2 2 3 2 2" xfId="3690"/>
    <cellStyle name="Standaard 10 2 2 2 2 3 4 2 2 3 3" xfId="3691"/>
    <cellStyle name="Standaard 10 2 2 2 2 3 4 2 2 4" xfId="3692"/>
    <cellStyle name="Standaard 10 2 2 2 2 3 4 2 2 4 2" xfId="3693"/>
    <cellStyle name="Standaard 10 2 2 2 2 3 4 2 2 5" xfId="3694"/>
    <cellStyle name="Standaard 10 2 2 2 2 3 4 2 2 6" xfId="3695"/>
    <cellStyle name="Standaard 10 2 2 2 2 3 4 2 3" xfId="3696"/>
    <cellStyle name="Standaard 10 2 2 2 2 3 4 2 3 2" xfId="3697"/>
    <cellStyle name="Standaard 10 2 2 2 2 3 4 2 3 2 2" xfId="3698"/>
    <cellStyle name="Standaard 10 2 2 2 2 3 4 2 3 2 2 2" xfId="3699"/>
    <cellStyle name="Standaard 10 2 2 2 2 3 4 2 3 2 3" xfId="3700"/>
    <cellStyle name="Standaard 10 2 2 2 2 3 4 2 3 3" xfId="3701"/>
    <cellStyle name="Standaard 10 2 2 2 2 3 4 2 3 3 2" xfId="3702"/>
    <cellStyle name="Standaard 10 2 2 2 2 3 4 2 3 4" xfId="3703"/>
    <cellStyle name="Standaard 10 2 2 2 2 3 4 2 4" xfId="3704"/>
    <cellStyle name="Standaard 10 2 2 2 2 3 4 2 4 2" xfId="3705"/>
    <cellStyle name="Standaard 10 2 2 2 2 3 4 2 4 2 2" xfId="3706"/>
    <cellStyle name="Standaard 10 2 2 2 2 3 4 2 4 3" xfId="3707"/>
    <cellStyle name="Standaard 10 2 2 2 2 3 4 2 5" xfId="3708"/>
    <cellStyle name="Standaard 10 2 2 2 2 3 4 2 5 2" xfId="3709"/>
    <cellStyle name="Standaard 10 2 2 2 2 3 4 2 6" xfId="3710"/>
    <cellStyle name="Standaard 10 2 2 2 2 3 4 2 7" xfId="3711"/>
    <cellStyle name="Standaard 10 2 2 2 2 3 4 3" xfId="3712"/>
    <cellStyle name="Standaard 10 2 2 2 2 3 4 3 2" xfId="3713"/>
    <cellStyle name="Standaard 10 2 2 2 2 3 4 3 2 2" xfId="3714"/>
    <cellStyle name="Standaard 10 2 2 2 2 3 4 3 2 2 2" xfId="3715"/>
    <cellStyle name="Standaard 10 2 2 2 2 3 4 3 2 2 2 2" xfId="3716"/>
    <cellStyle name="Standaard 10 2 2 2 2 3 4 3 2 2 3" xfId="3717"/>
    <cellStyle name="Standaard 10 2 2 2 2 3 4 3 2 3" xfId="3718"/>
    <cellStyle name="Standaard 10 2 2 2 2 3 4 3 2 3 2" xfId="3719"/>
    <cellStyle name="Standaard 10 2 2 2 2 3 4 3 2 4" xfId="3720"/>
    <cellStyle name="Standaard 10 2 2 2 2 3 4 3 3" xfId="3721"/>
    <cellStyle name="Standaard 10 2 2 2 2 3 4 3 3 2" xfId="3722"/>
    <cellStyle name="Standaard 10 2 2 2 2 3 4 3 3 2 2" xfId="3723"/>
    <cellStyle name="Standaard 10 2 2 2 2 3 4 3 3 3" xfId="3724"/>
    <cellStyle name="Standaard 10 2 2 2 2 3 4 3 4" xfId="3725"/>
    <cellStyle name="Standaard 10 2 2 2 2 3 4 3 4 2" xfId="3726"/>
    <cellStyle name="Standaard 10 2 2 2 2 3 4 3 5" xfId="3727"/>
    <cellStyle name="Standaard 10 2 2 2 2 3 4 3 6" xfId="3728"/>
    <cellStyle name="Standaard 10 2 2 2 2 3 4 4" xfId="3729"/>
    <cellStyle name="Standaard 10 2 2 2 2 3 4 4 2" xfId="3730"/>
    <cellStyle name="Standaard 10 2 2 2 2 3 4 4 2 2" xfId="3731"/>
    <cellStyle name="Standaard 10 2 2 2 2 3 4 4 2 2 2" xfId="3732"/>
    <cellStyle name="Standaard 10 2 2 2 2 3 4 4 2 3" xfId="3733"/>
    <cellStyle name="Standaard 10 2 2 2 2 3 4 4 3" xfId="3734"/>
    <cellStyle name="Standaard 10 2 2 2 2 3 4 4 3 2" xfId="3735"/>
    <cellStyle name="Standaard 10 2 2 2 2 3 4 4 4" xfId="3736"/>
    <cellStyle name="Standaard 10 2 2 2 2 3 4 5" xfId="3737"/>
    <cellStyle name="Standaard 10 2 2 2 2 3 4 5 2" xfId="3738"/>
    <cellStyle name="Standaard 10 2 2 2 2 3 4 5 2 2" xfId="3739"/>
    <cellStyle name="Standaard 10 2 2 2 2 3 4 5 3" xfId="3740"/>
    <cellStyle name="Standaard 10 2 2 2 2 3 4 6" xfId="3741"/>
    <cellStyle name="Standaard 10 2 2 2 2 3 4 6 2" xfId="3742"/>
    <cellStyle name="Standaard 10 2 2 2 2 3 4 7" xfId="3743"/>
    <cellStyle name="Standaard 10 2 2 2 2 3 4 8" xfId="3744"/>
    <cellStyle name="Standaard 10 2 2 2 2 3 5" xfId="3745"/>
    <cellStyle name="Standaard 10 2 2 2 2 3 5 2" xfId="3746"/>
    <cellStyle name="Standaard 10 2 2 2 2 3 5 2 2" xfId="3747"/>
    <cellStyle name="Standaard 10 2 2 2 2 3 5 2 2 2" xfId="3748"/>
    <cellStyle name="Standaard 10 2 2 2 2 3 5 2 2 2 2" xfId="3749"/>
    <cellStyle name="Standaard 10 2 2 2 2 3 5 2 2 2 2 2" xfId="3750"/>
    <cellStyle name="Standaard 10 2 2 2 2 3 5 2 2 2 3" xfId="3751"/>
    <cellStyle name="Standaard 10 2 2 2 2 3 5 2 2 3" xfId="3752"/>
    <cellStyle name="Standaard 10 2 2 2 2 3 5 2 2 3 2" xfId="3753"/>
    <cellStyle name="Standaard 10 2 2 2 2 3 5 2 2 4" xfId="3754"/>
    <cellStyle name="Standaard 10 2 2 2 2 3 5 2 3" xfId="3755"/>
    <cellStyle name="Standaard 10 2 2 2 2 3 5 2 3 2" xfId="3756"/>
    <cellStyle name="Standaard 10 2 2 2 2 3 5 2 3 2 2" xfId="3757"/>
    <cellStyle name="Standaard 10 2 2 2 2 3 5 2 3 3" xfId="3758"/>
    <cellStyle name="Standaard 10 2 2 2 2 3 5 2 4" xfId="3759"/>
    <cellStyle name="Standaard 10 2 2 2 2 3 5 2 4 2" xfId="3760"/>
    <cellStyle name="Standaard 10 2 2 2 2 3 5 2 5" xfId="3761"/>
    <cellStyle name="Standaard 10 2 2 2 2 3 5 2 6" xfId="3762"/>
    <cellStyle name="Standaard 10 2 2 2 2 3 5 3" xfId="3763"/>
    <cellStyle name="Standaard 10 2 2 2 2 3 5 3 2" xfId="3764"/>
    <cellStyle name="Standaard 10 2 2 2 2 3 5 3 2 2" xfId="3765"/>
    <cellStyle name="Standaard 10 2 2 2 2 3 5 3 2 2 2" xfId="3766"/>
    <cellStyle name="Standaard 10 2 2 2 2 3 5 3 2 3" xfId="3767"/>
    <cellStyle name="Standaard 10 2 2 2 2 3 5 3 3" xfId="3768"/>
    <cellStyle name="Standaard 10 2 2 2 2 3 5 3 3 2" xfId="3769"/>
    <cellStyle name="Standaard 10 2 2 2 2 3 5 3 4" xfId="3770"/>
    <cellStyle name="Standaard 10 2 2 2 2 3 5 4" xfId="3771"/>
    <cellStyle name="Standaard 10 2 2 2 2 3 5 4 2" xfId="3772"/>
    <cellStyle name="Standaard 10 2 2 2 2 3 5 4 2 2" xfId="3773"/>
    <cellStyle name="Standaard 10 2 2 2 2 3 5 4 3" xfId="3774"/>
    <cellStyle name="Standaard 10 2 2 2 2 3 5 5" xfId="3775"/>
    <cellStyle name="Standaard 10 2 2 2 2 3 5 5 2" xfId="3776"/>
    <cellStyle name="Standaard 10 2 2 2 2 3 5 6" xfId="3777"/>
    <cellStyle name="Standaard 10 2 2 2 2 3 5 7" xfId="3778"/>
    <cellStyle name="Standaard 10 2 2 2 2 3 6" xfId="3779"/>
    <cellStyle name="Standaard 10 2 2 2 2 3 6 2" xfId="3780"/>
    <cellStyle name="Standaard 10 2 2 2 2 3 6 2 2" xfId="3781"/>
    <cellStyle name="Standaard 10 2 2 2 2 3 6 2 2 2" xfId="3782"/>
    <cellStyle name="Standaard 10 2 2 2 2 3 6 2 2 2 2" xfId="3783"/>
    <cellStyle name="Standaard 10 2 2 2 2 3 6 2 2 3" xfId="3784"/>
    <cellStyle name="Standaard 10 2 2 2 2 3 6 2 3" xfId="3785"/>
    <cellStyle name="Standaard 10 2 2 2 2 3 6 2 3 2" xfId="3786"/>
    <cellStyle name="Standaard 10 2 2 2 2 3 6 2 4" xfId="3787"/>
    <cellStyle name="Standaard 10 2 2 2 2 3 6 3" xfId="3788"/>
    <cellStyle name="Standaard 10 2 2 2 2 3 6 3 2" xfId="3789"/>
    <cellStyle name="Standaard 10 2 2 2 2 3 6 3 2 2" xfId="3790"/>
    <cellStyle name="Standaard 10 2 2 2 2 3 6 3 3" xfId="3791"/>
    <cellStyle name="Standaard 10 2 2 2 2 3 6 4" xfId="3792"/>
    <cellStyle name="Standaard 10 2 2 2 2 3 6 4 2" xfId="3793"/>
    <cellStyle name="Standaard 10 2 2 2 2 3 6 5" xfId="3794"/>
    <cellStyle name="Standaard 10 2 2 2 2 3 6 6" xfId="3795"/>
    <cellStyle name="Standaard 10 2 2 2 2 3 7" xfId="3796"/>
    <cellStyle name="Standaard 10 2 2 2 2 3 7 2" xfId="3797"/>
    <cellStyle name="Standaard 10 2 2 2 2 3 7 2 2" xfId="3798"/>
    <cellStyle name="Standaard 10 2 2 2 2 3 7 2 2 2" xfId="3799"/>
    <cellStyle name="Standaard 10 2 2 2 2 3 7 2 3" xfId="3800"/>
    <cellStyle name="Standaard 10 2 2 2 2 3 7 3" xfId="3801"/>
    <cellStyle name="Standaard 10 2 2 2 2 3 7 3 2" xfId="3802"/>
    <cellStyle name="Standaard 10 2 2 2 2 3 7 4" xfId="3803"/>
    <cellStyle name="Standaard 10 2 2 2 2 3 8" xfId="3804"/>
    <cellStyle name="Standaard 10 2 2 2 2 3 8 2" xfId="3805"/>
    <cellStyle name="Standaard 10 2 2 2 2 3 8 2 2" xfId="3806"/>
    <cellStyle name="Standaard 10 2 2 2 2 3 8 3" xfId="3807"/>
    <cellStyle name="Standaard 10 2 2 2 2 3 9" xfId="3808"/>
    <cellStyle name="Standaard 10 2 2 2 2 3 9 2" xfId="3809"/>
    <cellStyle name="Standaard 10 2 2 2 2 4" xfId="3810"/>
    <cellStyle name="Standaard 10 2 2 2 2 4 2" xfId="3811"/>
    <cellStyle name="Standaard 10 2 2 2 2 4 2 2" xfId="3812"/>
    <cellStyle name="Standaard 10 2 2 2 2 4 2 2 2" xfId="3813"/>
    <cellStyle name="Standaard 10 2 2 2 2 4 2 2 2 2" xfId="3814"/>
    <cellStyle name="Standaard 10 2 2 2 2 4 2 2 2 2 2" xfId="3815"/>
    <cellStyle name="Standaard 10 2 2 2 2 4 2 2 2 2 2 2" xfId="3816"/>
    <cellStyle name="Standaard 10 2 2 2 2 4 2 2 2 2 2 2 2" xfId="3817"/>
    <cellStyle name="Standaard 10 2 2 2 2 4 2 2 2 2 2 3" xfId="3818"/>
    <cellStyle name="Standaard 10 2 2 2 2 4 2 2 2 2 3" xfId="3819"/>
    <cellStyle name="Standaard 10 2 2 2 2 4 2 2 2 2 3 2" xfId="3820"/>
    <cellStyle name="Standaard 10 2 2 2 2 4 2 2 2 2 4" xfId="3821"/>
    <cellStyle name="Standaard 10 2 2 2 2 4 2 2 2 3" xfId="3822"/>
    <cellStyle name="Standaard 10 2 2 2 2 4 2 2 2 3 2" xfId="3823"/>
    <cellStyle name="Standaard 10 2 2 2 2 4 2 2 2 3 2 2" xfId="3824"/>
    <cellStyle name="Standaard 10 2 2 2 2 4 2 2 2 3 3" xfId="3825"/>
    <cellStyle name="Standaard 10 2 2 2 2 4 2 2 2 4" xfId="3826"/>
    <cellStyle name="Standaard 10 2 2 2 2 4 2 2 2 4 2" xfId="3827"/>
    <cellStyle name="Standaard 10 2 2 2 2 4 2 2 2 5" xfId="3828"/>
    <cellStyle name="Standaard 10 2 2 2 2 4 2 2 2 6" xfId="3829"/>
    <cellStyle name="Standaard 10 2 2 2 2 4 2 2 3" xfId="3830"/>
    <cellStyle name="Standaard 10 2 2 2 2 4 2 2 3 2" xfId="3831"/>
    <cellStyle name="Standaard 10 2 2 2 2 4 2 2 3 2 2" xfId="3832"/>
    <cellStyle name="Standaard 10 2 2 2 2 4 2 2 3 2 2 2" xfId="3833"/>
    <cellStyle name="Standaard 10 2 2 2 2 4 2 2 3 2 3" xfId="3834"/>
    <cellStyle name="Standaard 10 2 2 2 2 4 2 2 3 3" xfId="3835"/>
    <cellStyle name="Standaard 10 2 2 2 2 4 2 2 3 3 2" xfId="3836"/>
    <cellStyle name="Standaard 10 2 2 2 2 4 2 2 3 4" xfId="3837"/>
    <cellStyle name="Standaard 10 2 2 2 2 4 2 2 4" xfId="3838"/>
    <cellStyle name="Standaard 10 2 2 2 2 4 2 2 4 2" xfId="3839"/>
    <cellStyle name="Standaard 10 2 2 2 2 4 2 2 4 2 2" xfId="3840"/>
    <cellStyle name="Standaard 10 2 2 2 2 4 2 2 4 3" xfId="3841"/>
    <cellStyle name="Standaard 10 2 2 2 2 4 2 2 5" xfId="3842"/>
    <cellStyle name="Standaard 10 2 2 2 2 4 2 2 5 2" xfId="3843"/>
    <cellStyle name="Standaard 10 2 2 2 2 4 2 2 6" xfId="3844"/>
    <cellStyle name="Standaard 10 2 2 2 2 4 2 2 7" xfId="3845"/>
    <cellStyle name="Standaard 10 2 2 2 2 4 2 3" xfId="3846"/>
    <cellStyle name="Standaard 10 2 2 2 2 4 2 3 2" xfId="3847"/>
    <cellStyle name="Standaard 10 2 2 2 2 4 2 3 2 2" xfId="3848"/>
    <cellStyle name="Standaard 10 2 2 2 2 4 2 3 2 2 2" xfId="3849"/>
    <cellStyle name="Standaard 10 2 2 2 2 4 2 3 2 2 2 2" xfId="3850"/>
    <cellStyle name="Standaard 10 2 2 2 2 4 2 3 2 2 3" xfId="3851"/>
    <cellStyle name="Standaard 10 2 2 2 2 4 2 3 2 3" xfId="3852"/>
    <cellStyle name="Standaard 10 2 2 2 2 4 2 3 2 3 2" xfId="3853"/>
    <cellStyle name="Standaard 10 2 2 2 2 4 2 3 2 4" xfId="3854"/>
    <cellStyle name="Standaard 10 2 2 2 2 4 2 3 3" xfId="3855"/>
    <cellStyle name="Standaard 10 2 2 2 2 4 2 3 3 2" xfId="3856"/>
    <cellStyle name="Standaard 10 2 2 2 2 4 2 3 3 2 2" xfId="3857"/>
    <cellStyle name="Standaard 10 2 2 2 2 4 2 3 3 3" xfId="3858"/>
    <cellStyle name="Standaard 10 2 2 2 2 4 2 3 4" xfId="3859"/>
    <cellStyle name="Standaard 10 2 2 2 2 4 2 3 4 2" xfId="3860"/>
    <cellStyle name="Standaard 10 2 2 2 2 4 2 3 5" xfId="3861"/>
    <cellStyle name="Standaard 10 2 2 2 2 4 2 3 6" xfId="3862"/>
    <cellStyle name="Standaard 10 2 2 2 2 4 2 4" xfId="3863"/>
    <cellStyle name="Standaard 10 2 2 2 2 4 2 4 2" xfId="3864"/>
    <cellStyle name="Standaard 10 2 2 2 2 4 2 4 2 2" xfId="3865"/>
    <cellStyle name="Standaard 10 2 2 2 2 4 2 4 2 2 2" xfId="3866"/>
    <cellStyle name="Standaard 10 2 2 2 2 4 2 4 2 3" xfId="3867"/>
    <cellStyle name="Standaard 10 2 2 2 2 4 2 4 3" xfId="3868"/>
    <cellStyle name="Standaard 10 2 2 2 2 4 2 4 3 2" xfId="3869"/>
    <cellStyle name="Standaard 10 2 2 2 2 4 2 4 4" xfId="3870"/>
    <cellStyle name="Standaard 10 2 2 2 2 4 2 5" xfId="3871"/>
    <cellStyle name="Standaard 10 2 2 2 2 4 2 5 2" xfId="3872"/>
    <cellStyle name="Standaard 10 2 2 2 2 4 2 5 2 2" xfId="3873"/>
    <cellStyle name="Standaard 10 2 2 2 2 4 2 5 3" xfId="3874"/>
    <cellStyle name="Standaard 10 2 2 2 2 4 2 6" xfId="3875"/>
    <cellStyle name="Standaard 10 2 2 2 2 4 2 6 2" xfId="3876"/>
    <cellStyle name="Standaard 10 2 2 2 2 4 2 7" xfId="3877"/>
    <cellStyle name="Standaard 10 2 2 2 2 4 2 8" xfId="3878"/>
    <cellStyle name="Standaard 10 2 2 2 2 4 3" xfId="3879"/>
    <cellStyle name="Standaard 10 2 2 2 2 4 3 2" xfId="3880"/>
    <cellStyle name="Standaard 10 2 2 2 2 4 3 2 2" xfId="3881"/>
    <cellStyle name="Standaard 10 2 2 2 2 4 3 2 2 2" xfId="3882"/>
    <cellStyle name="Standaard 10 2 2 2 2 4 3 2 2 2 2" xfId="3883"/>
    <cellStyle name="Standaard 10 2 2 2 2 4 3 2 2 2 2 2" xfId="3884"/>
    <cellStyle name="Standaard 10 2 2 2 2 4 3 2 2 2 3" xfId="3885"/>
    <cellStyle name="Standaard 10 2 2 2 2 4 3 2 2 3" xfId="3886"/>
    <cellStyle name="Standaard 10 2 2 2 2 4 3 2 2 3 2" xfId="3887"/>
    <cellStyle name="Standaard 10 2 2 2 2 4 3 2 2 4" xfId="3888"/>
    <cellStyle name="Standaard 10 2 2 2 2 4 3 2 3" xfId="3889"/>
    <cellStyle name="Standaard 10 2 2 2 2 4 3 2 3 2" xfId="3890"/>
    <cellStyle name="Standaard 10 2 2 2 2 4 3 2 3 2 2" xfId="3891"/>
    <cellStyle name="Standaard 10 2 2 2 2 4 3 2 3 3" xfId="3892"/>
    <cellStyle name="Standaard 10 2 2 2 2 4 3 2 4" xfId="3893"/>
    <cellStyle name="Standaard 10 2 2 2 2 4 3 2 4 2" xfId="3894"/>
    <cellStyle name="Standaard 10 2 2 2 2 4 3 2 5" xfId="3895"/>
    <cellStyle name="Standaard 10 2 2 2 2 4 3 2 6" xfId="3896"/>
    <cellStyle name="Standaard 10 2 2 2 2 4 3 3" xfId="3897"/>
    <cellStyle name="Standaard 10 2 2 2 2 4 3 3 2" xfId="3898"/>
    <cellStyle name="Standaard 10 2 2 2 2 4 3 3 2 2" xfId="3899"/>
    <cellStyle name="Standaard 10 2 2 2 2 4 3 3 2 2 2" xfId="3900"/>
    <cellStyle name="Standaard 10 2 2 2 2 4 3 3 2 3" xfId="3901"/>
    <cellStyle name="Standaard 10 2 2 2 2 4 3 3 3" xfId="3902"/>
    <cellStyle name="Standaard 10 2 2 2 2 4 3 3 3 2" xfId="3903"/>
    <cellStyle name="Standaard 10 2 2 2 2 4 3 3 4" xfId="3904"/>
    <cellStyle name="Standaard 10 2 2 2 2 4 3 4" xfId="3905"/>
    <cellStyle name="Standaard 10 2 2 2 2 4 3 4 2" xfId="3906"/>
    <cellStyle name="Standaard 10 2 2 2 2 4 3 4 2 2" xfId="3907"/>
    <cellStyle name="Standaard 10 2 2 2 2 4 3 4 3" xfId="3908"/>
    <cellStyle name="Standaard 10 2 2 2 2 4 3 5" xfId="3909"/>
    <cellStyle name="Standaard 10 2 2 2 2 4 3 5 2" xfId="3910"/>
    <cellStyle name="Standaard 10 2 2 2 2 4 3 6" xfId="3911"/>
    <cellStyle name="Standaard 10 2 2 2 2 4 3 7" xfId="3912"/>
    <cellStyle name="Standaard 10 2 2 2 2 4 4" xfId="3913"/>
    <cellStyle name="Standaard 10 2 2 2 2 4 4 2" xfId="3914"/>
    <cellStyle name="Standaard 10 2 2 2 2 4 4 2 2" xfId="3915"/>
    <cellStyle name="Standaard 10 2 2 2 2 4 4 2 2 2" xfId="3916"/>
    <cellStyle name="Standaard 10 2 2 2 2 4 4 2 2 2 2" xfId="3917"/>
    <cellStyle name="Standaard 10 2 2 2 2 4 4 2 2 3" xfId="3918"/>
    <cellStyle name="Standaard 10 2 2 2 2 4 4 2 3" xfId="3919"/>
    <cellStyle name="Standaard 10 2 2 2 2 4 4 2 3 2" xfId="3920"/>
    <cellStyle name="Standaard 10 2 2 2 2 4 4 2 4" xfId="3921"/>
    <cellStyle name="Standaard 10 2 2 2 2 4 4 3" xfId="3922"/>
    <cellStyle name="Standaard 10 2 2 2 2 4 4 3 2" xfId="3923"/>
    <cellStyle name="Standaard 10 2 2 2 2 4 4 3 2 2" xfId="3924"/>
    <cellStyle name="Standaard 10 2 2 2 2 4 4 3 3" xfId="3925"/>
    <cellStyle name="Standaard 10 2 2 2 2 4 4 4" xfId="3926"/>
    <cellStyle name="Standaard 10 2 2 2 2 4 4 4 2" xfId="3927"/>
    <cellStyle name="Standaard 10 2 2 2 2 4 4 5" xfId="3928"/>
    <cellStyle name="Standaard 10 2 2 2 2 4 4 6" xfId="3929"/>
    <cellStyle name="Standaard 10 2 2 2 2 4 5" xfId="3930"/>
    <cellStyle name="Standaard 10 2 2 2 2 4 5 2" xfId="3931"/>
    <cellStyle name="Standaard 10 2 2 2 2 4 5 2 2" xfId="3932"/>
    <cellStyle name="Standaard 10 2 2 2 2 4 5 2 2 2" xfId="3933"/>
    <cellStyle name="Standaard 10 2 2 2 2 4 5 2 3" xfId="3934"/>
    <cellStyle name="Standaard 10 2 2 2 2 4 5 3" xfId="3935"/>
    <cellStyle name="Standaard 10 2 2 2 2 4 5 3 2" xfId="3936"/>
    <cellStyle name="Standaard 10 2 2 2 2 4 5 4" xfId="3937"/>
    <cellStyle name="Standaard 10 2 2 2 2 4 6" xfId="3938"/>
    <cellStyle name="Standaard 10 2 2 2 2 4 6 2" xfId="3939"/>
    <cellStyle name="Standaard 10 2 2 2 2 4 6 2 2" xfId="3940"/>
    <cellStyle name="Standaard 10 2 2 2 2 4 6 3" xfId="3941"/>
    <cellStyle name="Standaard 10 2 2 2 2 4 7" xfId="3942"/>
    <cellStyle name="Standaard 10 2 2 2 2 4 7 2" xfId="3943"/>
    <cellStyle name="Standaard 10 2 2 2 2 4 8" xfId="3944"/>
    <cellStyle name="Standaard 10 2 2 2 2 4 9" xfId="3945"/>
    <cellStyle name="Standaard 10 2 2 2 2 5" xfId="3946"/>
    <cellStyle name="Standaard 10 2 2 2 2 5 2" xfId="3947"/>
    <cellStyle name="Standaard 10 2 2 2 2 5 2 2" xfId="3948"/>
    <cellStyle name="Standaard 10 2 2 2 2 5 2 2 2" xfId="3949"/>
    <cellStyle name="Standaard 10 2 2 2 2 5 2 2 2 2" xfId="3950"/>
    <cellStyle name="Standaard 10 2 2 2 2 5 2 2 2 2 2" xfId="3951"/>
    <cellStyle name="Standaard 10 2 2 2 2 5 2 2 2 2 2 2" xfId="3952"/>
    <cellStyle name="Standaard 10 2 2 2 2 5 2 2 2 2 3" xfId="3953"/>
    <cellStyle name="Standaard 10 2 2 2 2 5 2 2 2 3" xfId="3954"/>
    <cellStyle name="Standaard 10 2 2 2 2 5 2 2 2 3 2" xfId="3955"/>
    <cellStyle name="Standaard 10 2 2 2 2 5 2 2 2 4" xfId="3956"/>
    <cellStyle name="Standaard 10 2 2 2 2 5 2 2 3" xfId="3957"/>
    <cellStyle name="Standaard 10 2 2 2 2 5 2 2 3 2" xfId="3958"/>
    <cellStyle name="Standaard 10 2 2 2 2 5 2 2 3 2 2" xfId="3959"/>
    <cellStyle name="Standaard 10 2 2 2 2 5 2 2 3 3" xfId="3960"/>
    <cellStyle name="Standaard 10 2 2 2 2 5 2 2 4" xfId="3961"/>
    <cellStyle name="Standaard 10 2 2 2 2 5 2 2 4 2" xfId="3962"/>
    <cellStyle name="Standaard 10 2 2 2 2 5 2 2 5" xfId="3963"/>
    <cellStyle name="Standaard 10 2 2 2 2 5 2 2 6" xfId="3964"/>
    <cellStyle name="Standaard 10 2 2 2 2 5 2 3" xfId="3965"/>
    <cellStyle name="Standaard 10 2 2 2 2 5 2 3 2" xfId="3966"/>
    <cellStyle name="Standaard 10 2 2 2 2 5 2 3 2 2" xfId="3967"/>
    <cellStyle name="Standaard 10 2 2 2 2 5 2 3 2 2 2" xfId="3968"/>
    <cellStyle name="Standaard 10 2 2 2 2 5 2 3 2 3" xfId="3969"/>
    <cellStyle name="Standaard 10 2 2 2 2 5 2 3 3" xfId="3970"/>
    <cellStyle name="Standaard 10 2 2 2 2 5 2 3 3 2" xfId="3971"/>
    <cellStyle name="Standaard 10 2 2 2 2 5 2 3 4" xfId="3972"/>
    <cellStyle name="Standaard 10 2 2 2 2 5 2 4" xfId="3973"/>
    <cellStyle name="Standaard 10 2 2 2 2 5 2 4 2" xfId="3974"/>
    <cellStyle name="Standaard 10 2 2 2 2 5 2 4 2 2" xfId="3975"/>
    <cellStyle name="Standaard 10 2 2 2 2 5 2 4 3" xfId="3976"/>
    <cellStyle name="Standaard 10 2 2 2 2 5 2 5" xfId="3977"/>
    <cellStyle name="Standaard 10 2 2 2 2 5 2 5 2" xfId="3978"/>
    <cellStyle name="Standaard 10 2 2 2 2 5 2 6" xfId="3979"/>
    <cellStyle name="Standaard 10 2 2 2 2 5 2 7" xfId="3980"/>
    <cellStyle name="Standaard 10 2 2 2 2 5 3" xfId="3981"/>
    <cellStyle name="Standaard 10 2 2 2 2 5 3 2" xfId="3982"/>
    <cellStyle name="Standaard 10 2 2 2 2 5 3 2 2" xfId="3983"/>
    <cellStyle name="Standaard 10 2 2 2 2 5 3 2 2 2" xfId="3984"/>
    <cellStyle name="Standaard 10 2 2 2 2 5 3 2 2 2 2" xfId="3985"/>
    <cellStyle name="Standaard 10 2 2 2 2 5 3 2 2 3" xfId="3986"/>
    <cellStyle name="Standaard 10 2 2 2 2 5 3 2 3" xfId="3987"/>
    <cellStyle name="Standaard 10 2 2 2 2 5 3 2 3 2" xfId="3988"/>
    <cellStyle name="Standaard 10 2 2 2 2 5 3 2 4" xfId="3989"/>
    <cellStyle name="Standaard 10 2 2 2 2 5 3 3" xfId="3990"/>
    <cellStyle name="Standaard 10 2 2 2 2 5 3 3 2" xfId="3991"/>
    <cellStyle name="Standaard 10 2 2 2 2 5 3 3 2 2" xfId="3992"/>
    <cellStyle name="Standaard 10 2 2 2 2 5 3 3 3" xfId="3993"/>
    <cellStyle name="Standaard 10 2 2 2 2 5 3 4" xfId="3994"/>
    <cellStyle name="Standaard 10 2 2 2 2 5 3 4 2" xfId="3995"/>
    <cellStyle name="Standaard 10 2 2 2 2 5 3 5" xfId="3996"/>
    <cellStyle name="Standaard 10 2 2 2 2 5 3 6" xfId="3997"/>
    <cellStyle name="Standaard 10 2 2 2 2 5 4" xfId="3998"/>
    <cellStyle name="Standaard 10 2 2 2 2 5 4 2" xfId="3999"/>
    <cellStyle name="Standaard 10 2 2 2 2 5 4 2 2" xfId="4000"/>
    <cellStyle name="Standaard 10 2 2 2 2 5 4 2 2 2" xfId="4001"/>
    <cellStyle name="Standaard 10 2 2 2 2 5 4 2 3" xfId="4002"/>
    <cellStyle name="Standaard 10 2 2 2 2 5 4 3" xfId="4003"/>
    <cellStyle name="Standaard 10 2 2 2 2 5 4 3 2" xfId="4004"/>
    <cellStyle name="Standaard 10 2 2 2 2 5 4 4" xfId="4005"/>
    <cellStyle name="Standaard 10 2 2 2 2 5 5" xfId="4006"/>
    <cellStyle name="Standaard 10 2 2 2 2 5 5 2" xfId="4007"/>
    <cellStyle name="Standaard 10 2 2 2 2 5 5 2 2" xfId="4008"/>
    <cellStyle name="Standaard 10 2 2 2 2 5 5 3" xfId="4009"/>
    <cellStyle name="Standaard 10 2 2 2 2 5 6" xfId="4010"/>
    <cellStyle name="Standaard 10 2 2 2 2 5 6 2" xfId="4011"/>
    <cellStyle name="Standaard 10 2 2 2 2 5 7" xfId="4012"/>
    <cellStyle name="Standaard 10 2 2 2 2 5 8" xfId="4013"/>
    <cellStyle name="Standaard 10 2 2 2 2 6" xfId="4014"/>
    <cellStyle name="Standaard 10 2 2 2 2 6 2" xfId="4015"/>
    <cellStyle name="Standaard 10 2 2 2 2 6 2 2" xfId="4016"/>
    <cellStyle name="Standaard 10 2 2 2 2 6 2 2 2" xfId="4017"/>
    <cellStyle name="Standaard 10 2 2 2 2 6 2 2 2 2" xfId="4018"/>
    <cellStyle name="Standaard 10 2 2 2 2 6 2 2 2 2 2" xfId="4019"/>
    <cellStyle name="Standaard 10 2 2 2 2 6 2 2 2 2 2 2" xfId="4020"/>
    <cellStyle name="Standaard 10 2 2 2 2 6 2 2 2 2 3" xfId="4021"/>
    <cellStyle name="Standaard 10 2 2 2 2 6 2 2 2 3" xfId="4022"/>
    <cellStyle name="Standaard 10 2 2 2 2 6 2 2 2 3 2" xfId="4023"/>
    <cellStyle name="Standaard 10 2 2 2 2 6 2 2 2 4" xfId="4024"/>
    <cellStyle name="Standaard 10 2 2 2 2 6 2 2 3" xfId="4025"/>
    <cellStyle name="Standaard 10 2 2 2 2 6 2 2 3 2" xfId="4026"/>
    <cellStyle name="Standaard 10 2 2 2 2 6 2 2 3 2 2" xfId="4027"/>
    <cellStyle name="Standaard 10 2 2 2 2 6 2 2 3 3" xfId="4028"/>
    <cellStyle name="Standaard 10 2 2 2 2 6 2 2 4" xfId="4029"/>
    <cellStyle name="Standaard 10 2 2 2 2 6 2 2 4 2" xfId="4030"/>
    <cellStyle name="Standaard 10 2 2 2 2 6 2 2 5" xfId="4031"/>
    <cellStyle name="Standaard 10 2 2 2 2 6 2 2 6" xfId="4032"/>
    <cellStyle name="Standaard 10 2 2 2 2 6 2 3" xfId="4033"/>
    <cellStyle name="Standaard 10 2 2 2 2 6 2 3 2" xfId="4034"/>
    <cellStyle name="Standaard 10 2 2 2 2 6 2 3 2 2" xfId="4035"/>
    <cellStyle name="Standaard 10 2 2 2 2 6 2 3 2 2 2" xfId="4036"/>
    <cellStyle name="Standaard 10 2 2 2 2 6 2 3 2 3" xfId="4037"/>
    <cellStyle name="Standaard 10 2 2 2 2 6 2 3 3" xfId="4038"/>
    <cellStyle name="Standaard 10 2 2 2 2 6 2 3 3 2" xfId="4039"/>
    <cellStyle name="Standaard 10 2 2 2 2 6 2 3 4" xfId="4040"/>
    <cellStyle name="Standaard 10 2 2 2 2 6 2 4" xfId="4041"/>
    <cellStyle name="Standaard 10 2 2 2 2 6 2 4 2" xfId="4042"/>
    <cellStyle name="Standaard 10 2 2 2 2 6 2 4 2 2" xfId="4043"/>
    <cellStyle name="Standaard 10 2 2 2 2 6 2 4 3" xfId="4044"/>
    <cellStyle name="Standaard 10 2 2 2 2 6 2 5" xfId="4045"/>
    <cellStyle name="Standaard 10 2 2 2 2 6 2 5 2" xfId="4046"/>
    <cellStyle name="Standaard 10 2 2 2 2 6 2 6" xfId="4047"/>
    <cellStyle name="Standaard 10 2 2 2 2 6 2 7" xfId="4048"/>
    <cellStyle name="Standaard 10 2 2 2 2 6 3" xfId="4049"/>
    <cellStyle name="Standaard 10 2 2 2 2 6 3 2" xfId="4050"/>
    <cellStyle name="Standaard 10 2 2 2 2 6 3 2 2" xfId="4051"/>
    <cellStyle name="Standaard 10 2 2 2 2 6 3 2 2 2" xfId="4052"/>
    <cellStyle name="Standaard 10 2 2 2 2 6 3 2 2 2 2" xfId="4053"/>
    <cellStyle name="Standaard 10 2 2 2 2 6 3 2 2 3" xfId="4054"/>
    <cellStyle name="Standaard 10 2 2 2 2 6 3 2 3" xfId="4055"/>
    <cellStyle name="Standaard 10 2 2 2 2 6 3 2 3 2" xfId="4056"/>
    <cellStyle name="Standaard 10 2 2 2 2 6 3 2 4" xfId="4057"/>
    <cellStyle name="Standaard 10 2 2 2 2 6 3 3" xfId="4058"/>
    <cellStyle name="Standaard 10 2 2 2 2 6 3 3 2" xfId="4059"/>
    <cellStyle name="Standaard 10 2 2 2 2 6 3 3 2 2" xfId="4060"/>
    <cellStyle name="Standaard 10 2 2 2 2 6 3 3 3" xfId="4061"/>
    <cellStyle name="Standaard 10 2 2 2 2 6 3 4" xfId="4062"/>
    <cellStyle name="Standaard 10 2 2 2 2 6 3 4 2" xfId="4063"/>
    <cellStyle name="Standaard 10 2 2 2 2 6 3 5" xfId="4064"/>
    <cellStyle name="Standaard 10 2 2 2 2 6 3 6" xfId="4065"/>
    <cellStyle name="Standaard 10 2 2 2 2 6 4" xfId="4066"/>
    <cellStyle name="Standaard 10 2 2 2 2 6 4 2" xfId="4067"/>
    <cellStyle name="Standaard 10 2 2 2 2 6 4 2 2" xfId="4068"/>
    <cellStyle name="Standaard 10 2 2 2 2 6 4 2 2 2" xfId="4069"/>
    <cellStyle name="Standaard 10 2 2 2 2 6 4 2 3" xfId="4070"/>
    <cellStyle name="Standaard 10 2 2 2 2 6 4 3" xfId="4071"/>
    <cellStyle name="Standaard 10 2 2 2 2 6 4 3 2" xfId="4072"/>
    <cellStyle name="Standaard 10 2 2 2 2 6 4 4" xfId="4073"/>
    <cellStyle name="Standaard 10 2 2 2 2 6 5" xfId="4074"/>
    <cellStyle name="Standaard 10 2 2 2 2 6 5 2" xfId="4075"/>
    <cellStyle name="Standaard 10 2 2 2 2 6 5 2 2" xfId="4076"/>
    <cellStyle name="Standaard 10 2 2 2 2 6 5 3" xfId="4077"/>
    <cellStyle name="Standaard 10 2 2 2 2 6 6" xfId="4078"/>
    <cellStyle name="Standaard 10 2 2 2 2 6 6 2" xfId="4079"/>
    <cellStyle name="Standaard 10 2 2 2 2 6 7" xfId="4080"/>
    <cellStyle name="Standaard 10 2 2 2 2 6 8" xfId="4081"/>
    <cellStyle name="Standaard 10 2 2 2 2 7" xfId="4082"/>
    <cellStyle name="Standaard 10 2 2 2 2 7 2" xfId="4083"/>
    <cellStyle name="Standaard 10 2 2 2 2 7 2 2" xfId="4084"/>
    <cellStyle name="Standaard 10 2 2 2 2 7 2 2 2" xfId="4085"/>
    <cellStyle name="Standaard 10 2 2 2 2 7 2 2 2 2" xfId="4086"/>
    <cellStyle name="Standaard 10 2 2 2 2 7 2 2 2 2 2" xfId="4087"/>
    <cellStyle name="Standaard 10 2 2 2 2 7 2 2 2 3" xfId="4088"/>
    <cellStyle name="Standaard 10 2 2 2 2 7 2 2 3" xfId="4089"/>
    <cellStyle name="Standaard 10 2 2 2 2 7 2 2 3 2" xfId="4090"/>
    <cellStyle name="Standaard 10 2 2 2 2 7 2 2 4" xfId="4091"/>
    <cellStyle name="Standaard 10 2 2 2 2 7 2 3" xfId="4092"/>
    <cellStyle name="Standaard 10 2 2 2 2 7 2 3 2" xfId="4093"/>
    <cellStyle name="Standaard 10 2 2 2 2 7 2 3 2 2" xfId="4094"/>
    <cellStyle name="Standaard 10 2 2 2 2 7 2 3 3" xfId="4095"/>
    <cellStyle name="Standaard 10 2 2 2 2 7 2 4" xfId="4096"/>
    <cellStyle name="Standaard 10 2 2 2 2 7 2 4 2" xfId="4097"/>
    <cellStyle name="Standaard 10 2 2 2 2 7 2 5" xfId="4098"/>
    <cellStyle name="Standaard 10 2 2 2 2 7 2 6" xfId="4099"/>
    <cellStyle name="Standaard 10 2 2 2 2 7 3" xfId="4100"/>
    <cellStyle name="Standaard 10 2 2 2 2 7 3 2" xfId="4101"/>
    <cellStyle name="Standaard 10 2 2 2 2 7 3 2 2" xfId="4102"/>
    <cellStyle name="Standaard 10 2 2 2 2 7 3 2 2 2" xfId="4103"/>
    <cellStyle name="Standaard 10 2 2 2 2 7 3 2 3" xfId="4104"/>
    <cellStyle name="Standaard 10 2 2 2 2 7 3 3" xfId="4105"/>
    <cellStyle name="Standaard 10 2 2 2 2 7 3 3 2" xfId="4106"/>
    <cellStyle name="Standaard 10 2 2 2 2 7 3 4" xfId="4107"/>
    <cellStyle name="Standaard 10 2 2 2 2 7 4" xfId="4108"/>
    <cellStyle name="Standaard 10 2 2 2 2 7 4 2" xfId="4109"/>
    <cellStyle name="Standaard 10 2 2 2 2 7 4 2 2" xfId="4110"/>
    <cellStyle name="Standaard 10 2 2 2 2 7 4 3" xfId="4111"/>
    <cellStyle name="Standaard 10 2 2 2 2 7 5" xfId="4112"/>
    <cellStyle name="Standaard 10 2 2 2 2 7 5 2" xfId="4113"/>
    <cellStyle name="Standaard 10 2 2 2 2 7 6" xfId="4114"/>
    <cellStyle name="Standaard 10 2 2 2 2 7 7" xfId="4115"/>
    <cellStyle name="Standaard 10 2 2 2 2 8" xfId="4116"/>
    <cellStyle name="Standaard 10 2 2 2 2 8 2" xfId="4117"/>
    <cellStyle name="Standaard 10 2 2 2 2 8 2 2" xfId="4118"/>
    <cellStyle name="Standaard 10 2 2 2 2 8 2 2 2" xfId="4119"/>
    <cellStyle name="Standaard 10 2 2 2 2 8 2 2 2 2" xfId="4120"/>
    <cellStyle name="Standaard 10 2 2 2 2 8 2 2 3" xfId="4121"/>
    <cellStyle name="Standaard 10 2 2 2 2 8 2 3" xfId="4122"/>
    <cellStyle name="Standaard 10 2 2 2 2 8 2 3 2" xfId="4123"/>
    <cellStyle name="Standaard 10 2 2 2 2 8 2 4" xfId="4124"/>
    <cellStyle name="Standaard 10 2 2 2 2 8 3" xfId="4125"/>
    <cellStyle name="Standaard 10 2 2 2 2 8 3 2" xfId="4126"/>
    <cellStyle name="Standaard 10 2 2 2 2 8 3 2 2" xfId="4127"/>
    <cellStyle name="Standaard 10 2 2 2 2 8 3 3" xfId="4128"/>
    <cellStyle name="Standaard 10 2 2 2 2 8 4" xfId="4129"/>
    <cellStyle name="Standaard 10 2 2 2 2 8 4 2" xfId="4130"/>
    <cellStyle name="Standaard 10 2 2 2 2 8 5" xfId="4131"/>
    <cellStyle name="Standaard 10 2 2 2 2 8 6" xfId="4132"/>
    <cellStyle name="Standaard 10 2 2 2 2 9" xfId="4133"/>
    <cellStyle name="Standaard 10 2 2 2 2 9 2" xfId="4134"/>
    <cellStyle name="Standaard 10 2 2 2 2 9 2 2" xfId="4135"/>
    <cellStyle name="Standaard 10 2 2 2 2 9 2 2 2" xfId="4136"/>
    <cellStyle name="Standaard 10 2 2 2 2 9 2 3" xfId="4137"/>
    <cellStyle name="Standaard 10 2 2 2 2 9 3" xfId="4138"/>
    <cellStyle name="Standaard 10 2 2 2 2 9 3 2" xfId="4139"/>
    <cellStyle name="Standaard 10 2 2 2 2 9 4" xfId="4140"/>
    <cellStyle name="Standaard 10 2 2 2 3" xfId="4141"/>
    <cellStyle name="Standaard 10 2 2 2 3 2" xfId="4142"/>
    <cellStyle name="Standaard 10 2 2 2 3 2 2" xfId="4143"/>
    <cellStyle name="Standaard 10 2 2 2 3 2 2 2" xfId="4144"/>
    <cellStyle name="Standaard 10 2 2 2 3 2 2 2 2" xfId="4145"/>
    <cellStyle name="Standaard 10 2 2 2 3 2 2 2 2 2" xfId="4146"/>
    <cellStyle name="Standaard 10 2 2 2 3 2 2 2 2 2 2" xfId="4147"/>
    <cellStyle name="Standaard 10 2 2 2 3 2 2 2 2 3" xfId="4148"/>
    <cellStyle name="Standaard 10 2 2 2 3 2 2 2 3" xfId="4149"/>
    <cellStyle name="Standaard 10 2 2 2 3 2 2 2 3 2" xfId="4150"/>
    <cellStyle name="Standaard 10 2 2 2 3 2 2 2 4" xfId="4151"/>
    <cellStyle name="Standaard 10 2 2 2 3 2 2 3" xfId="4152"/>
    <cellStyle name="Standaard 10 2 2 2 3 2 2 3 2" xfId="4153"/>
    <cellStyle name="Standaard 10 2 2 2 3 2 2 3 2 2" xfId="4154"/>
    <cellStyle name="Standaard 10 2 2 2 3 2 2 3 3" xfId="4155"/>
    <cellStyle name="Standaard 10 2 2 2 3 2 2 4" xfId="4156"/>
    <cellStyle name="Standaard 10 2 2 2 3 2 2 4 2" xfId="4157"/>
    <cellStyle name="Standaard 10 2 2 2 3 2 2 5" xfId="4158"/>
    <cellStyle name="Standaard 10 2 2 2 3 2 2 6" xfId="4159"/>
    <cellStyle name="Standaard 10 2 2 2 3 2 3" xfId="4160"/>
    <cellStyle name="Standaard 10 2 2 2 3 2 3 2" xfId="4161"/>
    <cellStyle name="Standaard 10 2 2 2 3 2 3 2 2" xfId="4162"/>
    <cellStyle name="Standaard 10 2 2 2 3 2 3 2 2 2" xfId="4163"/>
    <cellStyle name="Standaard 10 2 2 2 3 2 3 2 3" xfId="4164"/>
    <cellStyle name="Standaard 10 2 2 2 3 2 3 3" xfId="4165"/>
    <cellStyle name="Standaard 10 2 2 2 3 2 3 3 2" xfId="4166"/>
    <cellStyle name="Standaard 10 2 2 2 3 2 3 4" xfId="4167"/>
    <cellStyle name="Standaard 10 2 2 2 3 2 4" xfId="4168"/>
    <cellStyle name="Standaard 10 2 2 2 3 2 4 2" xfId="4169"/>
    <cellStyle name="Standaard 10 2 2 2 3 2 4 2 2" xfId="4170"/>
    <cellStyle name="Standaard 10 2 2 2 3 2 4 3" xfId="4171"/>
    <cellStyle name="Standaard 10 2 2 2 3 2 5" xfId="4172"/>
    <cellStyle name="Standaard 10 2 2 2 3 2 5 2" xfId="4173"/>
    <cellStyle name="Standaard 10 2 2 2 3 2 6" xfId="4174"/>
    <cellStyle name="Standaard 10 2 2 2 3 2 7" xfId="4175"/>
    <cellStyle name="Standaard 10 2 2 2 3 3" xfId="4176"/>
    <cellStyle name="Standaard 10 2 2 2 3 3 2" xfId="4177"/>
    <cellStyle name="Standaard 10 2 2 2 3 3 2 2" xfId="4178"/>
    <cellStyle name="Standaard 10 2 2 2 3 3 2 2 2" xfId="4179"/>
    <cellStyle name="Standaard 10 2 2 2 3 3 2 2 2 2" xfId="4180"/>
    <cellStyle name="Standaard 10 2 2 2 3 3 2 2 3" xfId="4181"/>
    <cellStyle name="Standaard 10 2 2 2 3 3 2 3" xfId="4182"/>
    <cellStyle name="Standaard 10 2 2 2 3 3 2 3 2" xfId="4183"/>
    <cellStyle name="Standaard 10 2 2 2 3 3 2 4" xfId="4184"/>
    <cellStyle name="Standaard 10 2 2 2 3 3 3" xfId="4185"/>
    <cellStyle name="Standaard 10 2 2 2 3 3 3 2" xfId="4186"/>
    <cellStyle name="Standaard 10 2 2 2 3 3 3 2 2" xfId="4187"/>
    <cellStyle name="Standaard 10 2 2 2 3 3 3 3" xfId="4188"/>
    <cellStyle name="Standaard 10 2 2 2 3 3 4" xfId="4189"/>
    <cellStyle name="Standaard 10 2 2 2 3 3 4 2" xfId="4190"/>
    <cellStyle name="Standaard 10 2 2 2 3 3 5" xfId="4191"/>
    <cellStyle name="Standaard 10 2 2 2 3 3 6" xfId="4192"/>
    <cellStyle name="Standaard 10 2 2 2 3 4" xfId="4193"/>
    <cellStyle name="Standaard 10 2 2 2 3 4 2" xfId="4194"/>
    <cellStyle name="Standaard 10 2 2 2 3 4 2 2" xfId="4195"/>
    <cellStyle name="Standaard 10 2 2 2 3 4 2 2 2" xfId="4196"/>
    <cellStyle name="Standaard 10 2 2 2 3 4 2 3" xfId="4197"/>
    <cellStyle name="Standaard 10 2 2 2 3 4 3" xfId="4198"/>
    <cellStyle name="Standaard 10 2 2 2 3 4 3 2" xfId="4199"/>
    <cellStyle name="Standaard 10 2 2 2 3 4 4" xfId="4200"/>
    <cellStyle name="Standaard 10 2 2 2 3 5" xfId="4201"/>
    <cellStyle name="Standaard 10 2 2 2 3 5 2" xfId="4202"/>
    <cellStyle name="Standaard 10 2 2 2 3 5 2 2" xfId="4203"/>
    <cellStyle name="Standaard 10 2 2 2 3 5 3" xfId="4204"/>
    <cellStyle name="Standaard 10 2 2 2 3 6" xfId="4205"/>
    <cellStyle name="Standaard 10 2 2 2 3 6 2" xfId="4206"/>
    <cellStyle name="Standaard 10 2 2 2 3 7" xfId="4207"/>
    <cellStyle name="Standaard 10 2 2 2 3 8" xfId="4208"/>
    <cellStyle name="Standaard 10 2 2 2 4" xfId="4209"/>
    <cellStyle name="Standaard 10 2 2 2 4 2" xfId="4210"/>
    <cellStyle name="Standaard 10 2 2 2 4 2 2" xfId="4211"/>
    <cellStyle name="Standaard 10 2 2 2 4 2 2 2" xfId="4212"/>
    <cellStyle name="Standaard 10 2 2 2 4 2 2 2 2" xfId="4213"/>
    <cellStyle name="Standaard 10 2 2 2 4 2 2 2 2 2" xfId="4214"/>
    <cellStyle name="Standaard 10 2 2 2 4 2 2 2 3" xfId="4215"/>
    <cellStyle name="Standaard 10 2 2 2 4 2 2 3" xfId="4216"/>
    <cellStyle name="Standaard 10 2 2 2 4 2 2 3 2" xfId="4217"/>
    <cellStyle name="Standaard 10 2 2 2 4 2 2 4" xfId="4218"/>
    <cellStyle name="Standaard 10 2 2 2 4 2 3" xfId="4219"/>
    <cellStyle name="Standaard 10 2 2 2 4 2 3 2" xfId="4220"/>
    <cellStyle name="Standaard 10 2 2 2 4 2 3 2 2" xfId="4221"/>
    <cellStyle name="Standaard 10 2 2 2 4 2 3 3" xfId="4222"/>
    <cellStyle name="Standaard 10 2 2 2 4 2 4" xfId="4223"/>
    <cellStyle name="Standaard 10 2 2 2 4 2 4 2" xfId="4224"/>
    <cellStyle name="Standaard 10 2 2 2 4 2 5" xfId="4225"/>
    <cellStyle name="Standaard 10 2 2 2 4 2 6" xfId="4226"/>
    <cellStyle name="Standaard 10 2 2 2 4 3" xfId="4227"/>
    <cellStyle name="Standaard 10 2 2 2 4 3 2" xfId="4228"/>
    <cellStyle name="Standaard 10 2 2 2 4 3 2 2" xfId="4229"/>
    <cellStyle name="Standaard 10 2 2 2 4 3 2 2 2" xfId="4230"/>
    <cellStyle name="Standaard 10 2 2 2 4 3 2 3" xfId="4231"/>
    <cellStyle name="Standaard 10 2 2 2 4 3 3" xfId="4232"/>
    <cellStyle name="Standaard 10 2 2 2 4 3 3 2" xfId="4233"/>
    <cellStyle name="Standaard 10 2 2 2 4 3 4" xfId="4234"/>
    <cellStyle name="Standaard 10 2 2 2 4 4" xfId="4235"/>
    <cellStyle name="Standaard 10 2 2 2 4 4 2" xfId="4236"/>
    <cellStyle name="Standaard 10 2 2 2 4 4 2 2" xfId="4237"/>
    <cellStyle name="Standaard 10 2 2 2 4 4 3" xfId="4238"/>
    <cellStyle name="Standaard 10 2 2 2 4 5" xfId="4239"/>
    <cellStyle name="Standaard 10 2 2 2 4 5 2" xfId="4240"/>
    <cellStyle name="Standaard 10 2 2 2 4 6" xfId="4241"/>
    <cellStyle name="Standaard 10 2 2 2 4 7" xfId="4242"/>
    <cellStyle name="Standaard 10 2 2 2 5" xfId="4243"/>
    <cellStyle name="Standaard 10 2 2 2 5 2" xfId="4244"/>
    <cellStyle name="Standaard 10 2 2 2 5 2 2" xfId="4245"/>
    <cellStyle name="Standaard 10 2 2 2 5 2 2 2" xfId="4246"/>
    <cellStyle name="Standaard 10 2 2 2 5 2 2 2 2" xfId="4247"/>
    <cellStyle name="Standaard 10 2 2 2 5 2 2 3" xfId="4248"/>
    <cellStyle name="Standaard 10 2 2 2 5 2 3" xfId="4249"/>
    <cellStyle name="Standaard 10 2 2 2 5 2 3 2" xfId="4250"/>
    <cellStyle name="Standaard 10 2 2 2 5 2 4" xfId="4251"/>
    <cellStyle name="Standaard 10 2 2 2 5 3" xfId="4252"/>
    <cellStyle name="Standaard 10 2 2 2 5 3 2" xfId="4253"/>
    <cellStyle name="Standaard 10 2 2 2 5 3 2 2" xfId="4254"/>
    <cellStyle name="Standaard 10 2 2 2 5 3 3" xfId="4255"/>
    <cellStyle name="Standaard 10 2 2 2 5 4" xfId="4256"/>
    <cellStyle name="Standaard 10 2 2 2 5 4 2" xfId="4257"/>
    <cellStyle name="Standaard 10 2 2 2 5 5" xfId="4258"/>
    <cellStyle name="Standaard 10 2 2 2 5 6" xfId="4259"/>
    <cellStyle name="Standaard 10 2 2 2 6" xfId="4260"/>
    <cellStyle name="Standaard 10 2 2 2 6 2" xfId="4261"/>
    <cellStyle name="Standaard 10 2 2 2 6 2 2" xfId="4262"/>
    <cellStyle name="Standaard 10 2 2 2 6 2 2 2" xfId="4263"/>
    <cellStyle name="Standaard 10 2 2 2 6 2 3" xfId="4264"/>
    <cellStyle name="Standaard 10 2 2 2 6 3" xfId="4265"/>
    <cellStyle name="Standaard 10 2 2 2 6 3 2" xfId="4266"/>
    <cellStyle name="Standaard 10 2 2 2 6 4" xfId="4267"/>
    <cellStyle name="Standaard 10 2 2 2 7" xfId="4268"/>
    <cellStyle name="Standaard 10 2 2 2 7 2" xfId="4269"/>
    <cellStyle name="Standaard 10 2 2 2 7 2 2" xfId="4270"/>
    <cellStyle name="Standaard 10 2 2 2 7 3" xfId="4271"/>
    <cellStyle name="Standaard 10 2 2 2 8" xfId="4272"/>
    <cellStyle name="Standaard 10 2 2 2 8 2" xfId="4273"/>
    <cellStyle name="Standaard 10 2 2 2 9" xfId="4274"/>
    <cellStyle name="Standaard 10 2 2 3" xfId="4275"/>
    <cellStyle name="Standaard 10 2 2 3 2" xfId="4276"/>
    <cellStyle name="Standaard 10 2 2 3 2 2" xfId="4277"/>
    <cellStyle name="Standaard 10 2 2 3 2 2 2" xfId="4278"/>
    <cellStyle name="Standaard 10 2 2 3 2 2 2 2" xfId="4279"/>
    <cellStyle name="Standaard 10 2 2 3 2 2 2 2 2" xfId="4280"/>
    <cellStyle name="Standaard 10 2 2 3 2 2 2 2 2 2" xfId="4281"/>
    <cellStyle name="Standaard 10 2 2 3 2 2 2 2 3" xfId="4282"/>
    <cellStyle name="Standaard 10 2 2 3 2 2 2 3" xfId="4283"/>
    <cellStyle name="Standaard 10 2 2 3 2 2 2 3 2" xfId="4284"/>
    <cellStyle name="Standaard 10 2 2 3 2 2 2 4" xfId="4285"/>
    <cellStyle name="Standaard 10 2 2 3 2 2 3" xfId="4286"/>
    <cellStyle name="Standaard 10 2 2 3 2 2 3 2" xfId="4287"/>
    <cellStyle name="Standaard 10 2 2 3 2 2 3 2 2" xfId="4288"/>
    <cellStyle name="Standaard 10 2 2 3 2 2 3 3" xfId="4289"/>
    <cellStyle name="Standaard 10 2 2 3 2 2 4" xfId="4290"/>
    <cellStyle name="Standaard 10 2 2 3 2 2 4 2" xfId="4291"/>
    <cellStyle name="Standaard 10 2 2 3 2 2 5" xfId="4292"/>
    <cellStyle name="Standaard 10 2 2 3 2 2 6" xfId="4293"/>
    <cellStyle name="Standaard 10 2 2 3 2 3" xfId="4294"/>
    <cellStyle name="Standaard 10 2 2 3 2 3 2" xfId="4295"/>
    <cellStyle name="Standaard 10 2 2 3 2 3 2 2" xfId="4296"/>
    <cellStyle name="Standaard 10 2 2 3 2 3 2 2 2" xfId="4297"/>
    <cellStyle name="Standaard 10 2 2 3 2 3 2 3" xfId="4298"/>
    <cellStyle name="Standaard 10 2 2 3 2 3 3" xfId="4299"/>
    <cellStyle name="Standaard 10 2 2 3 2 3 3 2" xfId="4300"/>
    <cellStyle name="Standaard 10 2 2 3 2 3 4" xfId="4301"/>
    <cellStyle name="Standaard 10 2 2 3 2 4" xfId="4302"/>
    <cellStyle name="Standaard 10 2 2 3 2 4 2" xfId="4303"/>
    <cellStyle name="Standaard 10 2 2 3 2 4 2 2" xfId="4304"/>
    <cellStyle name="Standaard 10 2 2 3 2 4 3" xfId="4305"/>
    <cellStyle name="Standaard 10 2 2 3 2 5" xfId="4306"/>
    <cellStyle name="Standaard 10 2 2 3 2 5 2" xfId="4307"/>
    <cellStyle name="Standaard 10 2 2 3 2 6" xfId="4308"/>
    <cellStyle name="Standaard 10 2 2 3 2 7" xfId="4309"/>
    <cellStyle name="Standaard 10 2 2 3 3" xfId="4310"/>
    <cellStyle name="Standaard 10 2 2 3 3 2" xfId="4311"/>
    <cellStyle name="Standaard 10 2 2 3 3 2 2" xfId="4312"/>
    <cellStyle name="Standaard 10 2 2 3 3 2 2 2" xfId="4313"/>
    <cellStyle name="Standaard 10 2 2 3 3 2 2 2 2" xfId="4314"/>
    <cellStyle name="Standaard 10 2 2 3 3 2 2 3" xfId="4315"/>
    <cellStyle name="Standaard 10 2 2 3 3 2 3" xfId="4316"/>
    <cellStyle name="Standaard 10 2 2 3 3 2 3 2" xfId="4317"/>
    <cellStyle name="Standaard 10 2 2 3 3 2 4" xfId="4318"/>
    <cellStyle name="Standaard 10 2 2 3 3 3" xfId="4319"/>
    <cellStyle name="Standaard 10 2 2 3 3 3 2" xfId="4320"/>
    <cellStyle name="Standaard 10 2 2 3 3 3 2 2" xfId="4321"/>
    <cellStyle name="Standaard 10 2 2 3 3 3 3" xfId="4322"/>
    <cellStyle name="Standaard 10 2 2 3 3 4" xfId="4323"/>
    <cellStyle name="Standaard 10 2 2 3 3 4 2" xfId="4324"/>
    <cellStyle name="Standaard 10 2 2 3 3 5" xfId="4325"/>
    <cellStyle name="Standaard 10 2 2 3 3 6" xfId="4326"/>
    <cellStyle name="Standaard 10 2 2 3 4" xfId="4327"/>
    <cellStyle name="Standaard 10 2 2 3 4 2" xfId="4328"/>
    <cellStyle name="Standaard 10 2 2 3 4 2 2" xfId="4329"/>
    <cellStyle name="Standaard 10 2 2 3 4 2 2 2" xfId="4330"/>
    <cellStyle name="Standaard 10 2 2 3 4 2 3" xfId="4331"/>
    <cellStyle name="Standaard 10 2 2 3 4 3" xfId="4332"/>
    <cellStyle name="Standaard 10 2 2 3 4 3 2" xfId="4333"/>
    <cellStyle name="Standaard 10 2 2 3 4 4" xfId="4334"/>
    <cellStyle name="Standaard 10 2 2 3 5" xfId="4335"/>
    <cellStyle name="Standaard 10 2 2 3 5 2" xfId="4336"/>
    <cellStyle name="Standaard 10 2 2 3 5 2 2" xfId="4337"/>
    <cellStyle name="Standaard 10 2 2 3 5 3" xfId="4338"/>
    <cellStyle name="Standaard 10 2 2 3 6" xfId="4339"/>
    <cellStyle name="Standaard 10 2 2 3 6 2" xfId="4340"/>
    <cellStyle name="Standaard 10 2 2 3 7" xfId="4341"/>
    <cellStyle name="Standaard 10 2 2 3 8" xfId="4342"/>
    <cellStyle name="Standaard 10 2 2 4" xfId="4343"/>
    <cellStyle name="Standaard 10 2 2 4 2" xfId="4344"/>
    <cellStyle name="Standaard 10 2 2 4 2 2" xfId="4345"/>
    <cellStyle name="Standaard 10 2 2 4 2 2 2" xfId="4346"/>
    <cellStyle name="Standaard 10 2 2 4 2 2 2 2" xfId="4347"/>
    <cellStyle name="Standaard 10 2 2 4 2 2 2 2 2" xfId="4348"/>
    <cellStyle name="Standaard 10 2 2 4 2 2 2 2 2 2" xfId="4349"/>
    <cellStyle name="Standaard 10 2 2 4 2 2 2 2 3" xfId="4350"/>
    <cellStyle name="Standaard 10 2 2 4 2 2 2 3" xfId="4351"/>
    <cellStyle name="Standaard 10 2 2 4 2 2 2 3 2" xfId="4352"/>
    <cellStyle name="Standaard 10 2 2 4 2 2 2 4" xfId="4353"/>
    <cellStyle name="Standaard 10 2 2 4 2 2 3" xfId="4354"/>
    <cellStyle name="Standaard 10 2 2 4 2 2 3 2" xfId="4355"/>
    <cellStyle name="Standaard 10 2 2 4 2 2 3 2 2" xfId="4356"/>
    <cellStyle name="Standaard 10 2 2 4 2 2 3 3" xfId="4357"/>
    <cellStyle name="Standaard 10 2 2 4 2 2 4" xfId="4358"/>
    <cellStyle name="Standaard 10 2 2 4 2 2 4 2" xfId="4359"/>
    <cellStyle name="Standaard 10 2 2 4 2 2 5" xfId="4360"/>
    <cellStyle name="Standaard 10 2 2 4 2 2 6" xfId="4361"/>
    <cellStyle name="Standaard 10 2 2 4 2 3" xfId="4362"/>
    <cellStyle name="Standaard 10 2 2 4 2 3 2" xfId="4363"/>
    <cellStyle name="Standaard 10 2 2 4 2 3 2 2" xfId="4364"/>
    <cellStyle name="Standaard 10 2 2 4 2 3 2 2 2" xfId="4365"/>
    <cellStyle name="Standaard 10 2 2 4 2 3 2 3" xfId="4366"/>
    <cellStyle name="Standaard 10 2 2 4 2 3 3" xfId="4367"/>
    <cellStyle name="Standaard 10 2 2 4 2 3 3 2" xfId="4368"/>
    <cellStyle name="Standaard 10 2 2 4 2 3 4" xfId="4369"/>
    <cellStyle name="Standaard 10 2 2 4 2 4" xfId="4370"/>
    <cellStyle name="Standaard 10 2 2 4 2 4 2" xfId="4371"/>
    <cellStyle name="Standaard 10 2 2 4 2 4 2 2" xfId="4372"/>
    <cellStyle name="Standaard 10 2 2 4 2 4 3" xfId="4373"/>
    <cellStyle name="Standaard 10 2 2 4 2 5" xfId="4374"/>
    <cellStyle name="Standaard 10 2 2 4 2 5 2" xfId="4375"/>
    <cellStyle name="Standaard 10 2 2 4 2 6" xfId="4376"/>
    <cellStyle name="Standaard 10 2 2 4 2 7" xfId="4377"/>
    <cellStyle name="Standaard 10 2 2 4 3" xfId="4378"/>
    <cellStyle name="Standaard 10 2 2 4 3 2" xfId="4379"/>
    <cellStyle name="Standaard 10 2 2 4 3 2 2" xfId="4380"/>
    <cellStyle name="Standaard 10 2 2 4 3 2 2 2" xfId="4381"/>
    <cellStyle name="Standaard 10 2 2 4 3 2 2 2 2" xfId="4382"/>
    <cellStyle name="Standaard 10 2 2 4 3 2 2 3" xfId="4383"/>
    <cellStyle name="Standaard 10 2 2 4 3 2 3" xfId="4384"/>
    <cellStyle name="Standaard 10 2 2 4 3 2 3 2" xfId="4385"/>
    <cellStyle name="Standaard 10 2 2 4 3 2 4" xfId="4386"/>
    <cellStyle name="Standaard 10 2 2 4 3 3" xfId="4387"/>
    <cellStyle name="Standaard 10 2 2 4 3 3 2" xfId="4388"/>
    <cellStyle name="Standaard 10 2 2 4 3 3 2 2" xfId="4389"/>
    <cellStyle name="Standaard 10 2 2 4 3 3 3" xfId="4390"/>
    <cellStyle name="Standaard 10 2 2 4 3 4" xfId="4391"/>
    <cellStyle name="Standaard 10 2 2 4 3 4 2" xfId="4392"/>
    <cellStyle name="Standaard 10 2 2 4 3 5" xfId="4393"/>
    <cellStyle name="Standaard 10 2 2 4 3 6" xfId="4394"/>
    <cellStyle name="Standaard 10 2 2 4 4" xfId="4395"/>
    <cellStyle name="Standaard 10 2 2 4 4 2" xfId="4396"/>
    <cellStyle name="Standaard 10 2 2 4 4 2 2" xfId="4397"/>
    <cellStyle name="Standaard 10 2 2 4 4 2 2 2" xfId="4398"/>
    <cellStyle name="Standaard 10 2 2 4 4 2 3" xfId="4399"/>
    <cellStyle name="Standaard 10 2 2 4 4 3" xfId="4400"/>
    <cellStyle name="Standaard 10 2 2 4 4 3 2" xfId="4401"/>
    <cellStyle name="Standaard 10 2 2 4 4 4" xfId="4402"/>
    <cellStyle name="Standaard 10 2 2 4 5" xfId="4403"/>
    <cellStyle name="Standaard 10 2 2 4 5 2" xfId="4404"/>
    <cellStyle name="Standaard 10 2 2 4 5 2 2" xfId="4405"/>
    <cellStyle name="Standaard 10 2 2 4 5 3" xfId="4406"/>
    <cellStyle name="Standaard 10 2 2 4 6" xfId="4407"/>
    <cellStyle name="Standaard 10 2 2 4 6 2" xfId="4408"/>
    <cellStyle name="Standaard 10 2 2 4 7" xfId="4409"/>
    <cellStyle name="Standaard 10 2 2 4 8" xfId="4410"/>
    <cellStyle name="Standaard 10 2 2 5" xfId="4411"/>
    <cellStyle name="Standaard 10 2 2 5 2" xfId="4412"/>
    <cellStyle name="Standaard 10 2 2 5 2 2" xfId="4413"/>
    <cellStyle name="Standaard 10 2 2 5 2 2 2" xfId="4414"/>
    <cellStyle name="Standaard 10 2 2 5 2 2 2 2" xfId="4415"/>
    <cellStyle name="Standaard 10 2 2 5 2 2 2 2 2" xfId="4416"/>
    <cellStyle name="Standaard 10 2 2 5 2 2 2 3" xfId="4417"/>
    <cellStyle name="Standaard 10 2 2 5 2 2 3" xfId="4418"/>
    <cellStyle name="Standaard 10 2 2 5 2 2 3 2" xfId="4419"/>
    <cellStyle name="Standaard 10 2 2 5 2 2 4" xfId="4420"/>
    <cellStyle name="Standaard 10 2 2 5 2 3" xfId="4421"/>
    <cellStyle name="Standaard 10 2 2 5 2 3 2" xfId="4422"/>
    <cellStyle name="Standaard 10 2 2 5 2 3 2 2" xfId="4423"/>
    <cellStyle name="Standaard 10 2 2 5 2 3 3" xfId="4424"/>
    <cellStyle name="Standaard 10 2 2 5 2 4" xfId="4425"/>
    <cellStyle name="Standaard 10 2 2 5 2 4 2" xfId="4426"/>
    <cellStyle name="Standaard 10 2 2 5 2 5" xfId="4427"/>
    <cellStyle name="Standaard 10 2 2 5 2 6" xfId="4428"/>
    <cellStyle name="Standaard 10 2 2 5 3" xfId="4429"/>
    <cellStyle name="Standaard 10 2 2 5 3 2" xfId="4430"/>
    <cellStyle name="Standaard 10 2 2 5 3 2 2" xfId="4431"/>
    <cellStyle name="Standaard 10 2 2 5 3 2 2 2" xfId="4432"/>
    <cellStyle name="Standaard 10 2 2 5 3 2 3" xfId="4433"/>
    <cellStyle name="Standaard 10 2 2 5 3 3" xfId="4434"/>
    <cellStyle name="Standaard 10 2 2 5 3 3 2" xfId="4435"/>
    <cellStyle name="Standaard 10 2 2 5 3 4" xfId="4436"/>
    <cellStyle name="Standaard 10 2 2 5 4" xfId="4437"/>
    <cellStyle name="Standaard 10 2 2 5 4 2" xfId="4438"/>
    <cellStyle name="Standaard 10 2 2 5 4 2 2" xfId="4439"/>
    <cellStyle name="Standaard 10 2 2 5 4 3" xfId="4440"/>
    <cellStyle name="Standaard 10 2 2 5 5" xfId="4441"/>
    <cellStyle name="Standaard 10 2 2 5 5 2" xfId="4442"/>
    <cellStyle name="Standaard 10 2 2 5 6" xfId="4443"/>
    <cellStyle name="Standaard 10 2 2 5 7" xfId="4444"/>
    <cellStyle name="Standaard 10 2 2 6" xfId="4445"/>
    <cellStyle name="Standaard 10 2 2 6 2" xfId="4446"/>
    <cellStyle name="Standaard 10 2 2 6 2 2" xfId="4447"/>
    <cellStyle name="Standaard 10 2 2 6 2 2 2" xfId="4448"/>
    <cellStyle name="Standaard 10 2 2 6 2 2 2 2" xfId="4449"/>
    <cellStyle name="Standaard 10 2 2 6 2 2 3" xfId="4450"/>
    <cellStyle name="Standaard 10 2 2 6 2 3" xfId="4451"/>
    <cellStyle name="Standaard 10 2 2 6 2 3 2" xfId="4452"/>
    <cellStyle name="Standaard 10 2 2 6 2 4" xfId="4453"/>
    <cellStyle name="Standaard 10 2 2 6 3" xfId="4454"/>
    <cellStyle name="Standaard 10 2 2 6 3 2" xfId="4455"/>
    <cellStyle name="Standaard 10 2 2 6 3 2 2" xfId="4456"/>
    <cellStyle name="Standaard 10 2 2 6 3 3" xfId="4457"/>
    <cellStyle name="Standaard 10 2 2 6 4" xfId="4458"/>
    <cellStyle name="Standaard 10 2 2 6 4 2" xfId="4459"/>
    <cellStyle name="Standaard 10 2 2 6 5" xfId="4460"/>
    <cellStyle name="Standaard 10 2 2 6 6" xfId="4461"/>
    <cellStyle name="Standaard 10 2 2 7" xfId="4462"/>
    <cellStyle name="Standaard 10 2 2 7 2" xfId="4463"/>
    <cellStyle name="Standaard 10 2 2 7 2 2" xfId="4464"/>
    <cellStyle name="Standaard 10 2 2 7 2 2 2" xfId="4465"/>
    <cellStyle name="Standaard 10 2 2 7 2 3" xfId="4466"/>
    <cellStyle name="Standaard 10 2 2 7 3" xfId="4467"/>
    <cellStyle name="Standaard 10 2 2 7 3 2" xfId="4468"/>
    <cellStyle name="Standaard 10 2 2 7 4" xfId="4469"/>
    <cellStyle name="Standaard 10 2 2 8" xfId="4470"/>
    <cellStyle name="Standaard 10 2 2 8 2" xfId="4471"/>
    <cellStyle name="Standaard 10 2 2 8 2 2" xfId="4472"/>
    <cellStyle name="Standaard 10 2 2 8 3" xfId="4473"/>
    <cellStyle name="Standaard 10 2 2 9" xfId="4474"/>
    <cellStyle name="Standaard 10 2 2 9 2" xfId="4475"/>
    <cellStyle name="Standaard 10 2 3" xfId="4476"/>
    <cellStyle name="Standaard 10 2 3 10" xfId="4477"/>
    <cellStyle name="Standaard 10 2 3 10 2" xfId="4478"/>
    <cellStyle name="Standaard 10 2 3 10 2 2" xfId="4479"/>
    <cellStyle name="Standaard 10 2 3 10 3" xfId="4480"/>
    <cellStyle name="Standaard 10 2 3 11" xfId="4481"/>
    <cellStyle name="Standaard 10 2 3 11 2" xfId="4482"/>
    <cellStyle name="Standaard 10 2 3 12" xfId="4483"/>
    <cellStyle name="Standaard 10 2 3 13" xfId="4484"/>
    <cellStyle name="Standaard 10 2 3 2" xfId="4485"/>
    <cellStyle name="Standaard 10 2 3 2 10" xfId="4486"/>
    <cellStyle name="Standaard 10 2 3 2 10 2" xfId="4487"/>
    <cellStyle name="Standaard 10 2 3 2 11" xfId="4488"/>
    <cellStyle name="Standaard 10 2 3 2 12" xfId="4489"/>
    <cellStyle name="Standaard 10 2 3 2 2" xfId="4490"/>
    <cellStyle name="Standaard 10 2 3 2 2 10" xfId="4491"/>
    <cellStyle name="Standaard 10 2 3 2 2 11" xfId="4492"/>
    <cellStyle name="Standaard 10 2 3 2 2 2" xfId="4493"/>
    <cellStyle name="Standaard 10 2 3 2 2 2 2" xfId="4494"/>
    <cellStyle name="Standaard 10 2 3 2 2 2 2 2" xfId="4495"/>
    <cellStyle name="Standaard 10 2 3 2 2 2 2 2 2" xfId="4496"/>
    <cellStyle name="Standaard 10 2 3 2 2 2 2 2 2 2" xfId="4497"/>
    <cellStyle name="Standaard 10 2 3 2 2 2 2 2 2 2 2" xfId="4498"/>
    <cellStyle name="Standaard 10 2 3 2 2 2 2 2 2 2 2 2" xfId="4499"/>
    <cellStyle name="Standaard 10 2 3 2 2 2 2 2 2 2 2 2 2" xfId="4500"/>
    <cellStyle name="Standaard 10 2 3 2 2 2 2 2 2 2 2 3" xfId="4501"/>
    <cellStyle name="Standaard 10 2 3 2 2 2 2 2 2 2 3" xfId="4502"/>
    <cellStyle name="Standaard 10 2 3 2 2 2 2 2 2 2 3 2" xfId="4503"/>
    <cellStyle name="Standaard 10 2 3 2 2 2 2 2 2 2 4" xfId="4504"/>
    <cellStyle name="Standaard 10 2 3 2 2 2 2 2 2 3" xfId="4505"/>
    <cellStyle name="Standaard 10 2 3 2 2 2 2 2 2 3 2" xfId="4506"/>
    <cellStyle name="Standaard 10 2 3 2 2 2 2 2 2 3 2 2" xfId="4507"/>
    <cellStyle name="Standaard 10 2 3 2 2 2 2 2 2 3 3" xfId="4508"/>
    <cellStyle name="Standaard 10 2 3 2 2 2 2 2 2 4" xfId="4509"/>
    <cellStyle name="Standaard 10 2 3 2 2 2 2 2 2 4 2" xfId="4510"/>
    <cellStyle name="Standaard 10 2 3 2 2 2 2 2 2 5" xfId="4511"/>
    <cellStyle name="Standaard 10 2 3 2 2 2 2 2 2 6" xfId="4512"/>
    <cellStyle name="Standaard 10 2 3 2 2 2 2 2 3" xfId="4513"/>
    <cellStyle name="Standaard 10 2 3 2 2 2 2 2 3 2" xfId="4514"/>
    <cellStyle name="Standaard 10 2 3 2 2 2 2 2 3 2 2" xfId="4515"/>
    <cellStyle name="Standaard 10 2 3 2 2 2 2 2 3 2 2 2" xfId="4516"/>
    <cellStyle name="Standaard 10 2 3 2 2 2 2 2 3 2 3" xfId="4517"/>
    <cellStyle name="Standaard 10 2 3 2 2 2 2 2 3 3" xfId="4518"/>
    <cellStyle name="Standaard 10 2 3 2 2 2 2 2 3 3 2" xfId="4519"/>
    <cellStyle name="Standaard 10 2 3 2 2 2 2 2 3 4" xfId="4520"/>
    <cellStyle name="Standaard 10 2 3 2 2 2 2 2 4" xfId="4521"/>
    <cellStyle name="Standaard 10 2 3 2 2 2 2 2 4 2" xfId="4522"/>
    <cellStyle name="Standaard 10 2 3 2 2 2 2 2 4 2 2" xfId="4523"/>
    <cellStyle name="Standaard 10 2 3 2 2 2 2 2 4 3" xfId="4524"/>
    <cellStyle name="Standaard 10 2 3 2 2 2 2 2 5" xfId="4525"/>
    <cellStyle name="Standaard 10 2 3 2 2 2 2 2 5 2" xfId="4526"/>
    <cellStyle name="Standaard 10 2 3 2 2 2 2 2 6" xfId="4527"/>
    <cellStyle name="Standaard 10 2 3 2 2 2 2 2 7" xfId="4528"/>
    <cellStyle name="Standaard 10 2 3 2 2 2 2 3" xfId="4529"/>
    <cellStyle name="Standaard 10 2 3 2 2 2 2 3 2" xfId="4530"/>
    <cellStyle name="Standaard 10 2 3 2 2 2 2 3 2 2" xfId="4531"/>
    <cellStyle name="Standaard 10 2 3 2 2 2 2 3 2 2 2" xfId="4532"/>
    <cellStyle name="Standaard 10 2 3 2 2 2 2 3 2 2 2 2" xfId="4533"/>
    <cellStyle name="Standaard 10 2 3 2 2 2 2 3 2 2 3" xfId="4534"/>
    <cellStyle name="Standaard 10 2 3 2 2 2 2 3 2 3" xfId="4535"/>
    <cellStyle name="Standaard 10 2 3 2 2 2 2 3 2 3 2" xfId="4536"/>
    <cellStyle name="Standaard 10 2 3 2 2 2 2 3 2 4" xfId="4537"/>
    <cellStyle name="Standaard 10 2 3 2 2 2 2 3 3" xfId="4538"/>
    <cellStyle name="Standaard 10 2 3 2 2 2 2 3 3 2" xfId="4539"/>
    <cellStyle name="Standaard 10 2 3 2 2 2 2 3 3 2 2" xfId="4540"/>
    <cellStyle name="Standaard 10 2 3 2 2 2 2 3 3 3" xfId="4541"/>
    <cellStyle name="Standaard 10 2 3 2 2 2 2 3 4" xfId="4542"/>
    <cellStyle name="Standaard 10 2 3 2 2 2 2 3 4 2" xfId="4543"/>
    <cellStyle name="Standaard 10 2 3 2 2 2 2 3 5" xfId="4544"/>
    <cellStyle name="Standaard 10 2 3 2 2 2 2 3 6" xfId="4545"/>
    <cellStyle name="Standaard 10 2 3 2 2 2 2 4" xfId="4546"/>
    <cellStyle name="Standaard 10 2 3 2 2 2 2 4 2" xfId="4547"/>
    <cellStyle name="Standaard 10 2 3 2 2 2 2 4 2 2" xfId="4548"/>
    <cellStyle name="Standaard 10 2 3 2 2 2 2 4 2 2 2" xfId="4549"/>
    <cellStyle name="Standaard 10 2 3 2 2 2 2 4 2 3" xfId="4550"/>
    <cellStyle name="Standaard 10 2 3 2 2 2 2 4 3" xfId="4551"/>
    <cellStyle name="Standaard 10 2 3 2 2 2 2 4 3 2" xfId="4552"/>
    <cellStyle name="Standaard 10 2 3 2 2 2 2 4 4" xfId="4553"/>
    <cellStyle name="Standaard 10 2 3 2 2 2 2 5" xfId="4554"/>
    <cellStyle name="Standaard 10 2 3 2 2 2 2 5 2" xfId="4555"/>
    <cellStyle name="Standaard 10 2 3 2 2 2 2 5 2 2" xfId="4556"/>
    <cellStyle name="Standaard 10 2 3 2 2 2 2 5 3" xfId="4557"/>
    <cellStyle name="Standaard 10 2 3 2 2 2 2 6" xfId="4558"/>
    <cellStyle name="Standaard 10 2 3 2 2 2 2 6 2" xfId="4559"/>
    <cellStyle name="Standaard 10 2 3 2 2 2 2 7" xfId="4560"/>
    <cellStyle name="Standaard 10 2 3 2 2 2 2 8" xfId="4561"/>
    <cellStyle name="Standaard 10 2 3 2 2 2 3" xfId="4562"/>
    <cellStyle name="Standaard 10 2 3 2 2 2 3 2" xfId="4563"/>
    <cellStyle name="Standaard 10 2 3 2 2 2 3 2 2" xfId="4564"/>
    <cellStyle name="Standaard 10 2 3 2 2 2 3 2 2 2" xfId="4565"/>
    <cellStyle name="Standaard 10 2 3 2 2 2 3 2 2 2 2" xfId="4566"/>
    <cellStyle name="Standaard 10 2 3 2 2 2 3 2 2 2 2 2" xfId="4567"/>
    <cellStyle name="Standaard 10 2 3 2 2 2 3 2 2 2 3" xfId="4568"/>
    <cellStyle name="Standaard 10 2 3 2 2 2 3 2 2 3" xfId="4569"/>
    <cellStyle name="Standaard 10 2 3 2 2 2 3 2 2 3 2" xfId="4570"/>
    <cellStyle name="Standaard 10 2 3 2 2 2 3 2 2 4" xfId="4571"/>
    <cellStyle name="Standaard 10 2 3 2 2 2 3 2 3" xfId="4572"/>
    <cellStyle name="Standaard 10 2 3 2 2 2 3 2 3 2" xfId="4573"/>
    <cellStyle name="Standaard 10 2 3 2 2 2 3 2 3 2 2" xfId="4574"/>
    <cellStyle name="Standaard 10 2 3 2 2 2 3 2 3 3" xfId="4575"/>
    <cellStyle name="Standaard 10 2 3 2 2 2 3 2 4" xfId="4576"/>
    <cellStyle name="Standaard 10 2 3 2 2 2 3 2 4 2" xfId="4577"/>
    <cellStyle name="Standaard 10 2 3 2 2 2 3 2 5" xfId="4578"/>
    <cellStyle name="Standaard 10 2 3 2 2 2 3 2 6" xfId="4579"/>
    <cellStyle name="Standaard 10 2 3 2 2 2 3 3" xfId="4580"/>
    <cellStyle name="Standaard 10 2 3 2 2 2 3 3 2" xfId="4581"/>
    <cellStyle name="Standaard 10 2 3 2 2 2 3 3 2 2" xfId="4582"/>
    <cellStyle name="Standaard 10 2 3 2 2 2 3 3 2 2 2" xfId="4583"/>
    <cellStyle name="Standaard 10 2 3 2 2 2 3 3 2 3" xfId="4584"/>
    <cellStyle name="Standaard 10 2 3 2 2 2 3 3 3" xfId="4585"/>
    <cellStyle name="Standaard 10 2 3 2 2 2 3 3 3 2" xfId="4586"/>
    <cellStyle name="Standaard 10 2 3 2 2 2 3 3 4" xfId="4587"/>
    <cellStyle name="Standaard 10 2 3 2 2 2 3 4" xfId="4588"/>
    <cellStyle name="Standaard 10 2 3 2 2 2 3 4 2" xfId="4589"/>
    <cellStyle name="Standaard 10 2 3 2 2 2 3 4 2 2" xfId="4590"/>
    <cellStyle name="Standaard 10 2 3 2 2 2 3 4 3" xfId="4591"/>
    <cellStyle name="Standaard 10 2 3 2 2 2 3 5" xfId="4592"/>
    <cellStyle name="Standaard 10 2 3 2 2 2 3 5 2" xfId="4593"/>
    <cellStyle name="Standaard 10 2 3 2 2 2 3 6" xfId="4594"/>
    <cellStyle name="Standaard 10 2 3 2 2 2 3 7" xfId="4595"/>
    <cellStyle name="Standaard 10 2 3 2 2 2 4" xfId="4596"/>
    <cellStyle name="Standaard 10 2 3 2 2 2 4 2" xfId="4597"/>
    <cellStyle name="Standaard 10 2 3 2 2 2 4 2 2" xfId="4598"/>
    <cellStyle name="Standaard 10 2 3 2 2 2 4 2 2 2" xfId="4599"/>
    <cellStyle name="Standaard 10 2 3 2 2 2 4 2 2 2 2" xfId="4600"/>
    <cellStyle name="Standaard 10 2 3 2 2 2 4 2 2 3" xfId="4601"/>
    <cellStyle name="Standaard 10 2 3 2 2 2 4 2 3" xfId="4602"/>
    <cellStyle name="Standaard 10 2 3 2 2 2 4 2 3 2" xfId="4603"/>
    <cellStyle name="Standaard 10 2 3 2 2 2 4 2 4" xfId="4604"/>
    <cellStyle name="Standaard 10 2 3 2 2 2 4 3" xfId="4605"/>
    <cellStyle name="Standaard 10 2 3 2 2 2 4 3 2" xfId="4606"/>
    <cellStyle name="Standaard 10 2 3 2 2 2 4 3 2 2" xfId="4607"/>
    <cellStyle name="Standaard 10 2 3 2 2 2 4 3 3" xfId="4608"/>
    <cellStyle name="Standaard 10 2 3 2 2 2 4 4" xfId="4609"/>
    <cellStyle name="Standaard 10 2 3 2 2 2 4 4 2" xfId="4610"/>
    <cellStyle name="Standaard 10 2 3 2 2 2 4 5" xfId="4611"/>
    <cellStyle name="Standaard 10 2 3 2 2 2 4 6" xfId="4612"/>
    <cellStyle name="Standaard 10 2 3 2 2 2 5" xfId="4613"/>
    <cellStyle name="Standaard 10 2 3 2 2 2 5 2" xfId="4614"/>
    <cellStyle name="Standaard 10 2 3 2 2 2 5 2 2" xfId="4615"/>
    <cellStyle name="Standaard 10 2 3 2 2 2 5 2 2 2" xfId="4616"/>
    <cellStyle name="Standaard 10 2 3 2 2 2 5 2 3" xfId="4617"/>
    <cellStyle name="Standaard 10 2 3 2 2 2 5 3" xfId="4618"/>
    <cellStyle name="Standaard 10 2 3 2 2 2 5 3 2" xfId="4619"/>
    <cellStyle name="Standaard 10 2 3 2 2 2 5 4" xfId="4620"/>
    <cellStyle name="Standaard 10 2 3 2 2 2 6" xfId="4621"/>
    <cellStyle name="Standaard 10 2 3 2 2 2 6 2" xfId="4622"/>
    <cellStyle name="Standaard 10 2 3 2 2 2 6 2 2" xfId="4623"/>
    <cellStyle name="Standaard 10 2 3 2 2 2 6 3" xfId="4624"/>
    <cellStyle name="Standaard 10 2 3 2 2 2 7" xfId="4625"/>
    <cellStyle name="Standaard 10 2 3 2 2 2 7 2" xfId="4626"/>
    <cellStyle name="Standaard 10 2 3 2 2 2 8" xfId="4627"/>
    <cellStyle name="Standaard 10 2 3 2 2 2 9" xfId="4628"/>
    <cellStyle name="Standaard 10 2 3 2 2 3" xfId="4629"/>
    <cellStyle name="Standaard 10 2 3 2 2 3 2" xfId="4630"/>
    <cellStyle name="Standaard 10 2 3 2 2 3 2 2" xfId="4631"/>
    <cellStyle name="Standaard 10 2 3 2 2 3 2 2 2" xfId="4632"/>
    <cellStyle name="Standaard 10 2 3 2 2 3 2 2 2 2" xfId="4633"/>
    <cellStyle name="Standaard 10 2 3 2 2 3 2 2 2 2 2" xfId="4634"/>
    <cellStyle name="Standaard 10 2 3 2 2 3 2 2 2 2 2 2" xfId="4635"/>
    <cellStyle name="Standaard 10 2 3 2 2 3 2 2 2 2 3" xfId="4636"/>
    <cellStyle name="Standaard 10 2 3 2 2 3 2 2 2 3" xfId="4637"/>
    <cellStyle name="Standaard 10 2 3 2 2 3 2 2 2 3 2" xfId="4638"/>
    <cellStyle name="Standaard 10 2 3 2 2 3 2 2 2 4" xfId="4639"/>
    <cellStyle name="Standaard 10 2 3 2 2 3 2 2 3" xfId="4640"/>
    <cellStyle name="Standaard 10 2 3 2 2 3 2 2 3 2" xfId="4641"/>
    <cellStyle name="Standaard 10 2 3 2 2 3 2 2 3 2 2" xfId="4642"/>
    <cellStyle name="Standaard 10 2 3 2 2 3 2 2 3 3" xfId="4643"/>
    <cellStyle name="Standaard 10 2 3 2 2 3 2 2 4" xfId="4644"/>
    <cellStyle name="Standaard 10 2 3 2 2 3 2 2 4 2" xfId="4645"/>
    <cellStyle name="Standaard 10 2 3 2 2 3 2 2 5" xfId="4646"/>
    <cellStyle name="Standaard 10 2 3 2 2 3 2 2 6" xfId="4647"/>
    <cellStyle name="Standaard 10 2 3 2 2 3 2 3" xfId="4648"/>
    <cellStyle name="Standaard 10 2 3 2 2 3 2 3 2" xfId="4649"/>
    <cellStyle name="Standaard 10 2 3 2 2 3 2 3 2 2" xfId="4650"/>
    <cellStyle name="Standaard 10 2 3 2 2 3 2 3 2 2 2" xfId="4651"/>
    <cellStyle name="Standaard 10 2 3 2 2 3 2 3 2 3" xfId="4652"/>
    <cellStyle name="Standaard 10 2 3 2 2 3 2 3 3" xfId="4653"/>
    <cellStyle name="Standaard 10 2 3 2 2 3 2 3 3 2" xfId="4654"/>
    <cellStyle name="Standaard 10 2 3 2 2 3 2 3 4" xfId="4655"/>
    <cellStyle name="Standaard 10 2 3 2 2 3 2 4" xfId="4656"/>
    <cellStyle name="Standaard 10 2 3 2 2 3 2 4 2" xfId="4657"/>
    <cellStyle name="Standaard 10 2 3 2 2 3 2 4 2 2" xfId="4658"/>
    <cellStyle name="Standaard 10 2 3 2 2 3 2 4 3" xfId="4659"/>
    <cellStyle name="Standaard 10 2 3 2 2 3 2 5" xfId="4660"/>
    <cellStyle name="Standaard 10 2 3 2 2 3 2 5 2" xfId="4661"/>
    <cellStyle name="Standaard 10 2 3 2 2 3 2 6" xfId="4662"/>
    <cellStyle name="Standaard 10 2 3 2 2 3 2 7" xfId="4663"/>
    <cellStyle name="Standaard 10 2 3 2 2 3 3" xfId="4664"/>
    <cellStyle name="Standaard 10 2 3 2 2 3 3 2" xfId="4665"/>
    <cellStyle name="Standaard 10 2 3 2 2 3 3 2 2" xfId="4666"/>
    <cellStyle name="Standaard 10 2 3 2 2 3 3 2 2 2" xfId="4667"/>
    <cellStyle name="Standaard 10 2 3 2 2 3 3 2 2 2 2" xfId="4668"/>
    <cellStyle name="Standaard 10 2 3 2 2 3 3 2 2 3" xfId="4669"/>
    <cellStyle name="Standaard 10 2 3 2 2 3 3 2 3" xfId="4670"/>
    <cellStyle name="Standaard 10 2 3 2 2 3 3 2 3 2" xfId="4671"/>
    <cellStyle name="Standaard 10 2 3 2 2 3 3 2 4" xfId="4672"/>
    <cellStyle name="Standaard 10 2 3 2 2 3 3 3" xfId="4673"/>
    <cellStyle name="Standaard 10 2 3 2 2 3 3 3 2" xfId="4674"/>
    <cellStyle name="Standaard 10 2 3 2 2 3 3 3 2 2" xfId="4675"/>
    <cellStyle name="Standaard 10 2 3 2 2 3 3 3 3" xfId="4676"/>
    <cellStyle name="Standaard 10 2 3 2 2 3 3 4" xfId="4677"/>
    <cellStyle name="Standaard 10 2 3 2 2 3 3 4 2" xfId="4678"/>
    <cellStyle name="Standaard 10 2 3 2 2 3 3 5" xfId="4679"/>
    <cellStyle name="Standaard 10 2 3 2 2 3 3 6" xfId="4680"/>
    <cellStyle name="Standaard 10 2 3 2 2 3 4" xfId="4681"/>
    <cellStyle name="Standaard 10 2 3 2 2 3 4 2" xfId="4682"/>
    <cellStyle name="Standaard 10 2 3 2 2 3 4 2 2" xfId="4683"/>
    <cellStyle name="Standaard 10 2 3 2 2 3 4 2 2 2" xfId="4684"/>
    <cellStyle name="Standaard 10 2 3 2 2 3 4 2 3" xfId="4685"/>
    <cellStyle name="Standaard 10 2 3 2 2 3 4 3" xfId="4686"/>
    <cellStyle name="Standaard 10 2 3 2 2 3 4 3 2" xfId="4687"/>
    <cellStyle name="Standaard 10 2 3 2 2 3 4 4" xfId="4688"/>
    <cellStyle name="Standaard 10 2 3 2 2 3 5" xfId="4689"/>
    <cellStyle name="Standaard 10 2 3 2 2 3 5 2" xfId="4690"/>
    <cellStyle name="Standaard 10 2 3 2 2 3 5 2 2" xfId="4691"/>
    <cellStyle name="Standaard 10 2 3 2 2 3 5 3" xfId="4692"/>
    <cellStyle name="Standaard 10 2 3 2 2 3 6" xfId="4693"/>
    <cellStyle name="Standaard 10 2 3 2 2 3 6 2" xfId="4694"/>
    <cellStyle name="Standaard 10 2 3 2 2 3 7" xfId="4695"/>
    <cellStyle name="Standaard 10 2 3 2 2 3 8" xfId="4696"/>
    <cellStyle name="Standaard 10 2 3 2 2 4" xfId="4697"/>
    <cellStyle name="Standaard 10 2 3 2 2 4 2" xfId="4698"/>
    <cellStyle name="Standaard 10 2 3 2 2 4 2 2" xfId="4699"/>
    <cellStyle name="Standaard 10 2 3 2 2 4 2 2 2" xfId="4700"/>
    <cellStyle name="Standaard 10 2 3 2 2 4 2 2 2 2" xfId="4701"/>
    <cellStyle name="Standaard 10 2 3 2 2 4 2 2 2 2 2" xfId="4702"/>
    <cellStyle name="Standaard 10 2 3 2 2 4 2 2 2 2 2 2" xfId="4703"/>
    <cellStyle name="Standaard 10 2 3 2 2 4 2 2 2 2 3" xfId="4704"/>
    <cellStyle name="Standaard 10 2 3 2 2 4 2 2 2 3" xfId="4705"/>
    <cellStyle name="Standaard 10 2 3 2 2 4 2 2 2 3 2" xfId="4706"/>
    <cellStyle name="Standaard 10 2 3 2 2 4 2 2 2 4" xfId="4707"/>
    <cellStyle name="Standaard 10 2 3 2 2 4 2 2 3" xfId="4708"/>
    <cellStyle name="Standaard 10 2 3 2 2 4 2 2 3 2" xfId="4709"/>
    <cellStyle name="Standaard 10 2 3 2 2 4 2 2 3 2 2" xfId="4710"/>
    <cellStyle name="Standaard 10 2 3 2 2 4 2 2 3 3" xfId="4711"/>
    <cellStyle name="Standaard 10 2 3 2 2 4 2 2 4" xfId="4712"/>
    <cellStyle name="Standaard 10 2 3 2 2 4 2 2 4 2" xfId="4713"/>
    <cellStyle name="Standaard 10 2 3 2 2 4 2 2 5" xfId="4714"/>
    <cellStyle name="Standaard 10 2 3 2 2 4 2 2 6" xfId="4715"/>
    <cellStyle name="Standaard 10 2 3 2 2 4 2 3" xfId="4716"/>
    <cellStyle name="Standaard 10 2 3 2 2 4 2 3 2" xfId="4717"/>
    <cellStyle name="Standaard 10 2 3 2 2 4 2 3 2 2" xfId="4718"/>
    <cellStyle name="Standaard 10 2 3 2 2 4 2 3 2 2 2" xfId="4719"/>
    <cellStyle name="Standaard 10 2 3 2 2 4 2 3 2 3" xfId="4720"/>
    <cellStyle name="Standaard 10 2 3 2 2 4 2 3 3" xfId="4721"/>
    <cellStyle name="Standaard 10 2 3 2 2 4 2 3 3 2" xfId="4722"/>
    <cellStyle name="Standaard 10 2 3 2 2 4 2 3 4" xfId="4723"/>
    <cellStyle name="Standaard 10 2 3 2 2 4 2 4" xfId="4724"/>
    <cellStyle name="Standaard 10 2 3 2 2 4 2 4 2" xfId="4725"/>
    <cellStyle name="Standaard 10 2 3 2 2 4 2 4 2 2" xfId="4726"/>
    <cellStyle name="Standaard 10 2 3 2 2 4 2 4 3" xfId="4727"/>
    <cellStyle name="Standaard 10 2 3 2 2 4 2 5" xfId="4728"/>
    <cellStyle name="Standaard 10 2 3 2 2 4 2 5 2" xfId="4729"/>
    <cellStyle name="Standaard 10 2 3 2 2 4 2 6" xfId="4730"/>
    <cellStyle name="Standaard 10 2 3 2 2 4 2 7" xfId="4731"/>
    <cellStyle name="Standaard 10 2 3 2 2 4 3" xfId="4732"/>
    <cellStyle name="Standaard 10 2 3 2 2 4 3 2" xfId="4733"/>
    <cellStyle name="Standaard 10 2 3 2 2 4 3 2 2" xfId="4734"/>
    <cellStyle name="Standaard 10 2 3 2 2 4 3 2 2 2" xfId="4735"/>
    <cellStyle name="Standaard 10 2 3 2 2 4 3 2 2 2 2" xfId="4736"/>
    <cellStyle name="Standaard 10 2 3 2 2 4 3 2 2 3" xfId="4737"/>
    <cellStyle name="Standaard 10 2 3 2 2 4 3 2 3" xfId="4738"/>
    <cellStyle name="Standaard 10 2 3 2 2 4 3 2 3 2" xfId="4739"/>
    <cellStyle name="Standaard 10 2 3 2 2 4 3 2 4" xfId="4740"/>
    <cellStyle name="Standaard 10 2 3 2 2 4 3 3" xfId="4741"/>
    <cellStyle name="Standaard 10 2 3 2 2 4 3 3 2" xfId="4742"/>
    <cellStyle name="Standaard 10 2 3 2 2 4 3 3 2 2" xfId="4743"/>
    <cellStyle name="Standaard 10 2 3 2 2 4 3 3 3" xfId="4744"/>
    <cellStyle name="Standaard 10 2 3 2 2 4 3 4" xfId="4745"/>
    <cellStyle name="Standaard 10 2 3 2 2 4 3 4 2" xfId="4746"/>
    <cellStyle name="Standaard 10 2 3 2 2 4 3 5" xfId="4747"/>
    <cellStyle name="Standaard 10 2 3 2 2 4 3 6" xfId="4748"/>
    <cellStyle name="Standaard 10 2 3 2 2 4 4" xfId="4749"/>
    <cellStyle name="Standaard 10 2 3 2 2 4 4 2" xfId="4750"/>
    <cellStyle name="Standaard 10 2 3 2 2 4 4 2 2" xfId="4751"/>
    <cellStyle name="Standaard 10 2 3 2 2 4 4 2 2 2" xfId="4752"/>
    <cellStyle name="Standaard 10 2 3 2 2 4 4 2 3" xfId="4753"/>
    <cellStyle name="Standaard 10 2 3 2 2 4 4 3" xfId="4754"/>
    <cellStyle name="Standaard 10 2 3 2 2 4 4 3 2" xfId="4755"/>
    <cellStyle name="Standaard 10 2 3 2 2 4 4 4" xfId="4756"/>
    <cellStyle name="Standaard 10 2 3 2 2 4 5" xfId="4757"/>
    <cellStyle name="Standaard 10 2 3 2 2 4 5 2" xfId="4758"/>
    <cellStyle name="Standaard 10 2 3 2 2 4 5 2 2" xfId="4759"/>
    <cellStyle name="Standaard 10 2 3 2 2 4 5 3" xfId="4760"/>
    <cellStyle name="Standaard 10 2 3 2 2 4 6" xfId="4761"/>
    <cellStyle name="Standaard 10 2 3 2 2 4 6 2" xfId="4762"/>
    <cellStyle name="Standaard 10 2 3 2 2 4 7" xfId="4763"/>
    <cellStyle name="Standaard 10 2 3 2 2 4 8" xfId="4764"/>
    <cellStyle name="Standaard 10 2 3 2 2 5" xfId="4765"/>
    <cellStyle name="Standaard 10 2 3 2 2 5 2" xfId="4766"/>
    <cellStyle name="Standaard 10 2 3 2 2 5 2 2" xfId="4767"/>
    <cellStyle name="Standaard 10 2 3 2 2 5 2 2 2" xfId="4768"/>
    <cellStyle name="Standaard 10 2 3 2 2 5 2 2 2 2" xfId="4769"/>
    <cellStyle name="Standaard 10 2 3 2 2 5 2 2 2 2 2" xfId="4770"/>
    <cellStyle name="Standaard 10 2 3 2 2 5 2 2 2 3" xfId="4771"/>
    <cellStyle name="Standaard 10 2 3 2 2 5 2 2 3" xfId="4772"/>
    <cellStyle name="Standaard 10 2 3 2 2 5 2 2 3 2" xfId="4773"/>
    <cellStyle name="Standaard 10 2 3 2 2 5 2 2 4" xfId="4774"/>
    <cellStyle name="Standaard 10 2 3 2 2 5 2 3" xfId="4775"/>
    <cellStyle name="Standaard 10 2 3 2 2 5 2 3 2" xfId="4776"/>
    <cellStyle name="Standaard 10 2 3 2 2 5 2 3 2 2" xfId="4777"/>
    <cellStyle name="Standaard 10 2 3 2 2 5 2 3 3" xfId="4778"/>
    <cellStyle name="Standaard 10 2 3 2 2 5 2 4" xfId="4779"/>
    <cellStyle name="Standaard 10 2 3 2 2 5 2 4 2" xfId="4780"/>
    <cellStyle name="Standaard 10 2 3 2 2 5 2 5" xfId="4781"/>
    <cellStyle name="Standaard 10 2 3 2 2 5 2 6" xfId="4782"/>
    <cellStyle name="Standaard 10 2 3 2 2 5 3" xfId="4783"/>
    <cellStyle name="Standaard 10 2 3 2 2 5 3 2" xfId="4784"/>
    <cellStyle name="Standaard 10 2 3 2 2 5 3 2 2" xfId="4785"/>
    <cellStyle name="Standaard 10 2 3 2 2 5 3 2 2 2" xfId="4786"/>
    <cellStyle name="Standaard 10 2 3 2 2 5 3 2 3" xfId="4787"/>
    <cellStyle name="Standaard 10 2 3 2 2 5 3 3" xfId="4788"/>
    <cellStyle name="Standaard 10 2 3 2 2 5 3 3 2" xfId="4789"/>
    <cellStyle name="Standaard 10 2 3 2 2 5 3 4" xfId="4790"/>
    <cellStyle name="Standaard 10 2 3 2 2 5 4" xfId="4791"/>
    <cellStyle name="Standaard 10 2 3 2 2 5 4 2" xfId="4792"/>
    <cellStyle name="Standaard 10 2 3 2 2 5 4 2 2" xfId="4793"/>
    <cellStyle name="Standaard 10 2 3 2 2 5 4 3" xfId="4794"/>
    <cellStyle name="Standaard 10 2 3 2 2 5 5" xfId="4795"/>
    <cellStyle name="Standaard 10 2 3 2 2 5 5 2" xfId="4796"/>
    <cellStyle name="Standaard 10 2 3 2 2 5 6" xfId="4797"/>
    <cellStyle name="Standaard 10 2 3 2 2 5 7" xfId="4798"/>
    <cellStyle name="Standaard 10 2 3 2 2 6" xfId="4799"/>
    <cellStyle name="Standaard 10 2 3 2 2 6 2" xfId="4800"/>
    <cellStyle name="Standaard 10 2 3 2 2 6 2 2" xfId="4801"/>
    <cellStyle name="Standaard 10 2 3 2 2 6 2 2 2" xfId="4802"/>
    <cellStyle name="Standaard 10 2 3 2 2 6 2 2 2 2" xfId="4803"/>
    <cellStyle name="Standaard 10 2 3 2 2 6 2 2 3" xfId="4804"/>
    <cellStyle name="Standaard 10 2 3 2 2 6 2 3" xfId="4805"/>
    <cellStyle name="Standaard 10 2 3 2 2 6 2 3 2" xfId="4806"/>
    <cellStyle name="Standaard 10 2 3 2 2 6 2 4" xfId="4807"/>
    <cellStyle name="Standaard 10 2 3 2 2 6 3" xfId="4808"/>
    <cellStyle name="Standaard 10 2 3 2 2 6 3 2" xfId="4809"/>
    <cellStyle name="Standaard 10 2 3 2 2 6 3 2 2" xfId="4810"/>
    <cellStyle name="Standaard 10 2 3 2 2 6 3 3" xfId="4811"/>
    <cellStyle name="Standaard 10 2 3 2 2 6 4" xfId="4812"/>
    <cellStyle name="Standaard 10 2 3 2 2 6 4 2" xfId="4813"/>
    <cellStyle name="Standaard 10 2 3 2 2 6 5" xfId="4814"/>
    <cellStyle name="Standaard 10 2 3 2 2 6 6" xfId="4815"/>
    <cellStyle name="Standaard 10 2 3 2 2 7" xfId="4816"/>
    <cellStyle name="Standaard 10 2 3 2 2 7 2" xfId="4817"/>
    <cellStyle name="Standaard 10 2 3 2 2 7 2 2" xfId="4818"/>
    <cellStyle name="Standaard 10 2 3 2 2 7 2 2 2" xfId="4819"/>
    <cellStyle name="Standaard 10 2 3 2 2 7 2 3" xfId="4820"/>
    <cellStyle name="Standaard 10 2 3 2 2 7 3" xfId="4821"/>
    <cellStyle name="Standaard 10 2 3 2 2 7 3 2" xfId="4822"/>
    <cellStyle name="Standaard 10 2 3 2 2 7 4" xfId="4823"/>
    <cellStyle name="Standaard 10 2 3 2 2 8" xfId="4824"/>
    <cellStyle name="Standaard 10 2 3 2 2 8 2" xfId="4825"/>
    <cellStyle name="Standaard 10 2 3 2 2 8 2 2" xfId="4826"/>
    <cellStyle name="Standaard 10 2 3 2 2 8 3" xfId="4827"/>
    <cellStyle name="Standaard 10 2 3 2 2 9" xfId="4828"/>
    <cellStyle name="Standaard 10 2 3 2 2 9 2" xfId="4829"/>
    <cellStyle name="Standaard 10 2 3 2 3" xfId="4830"/>
    <cellStyle name="Standaard 10 2 3 2 3 2" xfId="4831"/>
    <cellStyle name="Standaard 10 2 3 2 3 2 2" xfId="4832"/>
    <cellStyle name="Standaard 10 2 3 2 3 2 2 2" xfId="4833"/>
    <cellStyle name="Standaard 10 2 3 2 3 2 2 2 2" xfId="4834"/>
    <cellStyle name="Standaard 10 2 3 2 3 2 2 2 2 2" xfId="4835"/>
    <cellStyle name="Standaard 10 2 3 2 3 2 2 2 2 2 2" xfId="4836"/>
    <cellStyle name="Standaard 10 2 3 2 3 2 2 2 2 2 2 2" xfId="4837"/>
    <cellStyle name="Standaard 10 2 3 2 3 2 2 2 2 2 3" xfId="4838"/>
    <cellStyle name="Standaard 10 2 3 2 3 2 2 2 2 3" xfId="4839"/>
    <cellStyle name="Standaard 10 2 3 2 3 2 2 2 2 3 2" xfId="4840"/>
    <cellStyle name="Standaard 10 2 3 2 3 2 2 2 2 4" xfId="4841"/>
    <cellStyle name="Standaard 10 2 3 2 3 2 2 2 3" xfId="4842"/>
    <cellStyle name="Standaard 10 2 3 2 3 2 2 2 3 2" xfId="4843"/>
    <cellStyle name="Standaard 10 2 3 2 3 2 2 2 3 2 2" xfId="4844"/>
    <cellStyle name="Standaard 10 2 3 2 3 2 2 2 3 3" xfId="4845"/>
    <cellStyle name="Standaard 10 2 3 2 3 2 2 2 4" xfId="4846"/>
    <cellStyle name="Standaard 10 2 3 2 3 2 2 2 4 2" xfId="4847"/>
    <cellStyle name="Standaard 10 2 3 2 3 2 2 2 5" xfId="4848"/>
    <cellStyle name="Standaard 10 2 3 2 3 2 2 2 6" xfId="4849"/>
    <cellStyle name="Standaard 10 2 3 2 3 2 2 3" xfId="4850"/>
    <cellStyle name="Standaard 10 2 3 2 3 2 2 3 2" xfId="4851"/>
    <cellStyle name="Standaard 10 2 3 2 3 2 2 3 2 2" xfId="4852"/>
    <cellStyle name="Standaard 10 2 3 2 3 2 2 3 2 2 2" xfId="4853"/>
    <cellStyle name="Standaard 10 2 3 2 3 2 2 3 2 3" xfId="4854"/>
    <cellStyle name="Standaard 10 2 3 2 3 2 2 3 3" xfId="4855"/>
    <cellStyle name="Standaard 10 2 3 2 3 2 2 3 3 2" xfId="4856"/>
    <cellStyle name="Standaard 10 2 3 2 3 2 2 3 4" xfId="4857"/>
    <cellStyle name="Standaard 10 2 3 2 3 2 2 4" xfId="4858"/>
    <cellStyle name="Standaard 10 2 3 2 3 2 2 4 2" xfId="4859"/>
    <cellStyle name="Standaard 10 2 3 2 3 2 2 4 2 2" xfId="4860"/>
    <cellStyle name="Standaard 10 2 3 2 3 2 2 4 3" xfId="4861"/>
    <cellStyle name="Standaard 10 2 3 2 3 2 2 5" xfId="4862"/>
    <cellStyle name="Standaard 10 2 3 2 3 2 2 5 2" xfId="4863"/>
    <cellStyle name="Standaard 10 2 3 2 3 2 2 6" xfId="4864"/>
    <cellStyle name="Standaard 10 2 3 2 3 2 2 7" xfId="4865"/>
    <cellStyle name="Standaard 10 2 3 2 3 2 3" xfId="4866"/>
    <cellStyle name="Standaard 10 2 3 2 3 2 3 2" xfId="4867"/>
    <cellStyle name="Standaard 10 2 3 2 3 2 3 2 2" xfId="4868"/>
    <cellStyle name="Standaard 10 2 3 2 3 2 3 2 2 2" xfId="4869"/>
    <cellStyle name="Standaard 10 2 3 2 3 2 3 2 2 2 2" xfId="4870"/>
    <cellStyle name="Standaard 10 2 3 2 3 2 3 2 2 3" xfId="4871"/>
    <cellStyle name="Standaard 10 2 3 2 3 2 3 2 3" xfId="4872"/>
    <cellStyle name="Standaard 10 2 3 2 3 2 3 2 3 2" xfId="4873"/>
    <cellStyle name="Standaard 10 2 3 2 3 2 3 2 4" xfId="4874"/>
    <cellStyle name="Standaard 10 2 3 2 3 2 3 3" xfId="4875"/>
    <cellStyle name="Standaard 10 2 3 2 3 2 3 3 2" xfId="4876"/>
    <cellStyle name="Standaard 10 2 3 2 3 2 3 3 2 2" xfId="4877"/>
    <cellStyle name="Standaard 10 2 3 2 3 2 3 3 3" xfId="4878"/>
    <cellStyle name="Standaard 10 2 3 2 3 2 3 4" xfId="4879"/>
    <cellStyle name="Standaard 10 2 3 2 3 2 3 4 2" xfId="4880"/>
    <cellStyle name="Standaard 10 2 3 2 3 2 3 5" xfId="4881"/>
    <cellStyle name="Standaard 10 2 3 2 3 2 3 6" xfId="4882"/>
    <cellStyle name="Standaard 10 2 3 2 3 2 4" xfId="4883"/>
    <cellStyle name="Standaard 10 2 3 2 3 2 4 2" xfId="4884"/>
    <cellStyle name="Standaard 10 2 3 2 3 2 4 2 2" xfId="4885"/>
    <cellStyle name="Standaard 10 2 3 2 3 2 4 2 2 2" xfId="4886"/>
    <cellStyle name="Standaard 10 2 3 2 3 2 4 2 3" xfId="4887"/>
    <cellStyle name="Standaard 10 2 3 2 3 2 4 3" xfId="4888"/>
    <cellStyle name="Standaard 10 2 3 2 3 2 4 3 2" xfId="4889"/>
    <cellStyle name="Standaard 10 2 3 2 3 2 4 4" xfId="4890"/>
    <cellStyle name="Standaard 10 2 3 2 3 2 5" xfId="4891"/>
    <cellStyle name="Standaard 10 2 3 2 3 2 5 2" xfId="4892"/>
    <cellStyle name="Standaard 10 2 3 2 3 2 5 2 2" xfId="4893"/>
    <cellStyle name="Standaard 10 2 3 2 3 2 5 3" xfId="4894"/>
    <cellStyle name="Standaard 10 2 3 2 3 2 6" xfId="4895"/>
    <cellStyle name="Standaard 10 2 3 2 3 2 6 2" xfId="4896"/>
    <cellStyle name="Standaard 10 2 3 2 3 2 7" xfId="4897"/>
    <cellStyle name="Standaard 10 2 3 2 3 2 8" xfId="4898"/>
    <cellStyle name="Standaard 10 2 3 2 3 3" xfId="4899"/>
    <cellStyle name="Standaard 10 2 3 2 3 3 2" xfId="4900"/>
    <cellStyle name="Standaard 10 2 3 2 3 3 2 2" xfId="4901"/>
    <cellStyle name="Standaard 10 2 3 2 3 3 2 2 2" xfId="4902"/>
    <cellStyle name="Standaard 10 2 3 2 3 3 2 2 2 2" xfId="4903"/>
    <cellStyle name="Standaard 10 2 3 2 3 3 2 2 2 2 2" xfId="4904"/>
    <cellStyle name="Standaard 10 2 3 2 3 3 2 2 2 3" xfId="4905"/>
    <cellStyle name="Standaard 10 2 3 2 3 3 2 2 3" xfId="4906"/>
    <cellStyle name="Standaard 10 2 3 2 3 3 2 2 3 2" xfId="4907"/>
    <cellStyle name="Standaard 10 2 3 2 3 3 2 2 4" xfId="4908"/>
    <cellStyle name="Standaard 10 2 3 2 3 3 2 3" xfId="4909"/>
    <cellStyle name="Standaard 10 2 3 2 3 3 2 3 2" xfId="4910"/>
    <cellStyle name="Standaard 10 2 3 2 3 3 2 3 2 2" xfId="4911"/>
    <cellStyle name="Standaard 10 2 3 2 3 3 2 3 3" xfId="4912"/>
    <cellStyle name="Standaard 10 2 3 2 3 3 2 4" xfId="4913"/>
    <cellStyle name="Standaard 10 2 3 2 3 3 2 4 2" xfId="4914"/>
    <cellStyle name="Standaard 10 2 3 2 3 3 2 5" xfId="4915"/>
    <cellStyle name="Standaard 10 2 3 2 3 3 2 6" xfId="4916"/>
    <cellStyle name="Standaard 10 2 3 2 3 3 3" xfId="4917"/>
    <cellStyle name="Standaard 10 2 3 2 3 3 3 2" xfId="4918"/>
    <cellStyle name="Standaard 10 2 3 2 3 3 3 2 2" xfId="4919"/>
    <cellStyle name="Standaard 10 2 3 2 3 3 3 2 2 2" xfId="4920"/>
    <cellStyle name="Standaard 10 2 3 2 3 3 3 2 3" xfId="4921"/>
    <cellStyle name="Standaard 10 2 3 2 3 3 3 3" xfId="4922"/>
    <cellStyle name="Standaard 10 2 3 2 3 3 3 3 2" xfId="4923"/>
    <cellStyle name="Standaard 10 2 3 2 3 3 3 4" xfId="4924"/>
    <cellStyle name="Standaard 10 2 3 2 3 3 4" xfId="4925"/>
    <cellStyle name="Standaard 10 2 3 2 3 3 4 2" xfId="4926"/>
    <cellStyle name="Standaard 10 2 3 2 3 3 4 2 2" xfId="4927"/>
    <cellStyle name="Standaard 10 2 3 2 3 3 4 3" xfId="4928"/>
    <cellStyle name="Standaard 10 2 3 2 3 3 5" xfId="4929"/>
    <cellStyle name="Standaard 10 2 3 2 3 3 5 2" xfId="4930"/>
    <cellStyle name="Standaard 10 2 3 2 3 3 6" xfId="4931"/>
    <cellStyle name="Standaard 10 2 3 2 3 3 7" xfId="4932"/>
    <cellStyle name="Standaard 10 2 3 2 3 4" xfId="4933"/>
    <cellStyle name="Standaard 10 2 3 2 3 4 2" xfId="4934"/>
    <cellStyle name="Standaard 10 2 3 2 3 4 2 2" xfId="4935"/>
    <cellStyle name="Standaard 10 2 3 2 3 4 2 2 2" xfId="4936"/>
    <cellStyle name="Standaard 10 2 3 2 3 4 2 2 2 2" xfId="4937"/>
    <cellStyle name="Standaard 10 2 3 2 3 4 2 2 3" xfId="4938"/>
    <cellStyle name="Standaard 10 2 3 2 3 4 2 3" xfId="4939"/>
    <cellStyle name="Standaard 10 2 3 2 3 4 2 3 2" xfId="4940"/>
    <cellStyle name="Standaard 10 2 3 2 3 4 2 4" xfId="4941"/>
    <cellStyle name="Standaard 10 2 3 2 3 4 3" xfId="4942"/>
    <cellStyle name="Standaard 10 2 3 2 3 4 3 2" xfId="4943"/>
    <cellStyle name="Standaard 10 2 3 2 3 4 3 2 2" xfId="4944"/>
    <cellStyle name="Standaard 10 2 3 2 3 4 3 3" xfId="4945"/>
    <cellStyle name="Standaard 10 2 3 2 3 4 4" xfId="4946"/>
    <cellStyle name="Standaard 10 2 3 2 3 4 4 2" xfId="4947"/>
    <cellStyle name="Standaard 10 2 3 2 3 4 5" xfId="4948"/>
    <cellStyle name="Standaard 10 2 3 2 3 4 6" xfId="4949"/>
    <cellStyle name="Standaard 10 2 3 2 3 5" xfId="4950"/>
    <cellStyle name="Standaard 10 2 3 2 3 5 2" xfId="4951"/>
    <cellStyle name="Standaard 10 2 3 2 3 5 2 2" xfId="4952"/>
    <cellStyle name="Standaard 10 2 3 2 3 5 2 2 2" xfId="4953"/>
    <cellStyle name="Standaard 10 2 3 2 3 5 2 3" xfId="4954"/>
    <cellStyle name="Standaard 10 2 3 2 3 5 3" xfId="4955"/>
    <cellStyle name="Standaard 10 2 3 2 3 5 3 2" xfId="4956"/>
    <cellStyle name="Standaard 10 2 3 2 3 5 4" xfId="4957"/>
    <cellStyle name="Standaard 10 2 3 2 3 6" xfId="4958"/>
    <cellStyle name="Standaard 10 2 3 2 3 6 2" xfId="4959"/>
    <cellStyle name="Standaard 10 2 3 2 3 6 2 2" xfId="4960"/>
    <cellStyle name="Standaard 10 2 3 2 3 6 3" xfId="4961"/>
    <cellStyle name="Standaard 10 2 3 2 3 7" xfId="4962"/>
    <cellStyle name="Standaard 10 2 3 2 3 7 2" xfId="4963"/>
    <cellStyle name="Standaard 10 2 3 2 3 8" xfId="4964"/>
    <cellStyle name="Standaard 10 2 3 2 3 9" xfId="4965"/>
    <cellStyle name="Standaard 10 2 3 2 4" xfId="4966"/>
    <cellStyle name="Standaard 10 2 3 2 4 2" xfId="4967"/>
    <cellStyle name="Standaard 10 2 3 2 4 2 2" xfId="4968"/>
    <cellStyle name="Standaard 10 2 3 2 4 2 2 2" xfId="4969"/>
    <cellStyle name="Standaard 10 2 3 2 4 2 2 2 2" xfId="4970"/>
    <cellStyle name="Standaard 10 2 3 2 4 2 2 2 2 2" xfId="4971"/>
    <cellStyle name="Standaard 10 2 3 2 4 2 2 2 2 2 2" xfId="4972"/>
    <cellStyle name="Standaard 10 2 3 2 4 2 2 2 2 3" xfId="4973"/>
    <cellStyle name="Standaard 10 2 3 2 4 2 2 2 3" xfId="4974"/>
    <cellStyle name="Standaard 10 2 3 2 4 2 2 2 3 2" xfId="4975"/>
    <cellStyle name="Standaard 10 2 3 2 4 2 2 2 4" xfId="4976"/>
    <cellStyle name="Standaard 10 2 3 2 4 2 2 3" xfId="4977"/>
    <cellStyle name="Standaard 10 2 3 2 4 2 2 3 2" xfId="4978"/>
    <cellStyle name="Standaard 10 2 3 2 4 2 2 3 2 2" xfId="4979"/>
    <cellStyle name="Standaard 10 2 3 2 4 2 2 3 3" xfId="4980"/>
    <cellStyle name="Standaard 10 2 3 2 4 2 2 4" xfId="4981"/>
    <cellStyle name="Standaard 10 2 3 2 4 2 2 4 2" xfId="4982"/>
    <cellStyle name="Standaard 10 2 3 2 4 2 2 5" xfId="4983"/>
    <cellStyle name="Standaard 10 2 3 2 4 2 2 6" xfId="4984"/>
    <cellStyle name="Standaard 10 2 3 2 4 2 3" xfId="4985"/>
    <cellStyle name="Standaard 10 2 3 2 4 2 3 2" xfId="4986"/>
    <cellStyle name="Standaard 10 2 3 2 4 2 3 2 2" xfId="4987"/>
    <cellStyle name="Standaard 10 2 3 2 4 2 3 2 2 2" xfId="4988"/>
    <cellStyle name="Standaard 10 2 3 2 4 2 3 2 3" xfId="4989"/>
    <cellStyle name="Standaard 10 2 3 2 4 2 3 3" xfId="4990"/>
    <cellStyle name="Standaard 10 2 3 2 4 2 3 3 2" xfId="4991"/>
    <cellStyle name="Standaard 10 2 3 2 4 2 3 4" xfId="4992"/>
    <cellStyle name="Standaard 10 2 3 2 4 2 4" xfId="4993"/>
    <cellStyle name="Standaard 10 2 3 2 4 2 4 2" xfId="4994"/>
    <cellStyle name="Standaard 10 2 3 2 4 2 4 2 2" xfId="4995"/>
    <cellStyle name="Standaard 10 2 3 2 4 2 4 3" xfId="4996"/>
    <cellStyle name="Standaard 10 2 3 2 4 2 5" xfId="4997"/>
    <cellStyle name="Standaard 10 2 3 2 4 2 5 2" xfId="4998"/>
    <cellStyle name="Standaard 10 2 3 2 4 2 6" xfId="4999"/>
    <cellStyle name="Standaard 10 2 3 2 4 2 7" xfId="5000"/>
    <cellStyle name="Standaard 10 2 3 2 4 3" xfId="5001"/>
    <cellStyle name="Standaard 10 2 3 2 4 3 2" xfId="5002"/>
    <cellStyle name="Standaard 10 2 3 2 4 3 2 2" xfId="5003"/>
    <cellStyle name="Standaard 10 2 3 2 4 3 2 2 2" xfId="5004"/>
    <cellStyle name="Standaard 10 2 3 2 4 3 2 2 2 2" xfId="5005"/>
    <cellStyle name="Standaard 10 2 3 2 4 3 2 2 3" xfId="5006"/>
    <cellStyle name="Standaard 10 2 3 2 4 3 2 3" xfId="5007"/>
    <cellStyle name="Standaard 10 2 3 2 4 3 2 3 2" xfId="5008"/>
    <cellStyle name="Standaard 10 2 3 2 4 3 2 4" xfId="5009"/>
    <cellStyle name="Standaard 10 2 3 2 4 3 3" xfId="5010"/>
    <cellStyle name="Standaard 10 2 3 2 4 3 3 2" xfId="5011"/>
    <cellStyle name="Standaard 10 2 3 2 4 3 3 2 2" xfId="5012"/>
    <cellStyle name="Standaard 10 2 3 2 4 3 3 3" xfId="5013"/>
    <cellStyle name="Standaard 10 2 3 2 4 3 4" xfId="5014"/>
    <cellStyle name="Standaard 10 2 3 2 4 3 4 2" xfId="5015"/>
    <cellStyle name="Standaard 10 2 3 2 4 3 5" xfId="5016"/>
    <cellStyle name="Standaard 10 2 3 2 4 3 6" xfId="5017"/>
    <cellStyle name="Standaard 10 2 3 2 4 4" xfId="5018"/>
    <cellStyle name="Standaard 10 2 3 2 4 4 2" xfId="5019"/>
    <cellStyle name="Standaard 10 2 3 2 4 4 2 2" xfId="5020"/>
    <cellStyle name="Standaard 10 2 3 2 4 4 2 2 2" xfId="5021"/>
    <cellStyle name="Standaard 10 2 3 2 4 4 2 3" xfId="5022"/>
    <cellStyle name="Standaard 10 2 3 2 4 4 3" xfId="5023"/>
    <cellStyle name="Standaard 10 2 3 2 4 4 3 2" xfId="5024"/>
    <cellStyle name="Standaard 10 2 3 2 4 4 4" xfId="5025"/>
    <cellStyle name="Standaard 10 2 3 2 4 5" xfId="5026"/>
    <cellStyle name="Standaard 10 2 3 2 4 5 2" xfId="5027"/>
    <cellStyle name="Standaard 10 2 3 2 4 5 2 2" xfId="5028"/>
    <cellStyle name="Standaard 10 2 3 2 4 5 3" xfId="5029"/>
    <cellStyle name="Standaard 10 2 3 2 4 6" xfId="5030"/>
    <cellStyle name="Standaard 10 2 3 2 4 6 2" xfId="5031"/>
    <cellStyle name="Standaard 10 2 3 2 4 7" xfId="5032"/>
    <cellStyle name="Standaard 10 2 3 2 4 8" xfId="5033"/>
    <cellStyle name="Standaard 10 2 3 2 5" xfId="5034"/>
    <cellStyle name="Standaard 10 2 3 2 5 2" xfId="5035"/>
    <cellStyle name="Standaard 10 2 3 2 5 2 2" xfId="5036"/>
    <cellStyle name="Standaard 10 2 3 2 5 2 2 2" xfId="5037"/>
    <cellStyle name="Standaard 10 2 3 2 5 2 2 2 2" xfId="5038"/>
    <cellStyle name="Standaard 10 2 3 2 5 2 2 2 2 2" xfId="5039"/>
    <cellStyle name="Standaard 10 2 3 2 5 2 2 2 2 2 2" xfId="5040"/>
    <cellStyle name="Standaard 10 2 3 2 5 2 2 2 2 3" xfId="5041"/>
    <cellStyle name="Standaard 10 2 3 2 5 2 2 2 3" xfId="5042"/>
    <cellStyle name="Standaard 10 2 3 2 5 2 2 2 3 2" xfId="5043"/>
    <cellStyle name="Standaard 10 2 3 2 5 2 2 2 4" xfId="5044"/>
    <cellStyle name="Standaard 10 2 3 2 5 2 2 3" xfId="5045"/>
    <cellStyle name="Standaard 10 2 3 2 5 2 2 3 2" xfId="5046"/>
    <cellStyle name="Standaard 10 2 3 2 5 2 2 3 2 2" xfId="5047"/>
    <cellStyle name="Standaard 10 2 3 2 5 2 2 3 3" xfId="5048"/>
    <cellStyle name="Standaard 10 2 3 2 5 2 2 4" xfId="5049"/>
    <cellStyle name="Standaard 10 2 3 2 5 2 2 4 2" xfId="5050"/>
    <cellStyle name="Standaard 10 2 3 2 5 2 2 5" xfId="5051"/>
    <cellStyle name="Standaard 10 2 3 2 5 2 2 6" xfId="5052"/>
    <cellStyle name="Standaard 10 2 3 2 5 2 3" xfId="5053"/>
    <cellStyle name="Standaard 10 2 3 2 5 2 3 2" xfId="5054"/>
    <cellStyle name="Standaard 10 2 3 2 5 2 3 2 2" xfId="5055"/>
    <cellStyle name="Standaard 10 2 3 2 5 2 3 2 2 2" xfId="5056"/>
    <cellStyle name="Standaard 10 2 3 2 5 2 3 2 3" xfId="5057"/>
    <cellStyle name="Standaard 10 2 3 2 5 2 3 3" xfId="5058"/>
    <cellStyle name="Standaard 10 2 3 2 5 2 3 3 2" xfId="5059"/>
    <cellStyle name="Standaard 10 2 3 2 5 2 3 4" xfId="5060"/>
    <cellStyle name="Standaard 10 2 3 2 5 2 4" xfId="5061"/>
    <cellStyle name="Standaard 10 2 3 2 5 2 4 2" xfId="5062"/>
    <cellStyle name="Standaard 10 2 3 2 5 2 4 2 2" xfId="5063"/>
    <cellStyle name="Standaard 10 2 3 2 5 2 4 3" xfId="5064"/>
    <cellStyle name="Standaard 10 2 3 2 5 2 5" xfId="5065"/>
    <cellStyle name="Standaard 10 2 3 2 5 2 5 2" xfId="5066"/>
    <cellStyle name="Standaard 10 2 3 2 5 2 6" xfId="5067"/>
    <cellStyle name="Standaard 10 2 3 2 5 2 7" xfId="5068"/>
    <cellStyle name="Standaard 10 2 3 2 5 3" xfId="5069"/>
    <cellStyle name="Standaard 10 2 3 2 5 3 2" xfId="5070"/>
    <cellStyle name="Standaard 10 2 3 2 5 3 2 2" xfId="5071"/>
    <cellStyle name="Standaard 10 2 3 2 5 3 2 2 2" xfId="5072"/>
    <cellStyle name="Standaard 10 2 3 2 5 3 2 2 2 2" xfId="5073"/>
    <cellStyle name="Standaard 10 2 3 2 5 3 2 2 3" xfId="5074"/>
    <cellStyle name="Standaard 10 2 3 2 5 3 2 3" xfId="5075"/>
    <cellStyle name="Standaard 10 2 3 2 5 3 2 3 2" xfId="5076"/>
    <cellStyle name="Standaard 10 2 3 2 5 3 2 4" xfId="5077"/>
    <cellStyle name="Standaard 10 2 3 2 5 3 3" xfId="5078"/>
    <cellStyle name="Standaard 10 2 3 2 5 3 3 2" xfId="5079"/>
    <cellStyle name="Standaard 10 2 3 2 5 3 3 2 2" xfId="5080"/>
    <cellStyle name="Standaard 10 2 3 2 5 3 3 3" xfId="5081"/>
    <cellStyle name="Standaard 10 2 3 2 5 3 4" xfId="5082"/>
    <cellStyle name="Standaard 10 2 3 2 5 3 4 2" xfId="5083"/>
    <cellStyle name="Standaard 10 2 3 2 5 3 5" xfId="5084"/>
    <cellStyle name="Standaard 10 2 3 2 5 3 6" xfId="5085"/>
    <cellStyle name="Standaard 10 2 3 2 5 4" xfId="5086"/>
    <cellStyle name="Standaard 10 2 3 2 5 4 2" xfId="5087"/>
    <cellStyle name="Standaard 10 2 3 2 5 4 2 2" xfId="5088"/>
    <cellStyle name="Standaard 10 2 3 2 5 4 2 2 2" xfId="5089"/>
    <cellStyle name="Standaard 10 2 3 2 5 4 2 3" xfId="5090"/>
    <cellStyle name="Standaard 10 2 3 2 5 4 3" xfId="5091"/>
    <cellStyle name="Standaard 10 2 3 2 5 4 3 2" xfId="5092"/>
    <cellStyle name="Standaard 10 2 3 2 5 4 4" xfId="5093"/>
    <cellStyle name="Standaard 10 2 3 2 5 5" xfId="5094"/>
    <cellStyle name="Standaard 10 2 3 2 5 5 2" xfId="5095"/>
    <cellStyle name="Standaard 10 2 3 2 5 5 2 2" xfId="5096"/>
    <cellStyle name="Standaard 10 2 3 2 5 5 3" xfId="5097"/>
    <cellStyle name="Standaard 10 2 3 2 5 6" xfId="5098"/>
    <cellStyle name="Standaard 10 2 3 2 5 6 2" xfId="5099"/>
    <cellStyle name="Standaard 10 2 3 2 5 7" xfId="5100"/>
    <cellStyle name="Standaard 10 2 3 2 5 8" xfId="5101"/>
    <cellStyle name="Standaard 10 2 3 2 6" xfId="5102"/>
    <cellStyle name="Standaard 10 2 3 2 6 2" xfId="5103"/>
    <cellStyle name="Standaard 10 2 3 2 6 2 2" xfId="5104"/>
    <cellStyle name="Standaard 10 2 3 2 6 2 2 2" xfId="5105"/>
    <cellStyle name="Standaard 10 2 3 2 6 2 2 2 2" xfId="5106"/>
    <cellStyle name="Standaard 10 2 3 2 6 2 2 2 2 2" xfId="5107"/>
    <cellStyle name="Standaard 10 2 3 2 6 2 2 2 3" xfId="5108"/>
    <cellStyle name="Standaard 10 2 3 2 6 2 2 3" xfId="5109"/>
    <cellStyle name="Standaard 10 2 3 2 6 2 2 3 2" xfId="5110"/>
    <cellStyle name="Standaard 10 2 3 2 6 2 2 4" xfId="5111"/>
    <cellStyle name="Standaard 10 2 3 2 6 2 3" xfId="5112"/>
    <cellStyle name="Standaard 10 2 3 2 6 2 3 2" xfId="5113"/>
    <cellStyle name="Standaard 10 2 3 2 6 2 3 2 2" xfId="5114"/>
    <cellStyle name="Standaard 10 2 3 2 6 2 3 3" xfId="5115"/>
    <cellStyle name="Standaard 10 2 3 2 6 2 4" xfId="5116"/>
    <cellStyle name="Standaard 10 2 3 2 6 2 4 2" xfId="5117"/>
    <cellStyle name="Standaard 10 2 3 2 6 2 5" xfId="5118"/>
    <cellStyle name="Standaard 10 2 3 2 6 2 6" xfId="5119"/>
    <cellStyle name="Standaard 10 2 3 2 6 3" xfId="5120"/>
    <cellStyle name="Standaard 10 2 3 2 6 3 2" xfId="5121"/>
    <cellStyle name="Standaard 10 2 3 2 6 3 2 2" xfId="5122"/>
    <cellStyle name="Standaard 10 2 3 2 6 3 2 2 2" xfId="5123"/>
    <cellStyle name="Standaard 10 2 3 2 6 3 2 3" xfId="5124"/>
    <cellStyle name="Standaard 10 2 3 2 6 3 3" xfId="5125"/>
    <cellStyle name="Standaard 10 2 3 2 6 3 3 2" xfId="5126"/>
    <cellStyle name="Standaard 10 2 3 2 6 3 4" xfId="5127"/>
    <cellStyle name="Standaard 10 2 3 2 6 4" xfId="5128"/>
    <cellStyle name="Standaard 10 2 3 2 6 4 2" xfId="5129"/>
    <cellStyle name="Standaard 10 2 3 2 6 4 2 2" xfId="5130"/>
    <cellStyle name="Standaard 10 2 3 2 6 4 3" xfId="5131"/>
    <cellStyle name="Standaard 10 2 3 2 6 5" xfId="5132"/>
    <cellStyle name="Standaard 10 2 3 2 6 5 2" xfId="5133"/>
    <cellStyle name="Standaard 10 2 3 2 6 6" xfId="5134"/>
    <cellStyle name="Standaard 10 2 3 2 6 7" xfId="5135"/>
    <cellStyle name="Standaard 10 2 3 2 7" xfId="5136"/>
    <cellStyle name="Standaard 10 2 3 2 7 2" xfId="5137"/>
    <cellStyle name="Standaard 10 2 3 2 7 2 2" xfId="5138"/>
    <cellStyle name="Standaard 10 2 3 2 7 2 2 2" xfId="5139"/>
    <cellStyle name="Standaard 10 2 3 2 7 2 2 2 2" xfId="5140"/>
    <cellStyle name="Standaard 10 2 3 2 7 2 2 3" xfId="5141"/>
    <cellStyle name="Standaard 10 2 3 2 7 2 3" xfId="5142"/>
    <cellStyle name="Standaard 10 2 3 2 7 2 3 2" xfId="5143"/>
    <cellStyle name="Standaard 10 2 3 2 7 2 4" xfId="5144"/>
    <cellStyle name="Standaard 10 2 3 2 7 3" xfId="5145"/>
    <cellStyle name="Standaard 10 2 3 2 7 3 2" xfId="5146"/>
    <cellStyle name="Standaard 10 2 3 2 7 3 2 2" xfId="5147"/>
    <cellStyle name="Standaard 10 2 3 2 7 3 3" xfId="5148"/>
    <cellStyle name="Standaard 10 2 3 2 7 4" xfId="5149"/>
    <cellStyle name="Standaard 10 2 3 2 7 4 2" xfId="5150"/>
    <cellStyle name="Standaard 10 2 3 2 7 5" xfId="5151"/>
    <cellStyle name="Standaard 10 2 3 2 7 6" xfId="5152"/>
    <cellStyle name="Standaard 10 2 3 2 8" xfId="5153"/>
    <cellStyle name="Standaard 10 2 3 2 8 2" xfId="5154"/>
    <cellStyle name="Standaard 10 2 3 2 8 2 2" xfId="5155"/>
    <cellStyle name="Standaard 10 2 3 2 8 2 2 2" xfId="5156"/>
    <cellStyle name="Standaard 10 2 3 2 8 2 3" xfId="5157"/>
    <cellStyle name="Standaard 10 2 3 2 8 3" xfId="5158"/>
    <cellStyle name="Standaard 10 2 3 2 8 3 2" xfId="5159"/>
    <cellStyle name="Standaard 10 2 3 2 8 4" xfId="5160"/>
    <cellStyle name="Standaard 10 2 3 2 9" xfId="5161"/>
    <cellStyle name="Standaard 10 2 3 2 9 2" xfId="5162"/>
    <cellStyle name="Standaard 10 2 3 2 9 2 2" xfId="5163"/>
    <cellStyle name="Standaard 10 2 3 2 9 3" xfId="5164"/>
    <cellStyle name="Standaard 10 2 3 3" xfId="5165"/>
    <cellStyle name="Standaard 10 2 3 3 10" xfId="5166"/>
    <cellStyle name="Standaard 10 2 3 3 11" xfId="5167"/>
    <cellStyle name="Standaard 10 2 3 3 2" xfId="5168"/>
    <cellStyle name="Standaard 10 2 3 3 2 2" xfId="5169"/>
    <cellStyle name="Standaard 10 2 3 3 2 2 2" xfId="5170"/>
    <cellStyle name="Standaard 10 2 3 3 2 2 2 2" xfId="5171"/>
    <cellStyle name="Standaard 10 2 3 3 2 2 2 2 2" xfId="5172"/>
    <cellStyle name="Standaard 10 2 3 3 2 2 2 2 2 2" xfId="5173"/>
    <cellStyle name="Standaard 10 2 3 3 2 2 2 2 2 2 2" xfId="5174"/>
    <cellStyle name="Standaard 10 2 3 3 2 2 2 2 2 2 2 2" xfId="5175"/>
    <cellStyle name="Standaard 10 2 3 3 2 2 2 2 2 2 3" xfId="5176"/>
    <cellStyle name="Standaard 10 2 3 3 2 2 2 2 2 3" xfId="5177"/>
    <cellStyle name="Standaard 10 2 3 3 2 2 2 2 2 3 2" xfId="5178"/>
    <cellStyle name="Standaard 10 2 3 3 2 2 2 2 2 4" xfId="5179"/>
    <cellStyle name="Standaard 10 2 3 3 2 2 2 2 3" xfId="5180"/>
    <cellStyle name="Standaard 10 2 3 3 2 2 2 2 3 2" xfId="5181"/>
    <cellStyle name="Standaard 10 2 3 3 2 2 2 2 3 2 2" xfId="5182"/>
    <cellStyle name="Standaard 10 2 3 3 2 2 2 2 3 3" xfId="5183"/>
    <cellStyle name="Standaard 10 2 3 3 2 2 2 2 4" xfId="5184"/>
    <cellStyle name="Standaard 10 2 3 3 2 2 2 2 4 2" xfId="5185"/>
    <cellStyle name="Standaard 10 2 3 3 2 2 2 2 5" xfId="5186"/>
    <cellStyle name="Standaard 10 2 3 3 2 2 2 2 6" xfId="5187"/>
    <cellStyle name="Standaard 10 2 3 3 2 2 2 3" xfId="5188"/>
    <cellStyle name="Standaard 10 2 3 3 2 2 2 3 2" xfId="5189"/>
    <cellStyle name="Standaard 10 2 3 3 2 2 2 3 2 2" xfId="5190"/>
    <cellStyle name="Standaard 10 2 3 3 2 2 2 3 2 2 2" xfId="5191"/>
    <cellStyle name="Standaard 10 2 3 3 2 2 2 3 2 3" xfId="5192"/>
    <cellStyle name="Standaard 10 2 3 3 2 2 2 3 3" xfId="5193"/>
    <cellStyle name="Standaard 10 2 3 3 2 2 2 3 3 2" xfId="5194"/>
    <cellStyle name="Standaard 10 2 3 3 2 2 2 3 4" xfId="5195"/>
    <cellStyle name="Standaard 10 2 3 3 2 2 2 4" xfId="5196"/>
    <cellStyle name="Standaard 10 2 3 3 2 2 2 4 2" xfId="5197"/>
    <cellStyle name="Standaard 10 2 3 3 2 2 2 4 2 2" xfId="5198"/>
    <cellStyle name="Standaard 10 2 3 3 2 2 2 4 3" xfId="5199"/>
    <cellStyle name="Standaard 10 2 3 3 2 2 2 5" xfId="5200"/>
    <cellStyle name="Standaard 10 2 3 3 2 2 2 5 2" xfId="5201"/>
    <cellStyle name="Standaard 10 2 3 3 2 2 2 6" xfId="5202"/>
    <cellStyle name="Standaard 10 2 3 3 2 2 2 7" xfId="5203"/>
    <cellStyle name="Standaard 10 2 3 3 2 2 3" xfId="5204"/>
    <cellStyle name="Standaard 10 2 3 3 2 2 3 2" xfId="5205"/>
    <cellStyle name="Standaard 10 2 3 3 2 2 3 2 2" xfId="5206"/>
    <cellStyle name="Standaard 10 2 3 3 2 2 3 2 2 2" xfId="5207"/>
    <cellStyle name="Standaard 10 2 3 3 2 2 3 2 2 2 2" xfId="5208"/>
    <cellStyle name="Standaard 10 2 3 3 2 2 3 2 2 3" xfId="5209"/>
    <cellStyle name="Standaard 10 2 3 3 2 2 3 2 3" xfId="5210"/>
    <cellStyle name="Standaard 10 2 3 3 2 2 3 2 3 2" xfId="5211"/>
    <cellStyle name="Standaard 10 2 3 3 2 2 3 2 4" xfId="5212"/>
    <cellStyle name="Standaard 10 2 3 3 2 2 3 3" xfId="5213"/>
    <cellStyle name="Standaard 10 2 3 3 2 2 3 3 2" xfId="5214"/>
    <cellStyle name="Standaard 10 2 3 3 2 2 3 3 2 2" xfId="5215"/>
    <cellStyle name="Standaard 10 2 3 3 2 2 3 3 3" xfId="5216"/>
    <cellStyle name="Standaard 10 2 3 3 2 2 3 4" xfId="5217"/>
    <cellStyle name="Standaard 10 2 3 3 2 2 3 4 2" xfId="5218"/>
    <cellStyle name="Standaard 10 2 3 3 2 2 3 5" xfId="5219"/>
    <cellStyle name="Standaard 10 2 3 3 2 2 3 6" xfId="5220"/>
    <cellStyle name="Standaard 10 2 3 3 2 2 4" xfId="5221"/>
    <cellStyle name="Standaard 10 2 3 3 2 2 4 2" xfId="5222"/>
    <cellStyle name="Standaard 10 2 3 3 2 2 4 2 2" xfId="5223"/>
    <cellStyle name="Standaard 10 2 3 3 2 2 4 2 2 2" xfId="5224"/>
    <cellStyle name="Standaard 10 2 3 3 2 2 4 2 3" xfId="5225"/>
    <cellStyle name="Standaard 10 2 3 3 2 2 4 3" xfId="5226"/>
    <cellStyle name="Standaard 10 2 3 3 2 2 4 3 2" xfId="5227"/>
    <cellStyle name="Standaard 10 2 3 3 2 2 4 4" xfId="5228"/>
    <cellStyle name="Standaard 10 2 3 3 2 2 5" xfId="5229"/>
    <cellStyle name="Standaard 10 2 3 3 2 2 5 2" xfId="5230"/>
    <cellStyle name="Standaard 10 2 3 3 2 2 5 2 2" xfId="5231"/>
    <cellStyle name="Standaard 10 2 3 3 2 2 5 3" xfId="5232"/>
    <cellStyle name="Standaard 10 2 3 3 2 2 6" xfId="5233"/>
    <cellStyle name="Standaard 10 2 3 3 2 2 6 2" xfId="5234"/>
    <cellStyle name="Standaard 10 2 3 3 2 2 7" xfId="5235"/>
    <cellStyle name="Standaard 10 2 3 3 2 2 8" xfId="5236"/>
    <cellStyle name="Standaard 10 2 3 3 2 3" xfId="5237"/>
    <cellStyle name="Standaard 10 2 3 3 2 3 2" xfId="5238"/>
    <cellStyle name="Standaard 10 2 3 3 2 3 2 2" xfId="5239"/>
    <cellStyle name="Standaard 10 2 3 3 2 3 2 2 2" xfId="5240"/>
    <cellStyle name="Standaard 10 2 3 3 2 3 2 2 2 2" xfId="5241"/>
    <cellStyle name="Standaard 10 2 3 3 2 3 2 2 2 2 2" xfId="5242"/>
    <cellStyle name="Standaard 10 2 3 3 2 3 2 2 2 3" xfId="5243"/>
    <cellStyle name="Standaard 10 2 3 3 2 3 2 2 3" xfId="5244"/>
    <cellStyle name="Standaard 10 2 3 3 2 3 2 2 3 2" xfId="5245"/>
    <cellStyle name="Standaard 10 2 3 3 2 3 2 2 4" xfId="5246"/>
    <cellStyle name="Standaard 10 2 3 3 2 3 2 3" xfId="5247"/>
    <cellStyle name="Standaard 10 2 3 3 2 3 2 3 2" xfId="5248"/>
    <cellStyle name="Standaard 10 2 3 3 2 3 2 3 2 2" xfId="5249"/>
    <cellStyle name="Standaard 10 2 3 3 2 3 2 3 3" xfId="5250"/>
    <cellStyle name="Standaard 10 2 3 3 2 3 2 4" xfId="5251"/>
    <cellStyle name="Standaard 10 2 3 3 2 3 2 4 2" xfId="5252"/>
    <cellStyle name="Standaard 10 2 3 3 2 3 2 5" xfId="5253"/>
    <cellStyle name="Standaard 10 2 3 3 2 3 2 6" xfId="5254"/>
    <cellStyle name="Standaard 10 2 3 3 2 3 3" xfId="5255"/>
    <cellStyle name="Standaard 10 2 3 3 2 3 3 2" xfId="5256"/>
    <cellStyle name="Standaard 10 2 3 3 2 3 3 2 2" xfId="5257"/>
    <cellStyle name="Standaard 10 2 3 3 2 3 3 2 2 2" xfId="5258"/>
    <cellStyle name="Standaard 10 2 3 3 2 3 3 2 3" xfId="5259"/>
    <cellStyle name="Standaard 10 2 3 3 2 3 3 3" xfId="5260"/>
    <cellStyle name="Standaard 10 2 3 3 2 3 3 3 2" xfId="5261"/>
    <cellStyle name="Standaard 10 2 3 3 2 3 3 4" xfId="5262"/>
    <cellStyle name="Standaard 10 2 3 3 2 3 4" xfId="5263"/>
    <cellStyle name="Standaard 10 2 3 3 2 3 4 2" xfId="5264"/>
    <cellStyle name="Standaard 10 2 3 3 2 3 4 2 2" xfId="5265"/>
    <cellStyle name="Standaard 10 2 3 3 2 3 4 3" xfId="5266"/>
    <cellStyle name="Standaard 10 2 3 3 2 3 5" xfId="5267"/>
    <cellStyle name="Standaard 10 2 3 3 2 3 5 2" xfId="5268"/>
    <cellStyle name="Standaard 10 2 3 3 2 3 6" xfId="5269"/>
    <cellStyle name="Standaard 10 2 3 3 2 3 7" xfId="5270"/>
    <cellStyle name="Standaard 10 2 3 3 2 4" xfId="5271"/>
    <cellStyle name="Standaard 10 2 3 3 2 4 2" xfId="5272"/>
    <cellStyle name="Standaard 10 2 3 3 2 4 2 2" xfId="5273"/>
    <cellStyle name="Standaard 10 2 3 3 2 4 2 2 2" xfId="5274"/>
    <cellStyle name="Standaard 10 2 3 3 2 4 2 2 2 2" xfId="5275"/>
    <cellStyle name="Standaard 10 2 3 3 2 4 2 2 3" xfId="5276"/>
    <cellStyle name="Standaard 10 2 3 3 2 4 2 3" xfId="5277"/>
    <cellStyle name="Standaard 10 2 3 3 2 4 2 3 2" xfId="5278"/>
    <cellStyle name="Standaard 10 2 3 3 2 4 2 4" xfId="5279"/>
    <cellStyle name="Standaard 10 2 3 3 2 4 3" xfId="5280"/>
    <cellStyle name="Standaard 10 2 3 3 2 4 3 2" xfId="5281"/>
    <cellStyle name="Standaard 10 2 3 3 2 4 3 2 2" xfId="5282"/>
    <cellStyle name="Standaard 10 2 3 3 2 4 3 3" xfId="5283"/>
    <cellStyle name="Standaard 10 2 3 3 2 4 4" xfId="5284"/>
    <cellStyle name="Standaard 10 2 3 3 2 4 4 2" xfId="5285"/>
    <cellStyle name="Standaard 10 2 3 3 2 4 5" xfId="5286"/>
    <cellStyle name="Standaard 10 2 3 3 2 4 6" xfId="5287"/>
    <cellStyle name="Standaard 10 2 3 3 2 5" xfId="5288"/>
    <cellStyle name="Standaard 10 2 3 3 2 5 2" xfId="5289"/>
    <cellStyle name="Standaard 10 2 3 3 2 5 2 2" xfId="5290"/>
    <cellStyle name="Standaard 10 2 3 3 2 5 2 2 2" xfId="5291"/>
    <cellStyle name="Standaard 10 2 3 3 2 5 2 3" xfId="5292"/>
    <cellStyle name="Standaard 10 2 3 3 2 5 3" xfId="5293"/>
    <cellStyle name="Standaard 10 2 3 3 2 5 3 2" xfId="5294"/>
    <cellStyle name="Standaard 10 2 3 3 2 5 4" xfId="5295"/>
    <cellStyle name="Standaard 10 2 3 3 2 6" xfId="5296"/>
    <cellStyle name="Standaard 10 2 3 3 2 6 2" xfId="5297"/>
    <cellStyle name="Standaard 10 2 3 3 2 6 2 2" xfId="5298"/>
    <cellStyle name="Standaard 10 2 3 3 2 6 3" xfId="5299"/>
    <cellStyle name="Standaard 10 2 3 3 2 7" xfId="5300"/>
    <cellStyle name="Standaard 10 2 3 3 2 7 2" xfId="5301"/>
    <cellStyle name="Standaard 10 2 3 3 2 8" xfId="5302"/>
    <cellStyle name="Standaard 10 2 3 3 2 9" xfId="5303"/>
    <cellStyle name="Standaard 10 2 3 3 3" xfId="5304"/>
    <cellStyle name="Standaard 10 2 3 3 3 2" xfId="5305"/>
    <cellStyle name="Standaard 10 2 3 3 3 2 2" xfId="5306"/>
    <cellStyle name="Standaard 10 2 3 3 3 2 2 2" xfId="5307"/>
    <cellStyle name="Standaard 10 2 3 3 3 2 2 2 2" xfId="5308"/>
    <cellStyle name="Standaard 10 2 3 3 3 2 2 2 2 2" xfId="5309"/>
    <cellStyle name="Standaard 10 2 3 3 3 2 2 2 2 2 2" xfId="5310"/>
    <cellStyle name="Standaard 10 2 3 3 3 2 2 2 2 3" xfId="5311"/>
    <cellStyle name="Standaard 10 2 3 3 3 2 2 2 3" xfId="5312"/>
    <cellStyle name="Standaard 10 2 3 3 3 2 2 2 3 2" xfId="5313"/>
    <cellStyle name="Standaard 10 2 3 3 3 2 2 2 4" xfId="5314"/>
    <cellStyle name="Standaard 10 2 3 3 3 2 2 3" xfId="5315"/>
    <cellStyle name="Standaard 10 2 3 3 3 2 2 3 2" xfId="5316"/>
    <cellStyle name="Standaard 10 2 3 3 3 2 2 3 2 2" xfId="5317"/>
    <cellStyle name="Standaard 10 2 3 3 3 2 2 3 3" xfId="5318"/>
    <cellStyle name="Standaard 10 2 3 3 3 2 2 4" xfId="5319"/>
    <cellStyle name="Standaard 10 2 3 3 3 2 2 4 2" xfId="5320"/>
    <cellStyle name="Standaard 10 2 3 3 3 2 2 5" xfId="5321"/>
    <cellStyle name="Standaard 10 2 3 3 3 2 2 6" xfId="5322"/>
    <cellStyle name="Standaard 10 2 3 3 3 2 3" xfId="5323"/>
    <cellStyle name="Standaard 10 2 3 3 3 2 3 2" xfId="5324"/>
    <cellStyle name="Standaard 10 2 3 3 3 2 3 2 2" xfId="5325"/>
    <cellStyle name="Standaard 10 2 3 3 3 2 3 2 2 2" xfId="5326"/>
    <cellStyle name="Standaard 10 2 3 3 3 2 3 2 3" xfId="5327"/>
    <cellStyle name="Standaard 10 2 3 3 3 2 3 3" xfId="5328"/>
    <cellStyle name="Standaard 10 2 3 3 3 2 3 3 2" xfId="5329"/>
    <cellStyle name="Standaard 10 2 3 3 3 2 3 4" xfId="5330"/>
    <cellStyle name="Standaard 10 2 3 3 3 2 4" xfId="5331"/>
    <cellStyle name="Standaard 10 2 3 3 3 2 4 2" xfId="5332"/>
    <cellStyle name="Standaard 10 2 3 3 3 2 4 2 2" xfId="5333"/>
    <cellStyle name="Standaard 10 2 3 3 3 2 4 3" xfId="5334"/>
    <cellStyle name="Standaard 10 2 3 3 3 2 5" xfId="5335"/>
    <cellStyle name="Standaard 10 2 3 3 3 2 5 2" xfId="5336"/>
    <cellStyle name="Standaard 10 2 3 3 3 2 6" xfId="5337"/>
    <cellStyle name="Standaard 10 2 3 3 3 2 7" xfId="5338"/>
    <cellStyle name="Standaard 10 2 3 3 3 3" xfId="5339"/>
    <cellStyle name="Standaard 10 2 3 3 3 3 2" xfId="5340"/>
    <cellStyle name="Standaard 10 2 3 3 3 3 2 2" xfId="5341"/>
    <cellStyle name="Standaard 10 2 3 3 3 3 2 2 2" xfId="5342"/>
    <cellStyle name="Standaard 10 2 3 3 3 3 2 2 2 2" xfId="5343"/>
    <cellStyle name="Standaard 10 2 3 3 3 3 2 2 3" xfId="5344"/>
    <cellStyle name="Standaard 10 2 3 3 3 3 2 3" xfId="5345"/>
    <cellStyle name="Standaard 10 2 3 3 3 3 2 3 2" xfId="5346"/>
    <cellStyle name="Standaard 10 2 3 3 3 3 2 4" xfId="5347"/>
    <cellStyle name="Standaard 10 2 3 3 3 3 3" xfId="5348"/>
    <cellStyle name="Standaard 10 2 3 3 3 3 3 2" xfId="5349"/>
    <cellStyle name="Standaard 10 2 3 3 3 3 3 2 2" xfId="5350"/>
    <cellStyle name="Standaard 10 2 3 3 3 3 3 3" xfId="5351"/>
    <cellStyle name="Standaard 10 2 3 3 3 3 4" xfId="5352"/>
    <cellStyle name="Standaard 10 2 3 3 3 3 4 2" xfId="5353"/>
    <cellStyle name="Standaard 10 2 3 3 3 3 5" xfId="5354"/>
    <cellStyle name="Standaard 10 2 3 3 3 3 6" xfId="5355"/>
    <cellStyle name="Standaard 10 2 3 3 3 4" xfId="5356"/>
    <cellStyle name="Standaard 10 2 3 3 3 4 2" xfId="5357"/>
    <cellStyle name="Standaard 10 2 3 3 3 4 2 2" xfId="5358"/>
    <cellStyle name="Standaard 10 2 3 3 3 4 2 2 2" xfId="5359"/>
    <cellStyle name="Standaard 10 2 3 3 3 4 2 3" xfId="5360"/>
    <cellStyle name="Standaard 10 2 3 3 3 4 3" xfId="5361"/>
    <cellStyle name="Standaard 10 2 3 3 3 4 3 2" xfId="5362"/>
    <cellStyle name="Standaard 10 2 3 3 3 4 4" xfId="5363"/>
    <cellStyle name="Standaard 10 2 3 3 3 5" xfId="5364"/>
    <cellStyle name="Standaard 10 2 3 3 3 5 2" xfId="5365"/>
    <cellStyle name="Standaard 10 2 3 3 3 5 2 2" xfId="5366"/>
    <cellStyle name="Standaard 10 2 3 3 3 5 3" xfId="5367"/>
    <cellStyle name="Standaard 10 2 3 3 3 6" xfId="5368"/>
    <cellStyle name="Standaard 10 2 3 3 3 6 2" xfId="5369"/>
    <cellStyle name="Standaard 10 2 3 3 3 7" xfId="5370"/>
    <cellStyle name="Standaard 10 2 3 3 3 8" xfId="5371"/>
    <cellStyle name="Standaard 10 2 3 3 4" xfId="5372"/>
    <cellStyle name="Standaard 10 2 3 3 4 2" xfId="5373"/>
    <cellStyle name="Standaard 10 2 3 3 4 2 2" xfId="5374"/>
    <cellStyle name="Standaard 10 2 3 3 4 2 2 2" xfId="5375"/>
    <cellStyle name="Standaard 10 2 3 3 4 2 2 2 2" xfId="5376"/>
    <cellStyle name="Standaard 10 2 3 3 4 2 2 2 2 2" xfId="5377"/>
    <cellStyle name="Standaard 10 2 3 3 4 2 2 2 2 2 2" xfId="5378"/>
    <cellStyle name="Standaard 10 2 3 3 4 2 2 2 2 3" xfId="5379"/>
    <cellStyle name="Standaard 10 2 3 3 4 2 2 2 3" xfId="5380"/>
    <cellStyle name="Standaard 10 2 3 3 4 2 2 2 3 2" xfId="5381"/>
    <cellStyle name="Standaard 10 2 3 3 4 2 2 2 4" xfId="5382"/>
    <cellStyle name="Standaard 10 2 3 3 4 2 2 3" xfId="5383"/>
    <cellStyle name="Standaard 10 2 3 3 4 2 2 3 2" xfId="5384"/>
    <cellStyle name="Standaard 10 2 3 3 4 2 2 3 2 2" xfId="5385"/>
    <cellStyle name="Standaard 10 2 3 3 4 2 2 3 3" xfId="5386"/>
    <cellStyle name="Standaard 10 2 3 3 4 2 2 4" xfId="5387"/>
    <cellStyle name="Standaard 10 2 3 3 4 2 2 4 2" xfId="5388"/>
    <cellStyle name="Standaard 10 2 3 3 4 2 2 5" xfId="5389"/>
    <cellStyle name="Standaard 10 2 3 3 4 2 2 6" xfId="5390"/>
    <cellStyle name="Standaard 10 2 3 3 4 2 3" xfId="5391"/>
    <cellStyle name="Standaard 10 2 3 3 4 2 3 2" xfId="5392"/>
    <cellStyle name="Standaard 10 2 3 3 4 2 3 2 2" xfId="5393"/>
    <cellStyle name="Standaard 10 2 3 3 4 2 3 2 2 2" xfId="5394"/>
    <cellStyle name="Standaard 10 2 3 3 4 2 3 2 3" xfId="5395"/>
    <cellStyle name="Standaard 10 2 3 3 4 2 3 3" xfId="5396"/>
    <cellStyle name="Standaard 10 2 3 3 4 2 3 3 2" xfId="5397"/>
    <cellStyle name="Standaard 10 2 3 3 4 2 3 4" xfId="5398"/>
    <cellStyle name="Standaard 10 2 3 3 4 2 4" xfId="5399"/>
    <cellStyle name="Standaard 10 2 3 3 4 2 4 2" xfId="5400"/>
    <cellStyle name="Standaard 10 2 3 3 4 2 4 2 2" xfId="5401"/>
    <cellStyle name="Standaard 10 2 3 3 4 2 4 3" xfId="5402"/>
    <cellStyle name="Standaard 10 2 3 3 4 2 5" xfId="5403"/>
    <cellStyle name="Standaard 10 2 3 3 4 2 5 2" xfId="5404"/>
    <cellStyle name="Standaard 10 2 3 3 4 2 6" xfId="5405"/>
    <cellStyle name="Standaard 10 2 3 3 4 2 7" xfId="5406"/>
    <cellStyle name="Standaard 10 2 3 3 4 3" xfId="5407"/>
    <cellStyle name="Standaard 10 2 3 3 4 3 2" xfId="5408"/>
    <cellStyle name="Standaard 10 2 3 3 4 3 2 2" xfId="5409"/>
    <cellStyle name="Standaard 10 2 3 3 4 3 2 2 2" xfId="5410"/>
    <cellStyle name="Standaard 10 2 3 3 4 3 2 2 2 2" xfId="5411"/>
    <cellStyle name="Standaard 10 2 3 3 4 3 2 2 3" xfId="5412"/>
    <cellStyle name="Standaard 10 2 3 3 4 3 2 3" xfId="5413"/>
    <cellStyle name="Standaard 10 2 3 3 4 3 2 3 2" xfId="5414"/>
    <cellStyle name="Standaard 10 2 3 3 4 3 2 4" xfId="5415"/>
    <cellStyle name="Standaard 10 2 3 3 4 3 3" xfId="5416"/>
    <cellStyle name="Standaard 10 2 3 3 4 3 3 2" xfId="5417"/>
    <cellStyle name="Standaard 10 2 3 3 4 3 3 2 2" xfId="5418"/>
    <cellStyle name="Standaard 10 2 3 3 4 3 3 3" xfId="5419"/>
    <cellStyle name="Standaard 10 2 3 3 4 3 4" xfId="5420"/>
    <cellStyle name="Standaard 10 2 3 3 4 3 4 2" xfId="5421"/>
    <cellStyle name="Standaard 10 2 3 3 4 3 5" xfId="5422"/>
    <cellStyle name="Standaard 10 2 3 3 4 3 6" xfId="5423"/>
    <cellStyle name="Standaard 10 2 3 3 4 4" xfId="5424"/>
    <cellStyle name="Standaard 10 2 3 3 4 4 2" xfId="5425"/>
    <cellStyle name="Standaard 10 2 3 3 4 4 2 2" xfId="5426"/>
    <cellStyle name="Standaard 10 2 3 3 4 4 2 2 2" xfId="5427"/>
    <cellStyle name="Standaard 10 2 3 3 4 4 2 3" xfId="5428"/>
    <cellStyle name="Standaard 10 2 3 3 4 4 3" xfId="5429"/>
    <cellStyle name="Standaard 10 2 3 3 4 4 3 2" xfId="5430"/>
    <cellStyle name="Standaard 10 2 3 3 4 4 4" xfId="5431"/>
    <cellStyle name="Standaard 10 2 3 3 4 5" xfId="5432"/>
    <cellStyle name="Standaard 10 2 3 3 4 5 2" xfId="5433"/>
    <cellStyle name="Standaard 10 2 3 3 4 5 2 2" xfId="5434"/>
    <cellStyle name="Standaard 10 2 3 3 4 5 3" xfId="5435"/>
    <cellStyle name="Standaard 10 2 3 3 4 6" xfId="5436"/>
    <cellStyle name="Standaard 10 2 3 3 4 6 2" xfId="5437"/>
    <cellStyle name="Standaard 10 2 3 3 4 7" xfId="5438"/>
    <cellStyle name="Standaard 10 2 3 3 4 8" xfId="5439"/>
    <cellStyle name="Standaard 10 2 3 3 5" xfId="5440"/>
    <cellStyle name="Standaard 10 2 3 3 5 2" xfId="5441"/>
    <cellStyle name="Standaard 10 2 3 3 5 2 2" xfId="5442"/>
    <cellStyle name="Standaard 10 2 3 3 5 2 2 2" xfId="5443"/>
    <cellStyle name="Standaard 10 2 3 3 5 2 2 2 2" xfId="5444"/>
    <cellStyle name="Standaard 10 2 3 3 5 2 2 2 2 2" xfId="5445"/>
    <cellStyle name="Standaard 10 2 3 3 5 2 2 2 3" xfId="5446"/>
    <cellStyle name="Standaard 10 2 3 3 5 2 2 3" xfId="5447"/>
    <cellStyle name="Standaard 10 2 3 3 5 2 2 3 2" xfId="5448"/>
    <cellStyle name="Standaard 10 2 3 3 5 2 2 4" xfId="5449"/>
    <cellStyle name="Standaard 10 2 3 3 5 2 3" xfId="5450"/>
    <cellStyle name="Standaard 10 2 3 3 5 2 3 2" xfId="5451"/>
    <cellStyle name="Standaard 10 2 3 3 5 2 3 2 2" xfId="5452"/>
    <cellStyle name="Standaard 10 2 3 3 5 2 3 3" xfId="5453"/>
    <cellStyle name="Standaard 10 2 3 3 5 2 4" xfId="5454"/>
    <cellStyle name="Standaard 10 2 3 3 5 2 4 2" xfId="5455"/>
    <cellStyle name="Standaard 10 2 3 3 5 2 5" xfId="5456"/>
    <cellStyle name="Standaard 10 2 3 3 5 2 6" xfId="5457"/>
    <cellStyle name="Standaard 10 2 3 3 5 3" xfId="5458"/>
    <cellStyle name="Standaard 10 2 3 3 5 3 2" xfId="5459"/>
    <cellStyle name="Standaard 10 2 3 3 5 3 2 2" xfId="5460"/>
    <cellStyle name="Standaard 10 2 3 3 5 3 2 2 2" xfId="5461"/>
    <cellStyle name="Standaard 10 2 3 3 5 3 2 3" xfId="5462"/>
    <cellStyle name="Standaard 10 2 3 3 5 3 3" xfId="5463"/>
    <cellStyle name="Standaard 10 2 3 3 5 3 3 2" xfId="5464"/>
    <cellStyle name="Standaard 10 2 3 3 5 3 4" xfId="5465"/>
    <cellStyle name="Standaard 10 2 3 3 5 4" xfId="5466"/>
    <cellStyle name="Standaard 10 2 3 3 5 4 2" xfId="5467"/>
    <cellStyle name="Standaard 10 2 3 3 5 4 2 2" xfId="5468"/>
    <cellStyle name="Standaard 10 2 3 3 5 4 3" xfId="5469"/>
    <cellStyle name="Standaard 10 2 3 3 5 5" xfId="5470"/>
    <cellStyle name="Standaard 10 2 3 3 5 5 2" xfId="5471"/>
    <cellStyle name="Standaard 10 2 3 3 5 6" xfId="5472"/>
    <cellStyle name="Standaard 10 2 3 3 5 7" xfId="5473"/>
    <cellStyle name="Standaard 10 2 3 3 6" xfId="5474"/>
    <cellStyle name="Standaard 10 2 3 3 6 2" xfId="5475"/>
    <cellStyle name="Standaard 10 2 3 3 6 2 2" xfId="5476"/>
    <cellStyle name="Standaard 10 2 3 3 6 2 2 2" xfId="5477"/>
    <cellStyle name="Standaard 10 2 3 3 6 2 2 2 2" xfId="5478"/>
    <cellStyle name="Standaard 10 2 3 3 6 2 2 3" xfId="5479"/>
    <cellStyle name="Standaard 10 2 3 3 6 2 3" xfId="5480"/>
    <cellStyle name="Standaard 10 2 3 3 6 2 3 2" xfId="5481"/>
    <cellStyle name="Standaard 10 2 3 3 6 2 4" xfId="5482"/>
    <cellStyle name="Standaard 10 2 3 3 6 3" xfId="5483"/>
    <cellStyle name="Standaard 10 2 3 3 6 3 2" xfId="5484"/>
    <cellStyle name="Standaard 10 2 3 3 6 3 2 2" xfId="5485"/>
    <cellStyle name="Standaard 10 2 3 3 6 3 3" xfId="5486"/>
    <cellStyle name="Standaard 10 2 3 3 6 4" xfId="5487"/>
    <cellStyle name="Standaard 10 2 3 3 6 4 2" xfId="5488"/>
    <cellStyle name="Standaard 10 2 3 3 6 5" xfId="5489"/>
    <cellStyle name="Standaard 10 2 3 3 6 6" xfId="5490"/>
    <cellStyle name="Standaard 10 2 3 3 7" xfId="5491"/>
    <cellStyle name="Standaard 10 2 3 3 7 2" xfId="5492"/>
    <cellStyle name="Standaard 10 2 3 3 7 2 2" xfId="5493"/>
    <cellStyle name="Standaard 10 2 3 3 7 2 2 2" xfId="5494"/>
    <cellStyle name="Standaard 10 2 3 3 7 2 3" xfId="5495"/>
    <cellStyle name="Standaard 10 2 3 3 7 3" xfId="5496"/>
    <cellStyle name="Standaard 10 2 3 3 7 3 2" xfId="5497"/>
    <cellStyle name="Standaard 10 2 3 3 7 4" xfId="5498"/>
    <cellStyle name="Standaard 10 2 3 3 8" xfId="5499"/>
    <cellStyle name="Standaard 10 2 3 3 8 2" xfId="5500"/>
    <cellStyle name="Standaard 10 2 3 3 8 2 2" xfId="5501"/>
    <cellStyle name="Standaard 10 2 3 3 8 3" xfId="5502"/>
    <cellStyle name="Standaard 10 2 3 3 9" xfId="5503"/>
    <cellStyle name="Standaard 10 2 3 3 9 2" xfId="5504"/>
    <cellStyle name="Standaard 10 2 3 4" xfId="5505"/>
    <cellStyle name="Standaard 10 2 3 4 2" xfId="5506"/>
    <cellStyle name="Standaard 10 2 3 4 2 2" xfId="5507"/>
    <cellStyle name="Standaard 10 2 3 4 2 2 2" xfId="5508"/>
    <cellStyle name="Standaard 10 2 3 4 2 2 2 2" xfId="5509"/>
    <cellStyle name="Standaard 10 2 3 4 2 2 2 2 2" xfId="5510"/>
    <cellStyle name="Standaard 10 2 3 4 2 2 2 2 2 2" xfId="5511"/>
    <cellStyle name="Standaard 10 2 3 4 2 2 2 2 2 2 2" xfId="5512"/>
    <cellStyle name="Standaard 10 2 3 4 2 2 2 2 2 3" xfId="5513"/>
    <cellStyle name="Standaard 10 2 3 4 2 2 2 2 3" xfId="5514"/>
    <cellStyle name="Standaard 10 2 3 4 2 2 2 2 3 2" xfId="5515"/>
    <cellStyle name="Standaard 10 2 3 4 2 2 2 2 4" xfId="5516"/>
    <cellStyle name="Standaard 10 2 3 4 2 2 2 3" xfId="5517"/>
    <cellStyle name="Standaard 10 2 3 4 2 2 2 3 2" xfId="5518"/>
    <cellStyle name="Standaard 10 2 3 4 2 2 2 3 2 2" xfId="5519"/>
    <cellStyle name="Standaard 10 2 3 4 2 2 2 3 3" xfId="5520"/>
    <cellStyle name="Standaard 10 2 3 4 2 2 2 4" xfId="5521"/>
    <cellStyle name="Standaard 10 2 3 4 2 2 2 4 2" xfId="5522"/>
    <cellStyle name="Standaard 10 2 3 4 2 2 2 5" xfId="5523"/>
    <cellStyle name="Standaard 10 2 3 4 2 2 2 6" xfId="5524"/>
    <cellStyle name="Standaard 10 2 3 4 2 2 3" xfId="5525"/>
    <cellStyle name="Standaard 10 2 3 4 2 2 3 2" xfId="5526"/>
    <cellStyle name="Standaard 10 2 3 4 2 2 3 2 2" xfId="5527"/>
    <cellStyle name="Standaard 10 2 3 4 2 2 3 2 2 2" xfId="5528"/>
    <cellStyle name="Standaard 10 2 3 4 2 2 3 2 3" xfId="5529"/>
    <cellStyle name="Standaard 10 2 3 4 2 2 3 3" xfId="5530"/>
    <cellStyle name="Standaard 10 2 3 4 2 2 3 3 2" xfId="5531"/>
    <cellStyle name="Standaard 10 2 3 4 2 2 3 4" xfId="5532"/>
    <cellStyle name="Standaard 10 2 3 4 2 2 4" xfId="5533"/>
    <cellStyle name="Standaard 10 2 3 4 2 2 4 2" xfId="5534"/>
    <cellStyle name="Standaard 10 2 3 4 2 2 4 2 2" xfId="5535"/>
    <cellStyle name="Standaard 10 2 3 4 2 2 4 3" xfId="5536"/>
    <cellStyle name="Standaard 10 2 3 4 2 2 5" xfId="5537"/>
    <cellStyle name="Standaard 10 2 3 4 2 2 5 2" xfId="5538"/>
    <cellStyle name="Standaard 10 2 3 4 2 2 6" xfId="5539"/>
    <cellStyle name="Standaard 10 2 3 4 2 2 7" xfId="5540"/>
    <cellStyle name="Standaard 10 2 3 4 2 3" xfId="5541"/>
    <cellStyle name="Standaard 10 2 3 4 2 3 2" xfId="5542"/>
    <cellStyle name="Standaard 10 2 3 4 2 3 2 2" xfId="5543"/>
    <cellStyle name="Standaard 10 2 3 4 2 3 2 2 2" xfId="5544"/>
    <cellStyle name="Standaard 10 2 3 4 2 3 2 2 2 2" xfId="5545"/>
    <cellStyle name="Standaard 10 2 3 4 2 3 2 2 3" xfId="5546"/>
    <cellStyle name="Standaard 10 2 3 4 2 3 2 3" xfId="5547"/>
    <cellStyle name="Standaard 10 2 3 4 2 3 2 3 2" xfId="5548"/>
    <cellStyle name="Standaard 10 2 3 4 2 3 2 4" xfId="5549"/>
    <cellStyle name="Standaard 10 2 3 4 2 3 3" xfId="5550"/>
    <cellStyle name="Standaard 10 2 3 4 2 3 3 2" xfId="5551"/>
    <cellStyle name="Standaard 10 2 3 4 2 3 3 2 2" xfId="5552"/>
    <cellStyle name="Standaard 10 2 3 4 2 3 3 3" xfId="5553"/>
    <cellStyle name="Standaard 10 2 3 4 2 3 4" xfId="5554"/>
    <cellStyle name="Standaard 10 2 3 4 2 3 4 2" xfId="5555"/>
    <cellStyle name="Standaard 10 2 3 4 2 3 5" xfId="5556"/>
    <cellStyle name="Standaard 10 2 3 4 2 3 6" xfId="5557"/>
    <cellStyle name="Standaard 10 2 3 4 2 4" xfId="5558"/>
    <cellStyle name="Standaard 10 2 3 4 2 4 2" xfId="5559"/>
    <cellStyle name="Standaard 10 2 3 4 2 4 2 2" xfId="5560"/>
    <cellStyle name="Standaard 10 2 3 4 2 4 2 2 2" xfId="5561"/>
    <cellStyle name="Standaard 10 2 3 4 2 4 2 3" xfId="5562"/>
    <cellStyle name="Standaard 10 2 3 4 2 4 3" xfId="5563"/>
    <cellStyle name="Standaard 10 2 3 4 2 4 3 2" xfId="5564"/>
    <cellStyle name="Standaard 10 2 3 4 2 4 4" xfId="5565"/>
    <cellStyle name="Standaard 10 2 3 4 2 5" xfId="5566"/>
    <cellStyle name="Standaard 10 2 3 4 2 5 2" xfId="5567"/>
    <cellStyle name="Standaard 10 2 3 4 2 5 2 2" xfId="5568"/>
    <cellStyle name="Standaard 10 2 3 4 2 5 3" xfId="5569"/>
    <cellStyle name="Standaard 10 2 3 4 2 6" xfId="5570"/>
    <cellStyle name="Standaard 10 2 3 4 2 6 2" xfId="5571"/>
    <cellStyle name="Standaard 10 2 3 4 2 7" xfId="5572"/>
    <cellStyle name="Standaard 10 2 3 4 2 8" xfId="5573"/>
    <cellStyle name="Standaard 10 2 3 4 3" xfId="5574"/>
    <cellStyle name="Standaard 10 2 3 4 3 2" xfId="5575"/>
    <cellStyle name="Standaard 10 2 3 4 3 2 2" xfId="5576"/>
    <cellStyle name="Standaard 10 2 3 4 3 2 2 2" xfId="5577"/>
    <cellStyle name="Standaard 10 2 3 4 3 2 2 2 2" xfId="5578"/>
    <cellStyle name="Standaard 10 2 3 4 3 2 2 2 2 2" xfId="5579"/>
    <cellStyle name="Standaard 10 2 3 4 3 2 2 2 3" xfId="5580"/>
    <cellStyle name="Standaard 10 2 3 4 3 2 2 3" xfId="5581"/>
    <cellStyle name="Standaard 10 2 3 4 3 2 2 3 2" xfId="5582"/>
    <cellStyle name="Standaard 10 2 3 4 3 2 2 4" xfId="5583"/>
    <cellStyle name="Standaard 10 2 3 4 3 2 3" xfId="5584"/>
    <cellStyle name="Standaard 10 2 3 4 3 2 3 2" xfId="5585"/>
    <cellStyle name="Standaard 10 2 3 4 3 2 3 2 2" xfId="5586"/>
    <cellStyle name="Standaard 10 2 3 4 3 2 3 3" xfId="5587"/>
    <cellStyle name="Standaard 10 2 3 4 3 2 4" xfId="5588"/>
    <cellStyle name="Standaard 10 2 3 4 3 2 4 2" xfId="5589"/>
    <cellStyle name="Standaard 10 2 3 4 3 2 5" xfId="5590"/>
    <cellStyle name="Standaard 10 2 3 4 3 2 6" xfId="5591"/>
    <cellStyle name="Standaard 10 2 3 4 3 3" xfId="5592"/>
    <cellStyle name="Standaard 10 2 3 4 3 3 2" xfId="5593"/>
    <cellStyle name="Standaard 10 2 3 4 3 3 2 2" xfId="5594"/>
    <cellStyle name="Standaard 10 2 3 4 3 3 2 2 2" xfId="5595"/>
    <cellStyle name="Standaard 10 2 3 4 3 3 2 3" xfId="5596"/>
    <cellStyle name="Standaard 10 2 3 4 3 3 3" xfId="5597"/>
    <cellStyle name="Standaard 10 2 3 4 3 3 3 2" xfId="5598"/>
    <cellStyle name="Standaard 10 2 3 4 3 3 4" xfId="5599"/>
    <cellStyle name="Standaard 10 2 3 4 3 4" xfId="5600"/>
    <cellStyle name="Standaard 10 2 3 4 3 4 2" xfId="5601"/>
    <cellStyle name="Standaard 10 2 3 4 3 4 2 2" xfId="5602"/>
    <cellStyle name="Standaard 10 2 3 4 3 4 3" xfId="5603"/>
    <cellStyle name="Standaard 10 2 3 4 3 5" xfId="5604"/>
    <cellStyle name="Standaard 10 2 3 4 3 5 2" xfId="5605"/>
    <cellStyle name="Standaard 10 2 3 4 3 6" xfId="5606"/>
    <cellStyle name="Standaard 10 2 3 4 3 7" xfId="5607"/>
    <cellStyle name="Standaard 10 2 3 4 4" xfId="5608"/>
    <cellStyle name="Standaard 10 2 3 4 4 2" xfId="5609"/>
    <cellStyle name="Standaard 10 2 3 4 4 2 2" xfId="5610"/>
    <cellStyle name="Standaard 10 2 3 4 4 2 2 2" xfId="5611"/>
    <cellStyle name="Standaard 10 2 3 4 4 2 2 2 2" xfId="5612"/>
    <cellStyle name="Standaard 10 2 3 4 4 2 2 3" xfId="5613"/>
    <cellStyle name="Standaard 10 2 3 4 4 2 3" xfId="5614"/>
    <cellStyle name="Standaard 10 2 3 4 4 2 3 2" xfId="5615"/>
    <cellStyle name="Standaard 10 2 3 4 4 2 4" xfId="5616"/>
    <cellStyle name="Standaard 10 2 3 4 4 3" xfId="5617"/>
    <cellStyle name="Standaard 10 2 3 4 4 3 2" xfId="5618"/>
    <cellStyle name="Standaard 10 2 3 4 4 3 2 2" xfId="5619"/>
    <cellStyle name="Standaard 10 2 3 4 4 3 3" xfId="5620"/>
    <cellStyle name="Standaard 10 2 3 4 4 4" xfId="5621"/>
    <cellStyle name="Standaard 10 2 3 4 4 4 2" xfId="5622"/>
    <cellStyle name="Standaard 10 2 3 4 4 5" xfId="5623"/>
    <cellStyle name="Standaard 10 2 3 4 4 6" xfId="5624"/>
    <cellStyle name="Standaard 10 2 3 4 5" xfId="5625"/>
    <cellStyle name="Standaard 10 2 3 4 5 2" xfId="5626"/>
    <cellStyle name="Standaard 10 2 3 4 5 2 2" xfId="5627"/>
    <cellStyle name="Standaard 10 2 3 4 5 2 2 2" xfId="5628"/>
    <cellStyle name="Standaard 10 2 3 4 5 2 3" xfId="5629"/>
    <cellStyle name="Standaard 10 2 3 4 5 3" xfId="5630"/>
    <cellStyle name="Standaard 10 2 3 4 5 3 2" xfId="5631"/>
    <cellStyle name="Standaard 10 2 3 4 5 4" xfId="5632"/>
    <cellStyle name="Standaard 10 2 3 4 6" xfId="5633"/>
    <cellStyle name="Standaard 10 2 3 4 6 2" xfId="5634"/>
    <cellStyle name="Standaard 10 2 3 4 6 2 2" xfId="5635"/>
    <cellStyle name="Standaard 10 2 3 4 6 3" xfId="5636"/>
    <cellStyle name="Standaard 10 2 3 4 7" xfId="5637"/>
    <cellStyle name="Standaard 10 2 3 4 7 2" xfId="5638"/>
    <cellStyle name="Standaard 10 2 3 4 8" xfId="5639"/>
    <cellStyle name="Standaard 10 2 3 4 9" xfId="5640"/>
    <cellStyle name="Standaard 10 2 3 5" xfId="5641"/>
    <cellStyle name="Standaard 10 2 3 5 2" xfId="5642"/>
    <cellStyle name="Standaard 10 2 3 5 2 2" xfId="5643"/>
    <cellStyle name="Standaard 10 2 3 5 2 2 2" xfId="5644"/>
    <cellStyle name="Standaard 10 2 3 5 2 2 2 2" xfId="5645"/>
    <cellStyle name="Standaard 10 2 3 5 2 2 2 2 2" xfId="5646"/>
    <cellStyle name="Standaard 10 2 3 5 2 2 2 2 2 2" xfId="5647"/>
    <cellStyle name="Standaard 10 2 3 5 2 2 2 2 3" xfId="5648"/>
    <cellStyle name="Standaard 10 2 3 5 2 2 2 3" xfId="5649"/>
    <cellStyle name="Standaard 10 2 3 5 2 2 2 3 2" xfId="5650"/>
    <cellStyle name="Standaard 10 2 3 5 2 2 2 4" xfId="5651"/>
    <cellStyle name="Standaard 10 2 3 5 2 2 3" xfId="5652"/>
    <cellStyle name="Standaard 10 2 3 5 2 2 3 2" xfId="5653"/>
    <cellStyle name="Standaard 10 2 3 5 2 2 3 2 2" xfId="5654"/>
    <cellStyle name="Standaard 10 2 3 5 2 2 3 3" xfId="5655"/>
    <cellStyle name="Standaard 10 2 3 5 2 2 4" xfId="5656"/>
    <cellStyle name="Standaard 10 2 3 5 2 2 4 2" xfId="5657"/>
    <cellStyle name="Standaard 10 2 3 5 2 2 5" xfId="5658"/>
    <cellStyle name="Standaard 10 2 3 5 2 2 6" xfId="5659"/>
    <cellStyle name="Standaard 10 2 3 5 2 3" xfId="5660"/>
    <cellStyle name="Standaard 10 2 3 5 2 3 2" xfId="5661"/>
    <cellStyle name="Standaard 10 2 3 5 2 3 2 2" xfId="5662"/>
    <cellStyle name="Standaard 10 2 3 5 2 3 2 2 2" xfId="5663"/>
    <cellStyle name="Standaard 10 2 3 5 2 3 2 3" xfId="5664"/>
    <cellStyle name="Standaard 10 2 3 5 2 3 3" xfId="5665"/>
    <cellStyle name="Standaard 10 2 3 5 2 3 3 2" xfId="5666"/>
    <cellStyle name="Standaard 10 2 3 5 2 3 4" xfId="5667"/>
    <cellStyle name="Standaard 10 2 3 5 2 4" xfId="5668"/>
    <cellStyle name="Standaard 10 2 3 5 2 4 2" xfId="5669"/>
    <cellStyle name="Standaard 10 2 3 5 2 4 2 2" xfId="5670"/>
    <cellStyle name="Standaard 10 2 3 5 2 4 3" xfId="5671"/>
    <cellStyle name="Standaard 10 2 3 5 2 5" xfId="5672"/>
    <cellStyle name="Standaard 10 2 3 5 2 5 2" xfId="5673"/>
    <cellStyle name="Standaard 10 2 3 5 2 6" xfId="5674"/>
    <cellStyle name="Standaard 10 2 3 5 2 7" xfId="5675"/>
    <cellStyle name="Standaard 10 2 3 5 3" xfId="5676"/>
    <cellStyle name="Standaard 10 2 3 5 3 2" xfId="5677"/>
    <cellStyle name="Standaard 10 2 3 5 3 2 2" xfId="5678"/>
    <cellStyle name="Standaard 10 2 3 5 3 2 2 2" xfId="5679"/>
    <cellStyle name="Standaard 10 2 3 5 3 2 2 2 2" xfId="5680"/>
    <cellStyle name="Standaard 10 2 3 5 3 2 2 3" xfId="5681"/>
    <cellStyle name="Standaard 10 2 3 5 3 2 3" xfId="5682"/>
    <cellStyle name="Standaard 10 2 3 5 3 2 3 2" xfId="5683"/>
    <cellStyle name="Standaard 10 2 3 5 3 2 4" xfId="5684"/>
    <cellStyle name="Standaard 10 2 3 5 3 3" xfId="5685"/>
    <cellStyle name="Standaard 10 2 3 5 3 3 2" xfId="5686"/>
    <cellStyle name="Standaard 10 2 3 5 3 3 2 2" xfId="5687"/>
    <cellStyle name="Standaard 10 2 3 5 3 3 3" xfId="5688"/>
    <cellStyle name="Standaard 10 2 3 5 3 4" xfId="5689"/>
    <cellStyle name="Standaard 10 2 3 5 3 4 2" xfId="5690"/>
    <cellStyle name="Standaard 10 2 3 5 3 5" xfId="5691"/>
    <cellStyle name="Standaard 10 2 3 5 3 6" xfId="5692"/>
    <cellStyle name="Standaard 10 2 3 5 4" xfId="5693"/>
    <cellStyle name="Standaard 10 2 3 5 4 2" xfId="5694"/>
    <cellStyle name="Standaard 10 2 3 5 4 2 2" xfId="5695"/>
    <cellStyle name="Standaard 10 2 3 5 4 2 2 2" xfId="5696"/>
    <cellStyle name="Standaard 10 2 3 5 4 2 3" xfId="5697"/>
    <cellStyle name="Standaard 10 2 3 5 4 3" xfId="5698"/>
    <cellStyle name="Standaard 10 2 3 5 4 3 2" xfId="5699"/>
    <cellStyle name="Standaard 10 2 3 5 4 4" xfId="5700"/>
    <cellStyle name="Standaard 10 2 3 5 5" xfId="5701"/>
    <cellStyle name="Standaard 10 2 3 5 5 2" xfId="5702"/>
    <cellStyle name="Standaard 10 2 3 5 5 2 2" xfId="5703"/>
    <cellStyle name="Standaard 10 2 3 5 5 3" xfId="5704"/>
    <cellStyle name="Standaard 10 2 3 5 6" xfId="5705"/>
    <cellStyle name="Standaard 10 2 3 5 6 2" xfId="5706"/>
    <cellStyle name="Standaard 10 2 3 5 7" xfId="5707"/>
    <cellStyle name="Standaard 10 2 3 5 8" xfId="5708"/>
    <cellStyle name="Standaard 10 2 3 6" xfId="5709"/>
    <cellStyle name="Standaard 10 2 3 6 2" xfId="5710"/>
    <cellStyle name="Standaard 10 2 3 6 2 2" xfId="5711"/>
    <cellStyle name="Standaard 10 2 3 6 2 2 2" xfId="5712"/>
    <cellStyle name="Standaard 10 2 3 6 2 2 2 2" xfId="5713"/>
    <cellStyle name="Standaard 10 2 3 6 2 2 2 2 2" xfId="5714"/>
    <cellStyle name="Standaard 10 2 3 6 2 2 2 2 2 2" xfId="5715"/>
    <cellStyle name="Standaard 10 2 3 6 2 2 2 2 3" xfId="5716"/>
    <cellStyle name="Standaard 10 2 3 6 2 2 2 3" xfId="5717"/>
    <cellStyle name="Standaard 10 2 3 6 2 2 2 3 2" xfId="5718"/>
    <cellStyle name="Standaard 10 2 3 6 2 2 2 4" xfId="5719"/>
    <cellStyle name="Standaard 10 2 3 6 2 2 3" xfId="5720"/>
    <cellStyle name="Standaard 10 2 3 6 2 2 3 2" xfId="5721"/>
    <cellStyle name="Standaard 10 2 3 6 2 2 3 2 2" xfId="5722"/>
    <cellStyle name="Standaard 10 2 3 6 2 2 3 3" xfId="5723"/>
    <cellStyle name="Standaard 10 2 3 6 2 2 4" xfId="5724"/>
    <cellStyle name="Standaard 10 2 3 6 2 2 4 2" xfId="5725"/>
    <cellStyle name="Standaard 10 2 3 6 2 2 5" xfId="5726"/>
    <cellStyle name="Standaard 10 2 3 6 2 2 6" xfId="5727"/>
    <cellStyle name="Standaard 10 2 3 6 2 3" xfId="5728"/>
    <cellStyle name="Standaard 10 2 3 6 2 3 2" xfId="5729"/>
    <cellStyle name="Standaard 10 2 3 6 2 3 2 2" xfId="5730"/>
    <cellStyle name="Standaard 10 2 3 6 2 3 2 2 2" xfId="5731"/>
    <cellStyle name="Standaard 10 2 3 6 2 3 2 3" xfId="5732"/>
    <cellStyle name="Standaard 10 2 3 6 2 3 3" xfId="5733"/>
    <cellStyle name="Standaard 10 2 3 6 2 3 3 2" xfId="5734"/>
    <cellStyle name="Standaard 10 2 3 6 2 3 4" xfId="5735"/>
    <cellStyle name="Standaard 10 2 3 6 2 4" xfId="5736"/>
    <cellStyle name="Standaard 10 2 3 6 2 4 2" xfId="5737"/>
    <cellStyle name="Standaard 10 2 3 6 2 4 2 2" xfId="5738"/>
    <cellStyle name="Standaard 10 2 3 6 2 4 3" xfId="5739"/>
    <cellStyle name="Standaard 10 2 3 6 2 5" xfId="5740"/>
    <cellStyle name="Standaard 10 2 3 6 2 5 2" xfId="5741"/>
    <cellStyle name="Standaard 10 2 3 6 2 6" xfId="5742"/>
    <cellStyle name="Standaard 10 2 3 6 2 7" xfId="5743"/>
    <cellStyle name="Standaard 10 2 3 6 3" xfId="5744"/>
    <cellStyle name="Standaard 10 2 3 6 3 2" xfId="5745"/>
    <cellStyle name="Standaard 10 2 3 6 3 2 2" xfId="5746"/>
    <cellStyle name="Standaard 10 2 3 6 3 2 2 2" xfId="5747"/>
    <cellStyle name="Standaard 10 2 3 6 3 2 2 2 2" xfId="5748"/>
    <cellStyle name="Standaard 10 2 3 6 3 2 2 3" xfId="5749"/>
    <cellStyle name="Standaard 10 2 3 6 3 2 3" xfId="5750"/>
    <cellStyle name="Standaard 10 2 3 6 3 2 3 2" xfId="5751"/>
    <cellStyle name="Standaard 10 2 3 6 3 2 4" xfId="5752"/>
    <cellStyle name="Standaard 10 2 3 6 3 3" xfId="5753"/>
    <cellStyle name="Standaard 10 2 3 6 3 3 2" xfId="5754"/>
    <cellStyle name="Standaard 10 2 3 6 3 3 2 2" xfId="5755"/>
    <cellStyle name="Standaard 10 2 3 6 3 3 3" xfId="5756"/>
    <cellStyle name="Standaard 10 2 3 6 3 4" xfId="5757"/>
    <cellStyle name="Standaard 10 2 3 6 3 4 2" xfId="5758"/>
    <cellStyle name="Standaard 10 2 3 6 3 5" xfId="5759"/>
    <cellStyle name="Standaard 10 2 3 6 3 6" xfId="5760"/>
    <cellStyle name="Standaard 10 2 3 6 4" xfId="5761"/>
    <cellStyle name="Standaard 10 2 3 6 4 2" xfId="5762"/>
    <cellStyle name="Standaard 10 2 3 6 4 2 2" xfId="5763"/>
    <cellStyle name="Standaard 10 2 3 6 4 2 2 2" xfId="5764"/>
    <cellStyle name="Standaard 10 2 3 6 4 2 3" xfId="5765"/>
    <cellStyle name="Standaard 10 2 3 6 4 3" xfId="5766"/>
    <cellStyle name="Standaard 10 2 3 6 4 3 2" xfId="5767"/>
    <cellStyle name="Standaard 10 2 3 6 4 4" xfId="5768"/>
    <cellStyle name="Standaard 10 2 3 6 5" xfId="5769"/>
    <cellStyle name="Standaard 10 2 3 6 5 2" xfId="5770"/>
    <cellStyle name="Standaard 10 2 3 6 5 2 2" xfId="5771"/>
    <cellStyle name="Standaard 10 2 3 6 5 3" xfId="5772"/>
    <cellStyle name="Standaard 10 2 3 6 6" xfId="5773"/>
    <cellStyle name="Standaard 10 2 3 6 6 2" xfId="5774"/>
    <cellStyle name="Standaard 10 2 3 6 7" xfId="5775"/>
    <cellStyle name="Standaard 10 2 3 6 8" xfId="5776"/>
    <cellStyle name="Standaard 10 2 3 7" xfId="5777"/>
    <cellStyle name="Standaard 10 2 3 7 2" xfId="5778"/>
    <cellStyle name="Standaard 10 2 3 7 2 2" xfId="5779"/>
    <cellStyle name="Standaard 10 2 3 7 2 2 2" xfId="5780"/>
    <cellStyle name="Standaard 10 2 3 7 2 2 2 2" xfId="5781"/>
    <cellStyle name="Standaard 10 2 3 7 2 2 2 2 2" xfId="5782"/>
    <cellStyle name="Standaard 10 2 3 7 2 2 2 3" xfId="5783"/>
    <cellStyle name="Standaard 10 2 3 7 2 2 3" xfId="5784"/>
    <cellStyle name="Standaard 10 2 3 7 2 2 3 2" xfId="5785"/>
    <cellStyle name="Standaard 10 2 3 7 2 2 4" xfId="5786"/>
    <cellStyle name="Standaard 10 2 3 7 2 3" xfId="5787"/>
    <cellStyle name="Standaard 10 2 3 7 2 3 2" xfId="5788"/>
    <cellStyle name="Standaard 10 2 3 7 2 3 2 2" xfId="5789"/>
    <cellStyle name="Standaard 10 2 3 7 2 3 3" xfId="5790"/>
    <cellStyle name="Standaard 10 2 3 7 2 4" xfId="5791"/>
    <cellStyle name="Standaard 10 2 3 7 2 4 2" xfId="5792"/>
    <cellStyle name="Standaard 10 2 3 7 2 5" xfId="5793"/>
    <cellStyle name="Standaard 10 2 3 7 2 6" xfId="5794"/>
    <cellStyle name="Standaard 10 2 3 7 3" xfId="5795"/>
    <cellStyle name="Standaard 10 2 3 7 3 2" xfId="5796"/>
    <cellStyle name="Standaard 10 2 3 7 3 2 2" xfId="5797"/>
    <cellStyle name="Standaard 10 2 3 7 3 2 2 2" xfId="5798"/>
    <cellStyle name="Standaard 10 2 3 7 3 2 3" xfId="5799"/>
    <cellStyle name="Standaard 10 2 3 7 3 3" xfId="5800"/>
    <cellStyle name="Standaard 10 2 3 7 3 3 2" xfId="5801"/>
    <cellStyle name="Standaard 10 2 3 7 3 4" xfId="5802"/>
    <cellStyle name="Standaard 10 2 3 7 4" xfId="5803"/>
    <cellStyle name="Standaard 10 2 3 7 4 2" xfId="5804"/>
    <cellStyle name="Standaard 10 2 3 7 4 2 2" xfId="5805"/>
    <cellStyle name="Standaard 10 2 3 7 4 3" xfId="5806"/>
    <cellStyle name="Standaard 10 2 3 7 5" xfId="5807"/>
    <cellStyle name="Standaard 10 2 3 7 5 2" xfId="5808"/>
    <cellStyle name="Standaard 10 2 3 7 6" xfId="5809"/>
    <cellStyle name="Standaard 10 2 3 7 7" xfId="5810"/>
    <cellStyle name="Standaard 10 2 3 8" xfId="5811"/>
    <cellStyle name="Standaard 10 2 3 8 2" xfId="5812"/>
    <cellStyle name="Standaard 10 2 3 8 2 2" xfId="5813"/>
    <cellStyle name="Standaard 10 2 3 8 2 2 2" xfId="5814"/>
    <cellStyle name="Standaard 10 2 3 8 2 2 2 2" xfId="5815"/>
    <cellStyle name="Standaard 10 2 3 8 2 2 3" xfId="5816"/>
    <cellStyle name="Standaard 10 2 3 8 2 3" xfId="5817"/>
    <cellStyle name="Standaard 10 2 3 8 2 3 2" xfId="5818"/>
    <cellStyle name="Standaard 10 2 3 8 2 4" xfId="5819"/>
    <cellStyle name="Standaard 10 2 3 8 3" xfId="5820"/>
    <cellStyle name="Standaard 10 2 3 8 3 2" xfId="5821"/>
    <cellStyle name="Standaard 10 2 3 8 3 2 2" xfId="5822"/>
    <cellStyle name="Standaard 10 2 3 8 3 3" xfId="5823"/>
    <cellStyle name="Standaard 10 2 3 8 4" xfId="5824"/>
    <cellStyle name="Standaard 10 2 3 8 4 2" xfId="5825"/>
    <cellStyle name="Standaard 10 2 3 8 5" xfId="5826"/>
    <cellStyle name="Standaard 10 2 3 8 6" xfId="5827"/>
    <cellStyle name="Standaard 10 2 3 9" xfId="5828"/>
    <cellStyle name="Standaard 10 2 3 9 2" xfId="5829"/>
    <cellStyle name="Standaard 10 2 3 9 2 2" xfId="5830"/>
    <cellStyle name="Standaard 10 2 3 9 2 2 2" xfId="5831"/>
    <cellStyle name="Standaard 10 2 3 9 2 3" xfId="5832"/>
    <cellStyle name="Standaard 10 2 3 9 3" xfId="5833"/>
    <cellStyle name="Standaard 10 2 3 9 3 2" xfId="5834"/>
    <cellStyle name="Standaard 10 2 3 9 4" xfId="5835"/>
    <cellStyle name="Standaard 10 2 4" xfId="5836"/>
    <cellStyle name="Standaard 10 2 4 2" xfId="5837"/>
    <cellStyle name="Standaard 10 2 4 2 2" xfId="5838"/>
    <cellStyle name="Standaard 10 2 4 2 2 2" xfId="5839"/>
    <cellStyle name="Standaard 10 2 4 2 2 2 2" xfId="5840"/>
    <cellStyle name="Standaard 10 2 4 2 2 2 2 2" xfId="5841"/>
    <cellStyle name="Standaard 10 2 4 2 2 2 2 2 2" xfId="5842"/>
    <cellStyle name="Standaard 10 2 4 2 2 2 2 2 2 2" xfId="5843"/>
    <cellStyle name="Standaard 10 2 4 2 2 2 2 2 3" xfId="5844"/>
    <cellStyle name="Standaard 10 2 4 2 2 2 2 3" xfId="5845"/>
    <cellStyle name="Standaard 10 2 4 2 2 2 2 3 2" xfId="5846"/>
    <cellStyle name="Standaard 10 2 4 2 2 2 2 4" xfId="5847"/>
    <cellStyle name="Standaard 10 2 4 2 2 2 3" xfId="5848"/>
    <cellStyle name="Standaard 10 2 4 2 2 2 3 2" xfId="5849"/>
    <cellStyle name="Standaard 10 2 4 2 2 2 3 2 2" xfId="5850"/>
    <cellStyle name="Standaard 10 2 4 2 2 2 3 3" xfId="5851"/>
    <cellStyle name="Standaard 10 2 4 2 2 2 4" xfId="5852"/>
    <cellStyle name="Standaard 10 2 4 2 2 2 4 2" xfId="5853"/>
    <cellStyle name="Standaard 10 2 4 2 2 2 5" xfId="5854"/>
    <cellStyle name="Standaard 10 2 4 2 2 2 6" xfId="5855"/>
    <cellStyle name="Standaard 10 2 4 2 2 3" xfId="5856"/>
    <cellStyle name="Standaard 10 2 4 2 2 3 2" xfId="5857"/>
    <cellStyle name="Standaard 10 2 4 2 2 3 2 2" xfId="5858"/>
    <cellStyle name="Standaard 10 2 4 2 2 3 2 2 2" xfId="5859"/>
    <cellStyle name="Standaard 10 2 4 2 2 3 2 3" xfId="5860"/>
    <cellStyle name="Standaard 10 2 4 2 2 3 3" xfId="5861"/>
    <cellStyle name="Standaard 10 2 4 2 2 3 3 2" xfId="5862"/>
    <cellStyle name="Standaard 10 2 4 2 2 3 4" xfId="5863"/>
    <cellStyle name="Standaard 10 2 4 2 2 4" xfId="5864"/>
    <cellStyle name="Standaard 10 2 4 2 2 4 2" xfId="5865"/>
    <cellStyle name="Standaard 10 2 4 2 2 4 2 2" xfId="5866"/>
    <cellStyle name="Standaard 10 2 4 2 2 4 3" xfId="5867"/>
    <cellStyle name="Standaard 10 2 4 2 2 5" xfId="5868"/>
    <cellStyle name="Standaard 10 2 4 2 2 5 2" xfId="5869"/>
    <cellStyle name="Standaard 10 2 4 2 2 6" xfId="5870"/>
    <cellStyle name="Standaard 10 2 4 2 2 7" xfId="5871"/>
    <cellStyle name="Standaard 10 2 4 2 3" xfId="5872"/>
    <cellStyle name="Standaard 10 2 4 2 3 2" xfId="5873"/>
    <cellStyle name="Standaard 10 2 4 2 3 2 2" xfId="5874"/>
    <cellStyle name="Standaard 10 2 4 2 3 2 2 2" xfId="5875"/>
    <cellStyle name="Standaard 10 2 4 2 3 2 2 2 2" xfId="5876"/>
    <cellStyle name="Standaard 10 2 4 2 3 2 2 3" xfId="5877"/>
    <cellStyle name="Standaard 10 2 4 2 3 2 3" xfId="5878"/>
    <cellStyle name="Standaard 10 2 4 2 3 2 3 2" xfId="5879"/>
    <cellStyle name="Standaard 10 2 4 2 3 2 4" xfId="5880"/>
    <cellStyle name="Standaard 10 2 4 2 3 3" xfId="5881"/>
    <cellStyle name="Standaard 10 2 4 2 3 3 2" xfId="5882"/>
    <cellStyle name="Standaard 10 2 4 2 3 3 2 2" xfId="5883"/>
    <cellStyle name="Standaard 10 2 4 2 3 3 3" xfId="5884"/>
    <cellStyle name="Standaard 10 2 4 2 3 4" xfId="5885"/>
    <cellStyle name="Standaard 10 2 4 2 3 4 2" xfId="5886"/>
    <cellStyle name="Standaard 10 2 4 2 3 5" xfId="5887"/>
    <cellStyle name="Standaard 10 2 4 2 3 6" xfId="5888"/>
    <cellStyle name="Standaard 10 2 4 2 4" xfId="5889"/>
    <cellStyle name="Standaard 10 2 4 2 4 2" xfId="5890"/>
    <cellStyle name="Standaard 10 2 4 2 4 2 2" xfId="5891"/>
    <cellStyle name="Standaard 10 2 4 2 4 2 2 2" xfId="5892"/>
    <cellStyle name="Standaard 10 2 4 2 4 2 3" xfId="5893"/>
    <cellStyle name="Standaard 10 2 4 2 4 3" xfId="5894"/>
    <cellStyle name="Standaard 10 2 4 2 4 3 2" xfId="5895"/>
    <cellStyle name="Standaard 10 2 4 2 4 4" xfId="5896"/>
    <cellStyle name="Standaard 10 2 4 2 5" xfId="5897"/>
    <cellStyle name="Standaard 10 2 4 2 5 2" xfId="5898"/>
    <cellStyle name="Standaard 10 2 4 2 5 2 2" xfId="5899"/>
    <cellStyle name="Standaard 10 2 4 2 5 3" xfId="5900"/>
    <cellStyle name="Standaard 10 2 4 2 6" xfId="5901"/>
    <cellStyle name="Standaard 10 2 4 2 6 2" xfId="5902"/>
    <cellStyle name="Standaard 10 2 4 2 7" xfId="5903"/>
    <cellStyle name="Standaard 10 2 4 2 8" xfId="5904"/>
    <cellStyle name="Standaard 10 2 4 3" xfId="5905"/>
    <cellStyle name="Standaard 10 2 4 3 2" xfId="5906"/>
    <cellStyle name="Standaard 10 2 4 3 2 2" xfId="5907"/>
    <cellStyle name="Standaard 10 2 4 3 2 2 2" xfId="5908"/>
    <cellStyle name="Standaard 10 2 4 3 2 2 2 2" xfId="5909"/>
    <cellStyle name="Standaard 10 2 4 3 2 2 2 2 2" xfId="5910"/>
    <cellStyle name="Standaard 10 2 4 3 2 2 2 3" xfId="5911"/>
    <cellStyle name="Standaard 10 2 4 3 2 2 3" xfId="5912"/>
    <cellStyle name="Standaard 10 2 4 3 2 2 3 2" xfId="5913"/>
    <cellStyle name="Standaard 10 2 4 3 2 2 4" xfId="5914"/>
    <cellStyle name="Standaard 10 2 4 3 2 3" xfId="5915"/>
    <cellStyle name="Standaard 10 2 4 3 2 3 2" xfId="5916"/>
    <cellStyle name="Standaard 10 2 4 3 2 3 2 2" xfId="5917"/>
    <cellStyle name="Standaard 10 2 4 3 2 3 3" xfId="5918"/>
    <cellStyle name="Standaard 10 2 4 3 2 4" xfId="5919"/>
    <cellStyle name="Standaard 10 2 4 3 2 4 2" xfId="5920"/>
    <cellStyle name="Standaard 10 2 4 3 2 5" xfId="5921"/>
    <cellStyle name="Standaard 10 2 4 3 2 6" xfId="5922"/>
    <cellStyle name="Standaard 10 2 4 3 3" xfId="5923"/>
    <cellStyle name="Standaard 10 2 4 3 3 2" xfId="5924"/>
    <cellStyle name="Standaard 10 2 4 3 3 2 2" xfId="5925"/>
    <cellStyle name="Standaard 10 2 4 3 3 2 2 2" xfId="5926"/>
    <cellStyle name="Standaard 10 2 4 3 3 2 3" xfId="5927"/>
    <cellStyle name="Standaard 10 2 4 3 3 3" xfId="5928"/>
    <cellStyle name="Standaard 10 2 4 3 3 3 2" xfId="5929"/>
    <cellStyle name="Standaard 10 2 4 3 3 4" xfId="5930"/>
    <cellStyle name="Standaard 10 2 4 3 4" xfId="5931"/>
    <cellStyle name="Standaard 10 2 4 3 4 2" xfId="5932"/>
    <cellStyle name="Standaard 10 2 4 3 4 2 2" xfId="5933"/>
    <cellStyle name="Standaard 10 2 4 3 4 3" xfId="5934"/>
    <cellStyle name="Standaard 10 2 4 3 5" xfId="5935"/>
    <cellStyle name="Standaard 10 2 4 3 5 2" xfId="5936"/>
    <cellStyle name="Standaard 10 2 4 3 6" xfId="5937"/>
    <cellStyle name="Standaard 10 2 4 3 7" xfId="5938"/>
    <cellStyle name="Standaard 10 2 4 4" xfId="5939"/>
    <cellStyle name="Standaard 10 2 4 4 2" xfId="5940"/>
    <cellStyle name="Standaard 10 2 4 4 2 2" xfId="5941"/>
    <cellStyle name="Standaard 10 2 4 4 2 2 2" xfId="5942"/>
    <cellStyle name="Standaard 10 2 4 4 2 2 2 2" xfId="5943"/>
    <cellStyle name="Standaard 10 2 4 4 2 2 3" xfId="5944"/>
    <cellStyle name="Standaard 10 2 4 4 2 3" xfId="5945"/>
    <cellStyle name="Standaard 10 2 4 4 2 3 2" xfId="5946"/>
    <cellStyle name="Standaard 10 2 4 4 2 4" xfId="5947"/>
    <cellStyle name="Standaard 10 2 4 4 3" xfId="5948"/>
    <cellStyle name="Standaard 10 2 4 4 3 2" xfId="5949"/>
    <cellStyle name="Standaard 10 2 4 4 3 2 2" xfId="5950"/>
    <cellStyle name="Standaard 10 2 4 4 3 3" xfId="5951"/>
    <cellStyle name="Standaard 10 2 4 4 4" xfId="5952"/>
    <cellStyle name="Standaard 10 2 4 4 4 2" xfId="5953"/>
    <cellStyle name="Standaard 10 2 4 4 5" xfId="5954"/>
    <cellStyle name="Standaard 10 2 4 4 6" xfId="5955"/>
    <cellStyle name="Standaard 10 2 4 5" xfId="5956"/>
    <cellStyle name="Standaard 10 2 4 5 2" xfId="5957"/>
    <cellStyle name="Standaard 10 2 4 5 2 2" xfId="5958"/>
    <cellStyle name="Standaard 10 2 4 5 2 2 2" xfId="5959"/>
    <cellStyle name="Standaard 10 2 4 5 2 3" xfId="5960"/>
    <cellStyle name="Standaard 10 2 4 5 3" xfId="5961"/>
    <cellStyle name="Standaard 10 2 4 5 3 2" xfId="5962"/>
    <cellStyle name="Standaard 10 2 4 5 4" xfId="5963"/>
    <cellStyle name="Standaard 10 2 4 6" xfId="5964"/>
    <cellStyle name="Standaard 10 2 4 6 2" xfId="5965"/>
    <cellStyle name="Standaard 10 2 4 6 2 2" xfId="5966"/>
    <cellStyle name="Standaard 10 2 4 6 3" xfId="5967"/>
    <cellStyle name="Standaard 10 2 4 7" xfId="5968"/>
    <cellStyle name="Standaard 10 2 4 7 2" xfId="5969"/>
    <cellStyle name="Standaard 10 2 4 8" xfId="5970"/>
    <cellStyle name="Standaard 10 2 4 9" xfId="5971"/>
    <cellStyle name="Standaard 10 2 5" xfId="5972"/>
    <cellStyle name="Standaard 10 2 5 2" xfId="5973"/>
    <cellStyle name="Standaard 10 2 5 2 2" xfId="5974"/>
    <cellStyle name="Standaard 10 2 5 2 2 2" xfId="5975"/>
    <cellStyle name="Standaard 10 2 5 2 2 2 2" xfId="5976"/>
    <cellStyle name="Standaard 10 2 5 2 2 2 2 2" xfId="5977"/>
    <cellStyle name="Standaard 10 2 5 2 2 2 2 2 2" xfId="5978"/>
    <cellStyle name="Standaard 10 2 5 2 2 2 2 3" xfId="5979"/>
    <cellStyle name="Standaard 10 2 5 2 2 2 3" xfId="5980"/>
    <cellStyle name="Standaard 10 2 5 2 2 2 3 2" xfId="5981"/>
    <cellStyle name="Standaard 10 2 5 2 2 2 4" xfId="5982"/>
    <cellStyle name="Standaard 10 2 5 2 2 3" xfId="5983"/>
    <cellStyle name="Standaard 10 2 5 2 2 3 2" xfId="5984"/>
    <cellStyle name="Standaard 10 2 5 2 2 3 2 2" xfId="5985"/>
    <cellStyle name="Standaard 10 2 5 2 2 3 3" xfId="5986"/>
    <cellStyle name="Standaard 10 2 5 2 2 4" xfId="5987"/>
    <cellStyle name="Standaard 10 2 5 2 2 4 2" xfId="5988"/>
    <cellStyle name="Standaard 10 2 5 2 2 5" xfId="5989"/>
    <cellStyle name="Standaard 10 2 5 2 2 6" xfId="5990"/>
    <cellStyle name="Standaard 10 2 5 2 3" xfId="5991"/>
    <cellStyle name="Standaard 10 2 5 2 3 2" xfId="5992"/>
    <cellStyle name="Standaard 10 2 5 2 3 2 2" xfId="5993"/>
    <cellStyle name="Standaard 10 2 5 2 3 2 2 2" xfId="5994"/>
    <cellStyle name="Standaard 10 2 5 2 3 2 3" xfId="5995"/>
    <cellStyle name="Standaard 10 2 5 2 3 3" xfId="5996"/>
    <cellStyle name="Standaard 10 2 5 2 3 3 2" xfId="5997"/>
    <cellStyle name="Standaard 10 2 5 2 3 4" xfId="5998"/>
    <cellStyle name="Standaard 10 2 5 2 4" xfId="5999"/>
    <cellStyle name="Standaard 10 2 5 2 4 2" xfId="6000"/>
    <cellStyle name="Standaard 10 2 5 2 4 2 2" xfId="6001"/>
    <cellStyle name="Standaard 10 2 5 2 4 3" xfId="6002"/>
    <cellStyle name="Standaard 10 2 5 2 5" xfId="6003"/>
    <cellStyle name="Standaard 10 2 5 2 5 2" xfId="6004"/>
    <cellStyle name="Standaard 10 2 5 2 6" xfId="6005"/>
    <cellStyle name="Standaard 10 2 5 2 7" xfId="6006"/>
    <cellStyle name="Standaard 10 2 5 3" xfId="6007"/>
    <cellStyle name="Standaard 10 2 5 3 2" xfId="6008"/>
    <cellStyle name="Standaard 10 2 5 3 2 2" xfId="6009"/>
    <cellStyle name="Standaard 10 2 5 3 2 2 2" xfId="6010"/>
    <cellStyle name="Standaard 10 2 5 3 2 2 2 2" xfId="6011"/>
    <cellStyle name="Standaard 10 2 5 3 2 2 3" xfId="6012"/>
    <cellStyle name="Standaard 10 2 5 3 2 3" xfId="6013"/>
    <cellStyle name="Standaard 10 2 5 3 2 3 2" xfId="6014"/>
    <cellStyle name="Standaard 10 2 5 3 2 4" xfId="6015"/>
    <cellStyle name="Standaard 10 2 5 3 3" xfId="6016"/>
    <cellStyle name="Standaard 10 2 5 3 3 2" xfId="6017"/>
    <cellStyle name="Standaard 10 2 5 3 3 2 2" xfId="6018"/>
    <cellStyle name="Standaard 10 2 5 3 3 3" xfId="6019"/>
    <cellStyle name="Standaard 10 2 5 3 4" xfId="6020"/>
    <cellStyle name="Standaard 10 2 5 3 4 2" xfId="6021"/>
    <cellStyle name="Standaard 10 2 5 3 5" xfId="6022"/>
    <cellStyle name="Standaard 10 2 5 3 6" xfId="6023"/>
    <cellStyle name="Standaard 10 2 5 4" xfId="6024"/>
    <cellStyle name="Standaard 10 2 5 4 2" xfId="6025"/>
    <cellStyle name="Standaard 10 2 5 4 2 2" xfId="6026"/>
    <cellStyle name="Standaard 10 2 5 4 2 2 2" xfId="6027"/>
    <cellStyle name="Standaard 10 2 5 4 2 3" xfId="6028"/>
    <cellStyle name="Standaard 10 2 5 4 3" xfId="6029"/>
    <cellStyle name="Standaard 10 2 5 4 3 2" xfId="6030"/>
    <cellStyle name="Standaard 10 2 5 4 4" xfId="6031"/>
    <cellStyle name="Standaard 10 2 5 5" xfId="6032"/>
    <cellStyle name="Standaard 10 2 5 5 2" xfId="6033"/>
    <cellStyle name="Standaard 10 2 5 5 2 2" xfId="6034"/>
    <cellStyle name="Standaard 10 2 5 5 3" xfId="6035"/>
    <cellStyle name="Standaard 10 2 5 6" xfId="6036"/>
    <cellStyle name="Standaard 10 2 5 6 2" xfId="6037"/>
    <cellStyle name="Standaard 10 2 5 7" xfId="6038"/>
    <cellStyle name="Standaard 10 2 5 8" xfId="6039"/>
    <cellStyle name="Standaard 10 2 6" xfId="6040"/>
    <cellStyle name="Standaard 10 2 6 2" xfId="6041"/>
    <cellStyle name="Standaard 10 2 6 2 2" xfId="6042"/>
    <cellStyle name="Standaard 10 2 6 2 2 2" xfId="6043"/>
    <cellStyle name="Standaard 10 2 6 2 2 2 2" xfId="6044"/>
    <cellStyle name="Standaard 10 2 6 2 2 2 2 2" xfId="6045"/>
    <cellStyle name="Standaard 10 2 6 2 2 2 2 2 2" xfId="6046"/>
    <cellStyle name="Standaard 10 2 6 2 2 2 2 3" xfId="6047"/>
    <cellStyle name="Standaard 10 2 6 2 2 2 3" xfId="6048"/>
    <cellStyle name="Standaard 10 2 6 2 2 2 3 2" xfId="6049"/>
    <cellStyle name="Standaard 10 2 6 2 2 2 4" xfId="6050"/>
    <cellStyle name="Standaard 10 2 6 2 2 3" xfId="6051"/>
    <cellStyle name="Standaard 10 2 6 2 2 3 2" xfId="6052"/>
    <cellStyle name="Standaard 10 2 6 2 2 3 2 2" xfId="6053"/>
    <cellStyle name="Standaard 10 2 6 2 2 3 3" xfId="6054"/>
    <cellStyle name="Standaard 10 2 6 2 2 4" xfId="6055"/>
    <cellStyle name="Standaard 10 2 6 2 2 4 2" xfId="6056"/>
    <cellStyle name="Standaard 10 2 6 2 2 5" xfId="6057"/>
    <cellStyle name="Standaard 10 2 6 2 2 6" xfId="6058"/>
    <cellStyle name="Standaard 10 2 6 2 3" xfId="6059"/>
    <cellStyle name="Standaard 10 2 6 2 3 2" xfId="6060"/>
    <cellStyle name="Standaard 10 2 6 2 3 2 2" xfId="6061"/>
    <cellStyle name="Standaard 10 2 6 2 3 2 2 2" xfId="6062"/>
    <cellStyle name="Standaard 10 2 6 2 3 2 3" xfId="6063"/>
    <cellStyle name="Standaard 10 2 6 2 3 3" xfId="6064"/>
    <cellStyle name="Standaard 10 2 6 2 3 3 2" xfId="6065"/>
    <cellStyle name="Standaard 10 2 6 2 3 4" xfId="6066"/>
    <cellStyle name="Standaard 10 2 6 2 4" xfId="6067"/>
    <cellStyle name="Standaard 10 2 6 2 4 2" xfId="6068"/>
    <cellStyle name="Standaard 10 2 6 2 4 2 2" xfId="6069"/>
    <cellStyle name="Standaard 10 2 6 2 4 3" xfId="6070"/>
    <cellStyle name="Standaard 10 2 6 2 5" xfId="6071"/>
    <cellStyle name="Standaard 10 2 6 2 5 2" xfId="6072"/>
    <cellStyle name="Standaard 10 2 6 2 6" xfId="6073"/>
    <cellStyle name="Standaard 10 2 6 2 7" xfId="6074"/>
    <cellStyle name="Standaard 10 2 6 3" xfId="6075"/>
    <cellStyle name="Standaard 10 2 6 3 2" xfId="6076"/>
    <cellStyle name="Standaard 10 2 6 3 2 2" xfId="6077"/>
    <cellStyle name="Standaard 10 2 6 3 2 2 2" xfId="6078"/>
    <cellStyle name="Standaard 10 2 6 3 2 2 2 2" xfId="6079"/>
    <cellStyle name="Standaard 10 2 6 3 2 2 3" xfId="6080"/>
    <cellStyle name="Standaard 10 2 6 3 2 3" xfId="6081"/>
    <cellStyle name="Standaard 10 2 6 3 2 3 2" xfId="6082"/>
    <cellStyle name="Standaard 10 2 6 3 2 4" xfId="6083"/>
    <cellStyle name="Standaard 10 2 6 3 3" xfId="6084"/>
    <cellStyle name="Standaard 10 2 6 3 3 2" xfId="6085"/>
    <cellStyle name="Standaard 10 2 6 3 3 2 2" xfId="6086"/>
    <cellStyle name="Standaard 10 2 6 3 3 3" xfId="6087"/>
    <cellStyle name="Standaard 10 2 6 3 4" xfId="6088"/>
    <cellStyle name="Standaard 10 2 6 3 4 2" xfId="6089"/>
    <cellStyle name="Standaard 10 2 6 3 5" xfId="6090"/>
    <cellStyle name="Standaard 10 2 6 3 6" xfId="6091"/>
    <cellStyle name="Standaard 10 2 6 4" xfId="6092"/>
    <cellStyle name="Standaard 10 2 6 4 2" xfId="6093"/>
    <cellStyle name="Standaard 10 2 6 4 2 2" xfId="6094"/>
    <cellStyle name="Standaard 10 2 6 4 2 2 2" xfId="6095"/>
    <cellStyle name="Standaard 10 2 6 4 2 3" xfId="6096"/>
    <cellStyle name="Standaard 10 2 6 4 3" xfId="6097"/>
    <cellStyle name="Standaard 10 2 6 4 3 2" xfId="6098"/>
    <cellStyle name="Standaard 10 2 6 4 4" xfId="6099"/>
    <cellStyle name="Standaard 10 2 6 5" xfId="6100"/>
    <cellStyle name="Standaard 10 2 6 5 2" xfId="6101"/>
    <cellStyle name="Standaard 10 2 6 5 2 2" xfId="6102"/>
    <cellStyle name="Standaard 10 2 6 5 3" xfId="6103"/>
    <cellStyle name="Standaard 10 2 6 6" xfId="6104"/>
    <cellStyle name="Standaard 10 2 6 6 2" xfId="6105"/>
    <cellStyle name="Standaard 10 2 6 7" xfId="6106"/>
    <cellStyle name="Standaard 10 2 6 8" xfId="6107"/>
    <cellStyle name="Standaard 10 2 7" xfId="6108"/>
    <cellStyle name="Standaard 10 2 7 2" xfId="6109"/>
    <cellStyle name="Standaard 10 2 7 2 2" xfId="6110"/>
    <cellStyle name="Standaard 10 2 7 2 2 2" xfId="6111"/>
    <cellStyle name="Standaard 10 2 7 2 2 2 2" xfId="6112"/>
    <cellStyle name="Standaard 10 2 7 2 2 2 2 2" xfId="6113"/>
    <cellStyle name="Standaard 10 2 7 2 2 2 3" xfId="6114"/>
    <cellStyle name="Standaard 10 2 7 2 2 3" xfId="6115"/>
    <cellStyle name="Standaard 10 2 7 2 2 3 2" xfId="6116"/>
    <cellStyle name="Standaard 10 2 7 2 2 4" xfId="6117"/>
    <cellStyle name="Standaard 10 2 7 2 3" xfId="6118"/>
    <cellStyle name="Standaard 10 2 7 2 3 2" xfId="6119"/>
    <cellStyle name="Standaard 10 2 7 2 3 2 2" xfId="6120"/>
    <cellStyle name="Standaard 10 2 7 2 3 3" xfId="6121"/>
    <cellStyle name="Standaard 10 2 7 2 4" xfId="6122"/>
    <cellStyle name="Standaard 10 2 7 2 4 2" xfId="6123"/>
    <cellStyle name="Standaard 10 2 7 2 5" xfId="6124"/>
    <cellStyle name="Standaard 10 2 7 2 6" xfId="6125"/>
    <cellStyle name="Standaard 10 2 7 3" xfId="6126"/>
    <cellStyle name="Standaard 10 2 7 3 2" xfId="6127"/>
    <cellStyle name="Standaard 10 2 7 3 2 2" xfId="6128"/>
    <cellStyle name="Standaard 10 2 7 3 2 2 2" xfId="6129"/>
    <cellStyle name="Standaard 10 2 7 3 2 3" xfId="6130"/>
    <cellStyle name="Standaard 10 2 7 3 3" xfId="6131"/>
    <cellStyle name="Standaard 10 2 7 3 3 2" xfId="6132"/>
    <cellStyle name="Standaard 10 2 7 3 4" xfId="6133"/>
    <cellStyle name="Standaard 10 2 7 4" xfId="6134"/>
    <cellStyle name="Standaard 10 2 7 4 2" xfId="6135"/>
    <cellStyle name="Standaard 10 2 7 4 2 2" xfId="6136"/>
    <cellStyle name="Standaard 10 2 7 4 3" xfId="6137"/>
    <cellStyle name="Standaard 10 2 7 5" xfId="6138"/>
    <cellStyle name="Standaard 10 2 7 5 2" xfId="6139"/>
    <cellStyle name="Standaard 10 2 7 6" xfId="6140"/>
    <cellStyle name="Standaard 10 2 7 7" xfId="6141"/>
    <cellStyle name="Standaard 10 2 8" xfId="6142"/>
    <cellStyle name="Standaard 10 2 8 2" xfId="6143"/>
    <cellStyle name="Standaard 10 2 8 2 2" xfId="6144"/>
    <cellStyle name="Standaard 10 2 8 2 2 2" xfId="6145"/>
    <cellStyle name="Standaard 10 2 8 2 2 2 2" xfId="6146"/>
    <cellStyle name="Standaard 10 2 8 2 2 3" xfId="6147"/>
    <cellStyle name="Standaard 10 2 8 2 3" xfId="6148"/>
    <cellStyle name="Standaard 10 2 8 2 3 2" xfId="6149"/>
    <cellStyle name="Standaard 10 2 8 2 4" xfId="6150"/>
    <cellStyle name="Standaard 10 2 8 3" xfId="6151"/>
    <cellStyle name="Standaard 10 2 8 3 2" xfId="6152"/>
    <cellStyle name="Standaard 10 2 8 3 2 2" xfId="6153"/>
    <cellStyle name="Standaard 10 2 8 3 3" xfId="6154"/>
    <cellStyle name="Standaard 10 2 8 4" xfId="6155"/>
    <cellStyle name="Standaard 10 2 8 4 2" xfId="6156"/>
    <cellStyle name="Standaard 10 2 8 5" xfId="6157"/>
    <cellStyle name="Standaard 10 2 8 6" xfId="6158"/>
    <cellStyle name="Standaard 10 2 9" xfId="6159"/>
    <cellStyle name="Standaard 10 2 9 2" xfId="6160"/>
    <cellStyle name="Standaard 10 2 9 2 2" xfId="6161"/>
    <cellStyle name="Standaard 10 2 9 2 2 2" xfId="6162"/>
    <cellStyle name="Standaard 10 2 9 2 3" xfId="6163"/>
    <cellStyle name="Standaard 10 2 9 3" xfId="6164"/>
    <cellStyle name="Standaard 10 2 9 3 2" xfId="6165"/>
    <cellStyle name="Standaard 10 2 9 4" xfId="6166"/>
    <cellStyle name="Standaard 10 3" xfId="6167"/>
    <cellStyle name="Standaard 10 3 10" xfId="6168"/>
    <cellStyle name="Standaard 10 3 11" xfId="6169"/>
    <cellStyle name="Standaard 10 3 2" xfId="6170"/>
    <cellStyle name="Standaard 10 3 2 2" xfId="6171"/>
    <cellStyle name="Standaard 10 3 2 2 2" xfId="6172"/>
    <cellStyle name="Standaard 10 3 2 2 2 2" xfId="6173"/>
    <cellStyle name="Standaard 10 3 2 2 2 2 2" xfId="6174"/>
    <cellStyle name="Standaard 10 3 2 2 2 2 2 2" xfId="6175"/>
    <cellStyle name="Standaard 10 3 2 2 2 2 2 2 2" xfId="6176"/>
    <cellStyle name="Standaard 10 3 2 2 2 2 2 2 2 2" xfId="6177"/>
    <cellStyle name="Standaard 10 3 2 2 2 2 2 2 3" xfId="6178"/>
    <cellStyle name="Standaard 10 3 2 2 2 2 2 3" xfId="6179"/>
    <cellStyle name="Standaard 10 3 2 2 2 2 2 3 2" xfId="6180"/>
    <cellStyle name="Standaard 10 3 2 2 2 2 2 4" xfId="6181"/>
    <cellStyle name="Standaard 10 3 2 2 2 2 3" xfId="6182"/>
    <cellStyle name="Standaard 10 3 2 2 2 2 3 2" xfId="6183"/>
    <cellStyle name="Standaard 10 3 2 2 2 2 3 2 2" xfId="6184"/>
    <cellStyle name="Standaard 10 3 2 2 2 2 3 3" xfId="6185"/>
    <cellStyle name="Standaard 10 3 2 2 2 2 4" xfId="6186"/>
    <cellStyle name="Standaard 10 3 2 2 2 2 4 2" xfId="6187"/>
    <cellStyle name="Standaard 10 3 2 2 2 2 5" xfId="6188"/>
    <cellStyle name="Standaard 10 3 2 2 2 2 6" xfId="6189"/>
    <cellStyle name="Standaard 10 3 2 2 2 3" xfId="6190"/>
    <cellStyle name="Standaard 10 3 2 2 2 3 2" xfId="6191"/>
    <cellStyle name="Standaard 10 3 2 2 2 3 2 2" xfId="6192"/>
    <cellStyle name="Standaard 10 3 2 2 2 3 2 2 2" xfId="6193"/>
    <cellStyle name="Standaard 10 3 2 2 2 3 2 3" xfId="6194"/>
    <cellStyle name="Standaard 10 3 2 2 2 3 3" xfId="6195"/>
    <cellStyle name="Standaard 10 3 2 2 2 3 3 2" xfId="6196"/>
    <cellStyle name="Standaard 10 3 2 2 2 3 4" xfId="6197"/>
    <cellStyle name="Standaard 10 3 2 2 2 4" xfId="6198"/>
    <cellStyle name="Standaard 10 3 2 2 2 4 2" xfId="6199"/>
    <cellStyle name="Standaard 10 3 2 2 2 4 2 2" xfId="6200"/>
    <cellStyle name="Standaard 10 3 2 2 2 4 3" xfId="6201"/>
    <cellStyle name="Standaard 10 3 2 2 2 5" xfId="6202"/>
    <cellStyle name="Standaard 10 3 2 2 2 5 2" xfId="6203"/>
    <cellStyle name="Standaard 10 3 2 2 2 6" xfId="6204"/>
    <cellStyle name="Standaard 10 3 2 2 2 7" xfId="6205"/>
    <cellStyle name="Standaard 10 3 2 2 3" xfId="6206"/>
    <cellStyle name="Standaard 10 3 2 2 3 2" xfId="6207"/>
    <cellStyle name="Standaard 10 3 2 2 3 2 2" xfId="6208"/>
    <cellStyle name="Standaard 10 3 2 2 3 2 2 2" xfId="6209"/>
    <cellStyle name="Standaard 10 3 2 2 3 2 2 2 2" xfId="6210"/>
    <cellStyle name="Standaard 10 3 2 2 3 2 2 3" xfId="6211"/>
    <cellStyle name="Standaard 10 3 2 2 3 2 3" xfId="6212"/>
    <cellStyle name="Standaard 10 3 2 2 3 2 3 2" xfId="6213"/>
    <cellStyle name="Standaard 10 3 2 2 3 2 4" xfId="6214"/>
    <cellStyle name="Standaard 10 3 2 2 3 3" xfId="6215"/>
    <cellStyle name="Standaard 10 3 2 2 3 3 2" xfId="6216"/>
    <cellStyle name="Standaard 10 3 2 2 3 3 2 2" xfId="6217"/>
    <cellStyle name="Standaard 10 3 2 2 3 3 3" xfId="6218"/>
    <cellStyle name="Standaard 10 3 2 2 3 4" xfId="6219"/>
    <cellStyle name="Standaard 10 3 2 2 3 4 2" xfId="6220"/>
    <cellStyle name="Standaard 10 3 2 2 3 5" xfId="6221"/>
    <cellStyle name="Standaard 10 3 2 2 3 6" xfId="6222"/>
    <cellStyle name="Standaard 10 3 2 2 4" xfId="6223"/>
    <cellStyle name="Standaard 10 3 2 2 4 2" xfId="6224"/>
    <cellStyle name="Standaard 10 3 2 2 4 2 2" xfId="6225"/>
    <cellStyle name="Standaard 10 3 2 2 4 2 2 2" xfId="6226"/>
    <cellStyle name="Standaard 10 3 2 2 4 2 3" xfId="6227"/>
    <cellStyle name="Standaard 10 3 2 2 4 3" xfId="6228"/>
    <cellStyle name="Standaard 10 3 2 2 4 3 2" xfId="6229"/>
    <cellStyle name="Standaard 10 3 2 2 4 4" xfId="6230"/>
    <cellStyle name="Standaard 10 3 2 2 5" xfId="6231"/>
    <cellStyle name="Standaard 10 3 2 2 5 2" xfId="6232"/>
    <cellStyle name="Standaard 10 3 2 2 5 2 2" xfId="6233"/>
    <cellStyle name="Standaard 10 3 2 2 5 3" xfId="6234"/>
    <cellStyle name="Standaard 10 3 2 2 6" xfId="6235"/>
    <cellStyle name="Standaard 10 3 2 2 6 2" xfId="6236"/>
    <cellStyle name="Standaard 10 3 2 2 7" xfId="6237"/>
    <cellStyle name="Standaard 10 3 2 2 8" xfId="6238"/>
    <cellStyle name="Standaard 10 3 2 3" xfId="6239"/>
    <cellStyle name="Standaard 10 3 2 3 2" xfId="6240"/>
    <cellStyle name="Standaard 10 3 2 3 2 2" xfId="6241"/>
    <cellStyle name="Standaard 10 3 2 3 2 2 2" xfId="6242"/>
    <cellStyle name="Standaard 10 3 2 3 2 2 2 2" xfId="6243"/>
    <cellStyle name="Standaard 10 3 2 3 2 2 2 2 2" xfId="6244"/>
    <cellStyle name="Standaard 10 3 2 3 2 2 2 3" xfId="6245"/>
    <cellStyle name="Standaard 10 3 2 3 2 2 3" xfId="6246"/>
    <cellStyle name="Standaard 10 3 2 3 2 2 3 2" xfId="6247"/>
    <cellStyle name="Standaard 10 3 2 3 2 2 4" xfId="6248"/>
    <cellStyle name="Standaard 10 3 2 3 2 3" xfId="6249"/>
    <cellStyle name="Standaard 10 3 2 3 2 3 2" xfId="6250"/>
    <cellStyle name="Standaard 10 3 2 3 2 3 2 2" xfId="6251"/>
    <cellStyle name="Standaard 10 3 2 3 2 3 3" xfId="6252"/>
    <cellStyle name="Standaard 10 3 2 3 2 4" xfId="6253"/>
    <cellStyle name="Standaard 10 3 2 3 2 4 2" xfId="6254"/>
    <cellStyle name="Standaard 10 3 2 3 2 5" xfId="6255"/>
    <cellStyle name="Standaard 10 3 2 3 2 6" xfId="6256"/>
    <cellStyle name="Standaard 10 3 2 3 3" xfId="6257"/>
    <cellStyle name="Standaard 10 3 2 3 3 2" xfId="6258"/>
    <cellStyle name="Standaard 10 3 2 3 3 2 2" xfId="6259"/>
    <cellStyle name="Standaard 10 3 2 3 3 2 2 2" xfId="6260"/>
    <cellStyle name="Standaard 10 3 2 3 3 2 3" xfId="6261"/>
    <cellStyle name="Standaard 10 3 2 3 3 3" xfId="6262"/>
    <cellStyle name="Standaard 10 3 2 3 3 3 2" xfId="6263"/>
    <cellStyle name="Standaard 10 3 2 3 3 4" xfId="6264"/>
    <cellStyle name="Standaard 10 3 2 3 4" xfId="6265"/>
    <cellStyle name="Standaard 10 3 2 3 4 2" xfId="6266"/>
    <cellStyle name="Standaard 10 3 2 3 4 2 2" xfId="6267"/>
    <cellStyle name="Standaard 10 3 2 3 4 3" xfId="6268"/>
    <cellStyle name="Standaard 10 3 2 3 5" xfId="6269"/>
    <cellStyle name="Standaard 10 3 2 3 5 2" xfId="6270"/>
    <cellStyle name="Standaard 10 3 2 3 6" xfId="6271"/>
    <cellStyle name="Standaard 10 3 2 3 7" xfId="6272"/>
    <cellStyle name="Standaard 10 3 2 4" xfId="6273"/>
    <cellStyle name="Standaard 10 3 2 4 2" xfId="6274"/>
    <cellStyle name="Standaard 10 3 2 4 2 2" xfId="6275"/>
    <cellStyle name="Standaard 10 3 2 4 2 2 2" xfId="6276"/>
    <cellStyle name="Standaard 10 3 2 4 2 2 2 2" xfId="6277"/>
    <cellStyle name="Standaard 10 3 2 4 2 2 3" xfId="6278"/>
    <cellStyle name="Standaard 10 3 2 4 2 3" xfId="6279"/>
    <cellStyle name="Standaard 10 3 2 4 2 3 2" xfId="6280"/>
    <cellStyle name="Standaard 10 3 2 4 2 4" xfId="6281"/>
    <cellStyle name="Standaard 10 3 2 4 3" xfId="6282"/>
    <cellStyle name="Standaard 10 3 2 4 3 2" xfId="6283"/>
    <cellStyle name="Standaard 10 3 2 4 3 2 2" xfId="6284"/>
    <cellStyle name="Standaard 10 3 2 4 3 3" xfId="6285"/>
    <cellStyle name="Standaard 10 3 2 4 4" xfId="6286"/>
    <cellStyle name="Standaard 10 3 2 4 4 2" xfId="6287"/>
    <cellStyle name="Standaard 10 3 2 4 5" xfId="6288"/>
    <cellStyle name="Standaard 10 3 2 4 6" xfId="6289"/>
    <cellStyle name="Standaard 10 3 2 5" xfId="6290"/>
    <cellStyle name="Standaard 10 3 2 5 2" xfId="6291"/>
    <cellStyle name="Standaard 10 3 2 5 2 2" xfId="6292"/>
    <cellStyle name="Standaard 10 3 2 5 2 2 2" xfId="6293"/>
    <cellStyle name="Standaard 10 3 2 5 2 3" xfId="6294"/>
    <cellStyle name="Standaard 10 3 2 5 3" xfId="6295"/>
    <cellStyle name="Standaard 10 3 2 5 3 2" xfId="6296"/>
    <cellStyle name="Standaard 10 3 2 5 4" xfId="6297"/>
    <cellStyle name="Standaard 10 3 2 6" xfId="6298"/>
    <cellStyle name="Standaard 10 3 2 6 2" xfId="6299"/>
    <cellStyle name="Standaard 10 3 2 6 2 2" xfId="6300"/>
    <cellStyle name="Standaard 10 3 2 6 3" xfId="6301"/>
    <cellStyle name="Standaard 10 3 2 7" xfId="6302"/>
    <cellStyle name="Standaard 10 3 2 7 2" xfId="6303"/>
    <cellStyle name="Standaard 10 3 2 8" xfId="6304"/>
    <cellStyle name="Standaard 10 3 2 9" xfId="6305"/>
    <cellStyle name="Standaard 10 3 3" xfId="6306"/>
    <cellStyle name="Standaard 10 3 3 2" xfId="6307"/>
    <cellStyle name="Standaard 10 3 3 2 2" xfId="6308"/>
    <cellStyle name="Standaard 10 3 3 2 2 2" xfId="6309"/>
    <cellStyle name="Standaard 10 3 3 2 2 2 2" xfId="6310"/>
    <cellStyle name="Standaard 10 3 3 2 2 2 2 2" xfId="6311"/>
    <cellStyle name="Standaard 10 3 3 2 2 2 2 2 2" xfId="6312"/>
    <cellStyle name="Standaard 10 3 3 2 2 2 2 3" xfId="6313"/>
    <cellStyle name="Standaard 10 3 3 2 2 2 3" xfId="6314"/>
    <cellStyle name="Standaard 10 3 3 2 2 2 3 2" xfId="6315"/>
    <cellStyle name="Standaard 10 3 3 2 2 2 4" xfId="6316"/>
    <cellStyle name="Standaard 10 3 3 2 2 3" xfId="6317"/>
    <cellStyle name="Standaard 10 3 3 2 2 3 2" xfId="6318"/>
    <cellStyle name="Standaard 10 3 3 2 2 3 2 2" xfId="6319"/>
    <cellStyle name="Standaard 10 3 3 2 2 3 3" xfId="6320"/>
    <cellStyle name="Standaard 10 3 3 2 2 4" xfId="6321"/>
    <cellStyle name="Standaard 10 3 3 2 2 4 2" xfId="6322"/>
    <cellStyle name="Standaard 10 3 3 2 2 5" xfId="6323"/>
    <cellStyle name="Standaard 10 3 3 2 2 6" xfId="6324"/>
    <cellStyle name="Standaard 10 3 3 2 3" xfId="6325"/>
    <cellStyle name="Standaard 10 3 3 2 3 2" xfId="6326"/>
    <cellStyle name="Standaard 10 3 3 2 3 2 2" xfId="6327"/>
    <cellStyle name="Standaard 10 3 3 2 3 2 2 2" xfId="6328"/>
    <cellStyle name="Standaard 10 3 3 2 3 2 3" xfId="6329"/>
    <cellStyle name="Standaard 10 3 3 2 3 3" xfId="6330"/>
    <cellStyle name="Standaard 10 3 3 2 3 3 2" xfId="6331"/>
    <cellStyle name="Standaard 10 3 3 2 3 4" xfId="6332"/>
    <cellStyle name="Standaard 10 3 3 2 4" xfId="6333"/>
    <cellStyle name="Standaard 10 3 3 2 4 2" xfId="6334"/>
    <cellStyle name="Standaard 10 3 3 2 4 2 2" xfId="6335"/>
    <cellStyle name="Standaard 10 3 3 2 4 3" xfId="6336"/>
    <cellStyle name="Standaard 10 3 3 2 5" xfId="6337"/>
    <cellStyle name="Standaard 10 3 3 2 5 2" xfId="6338"/>
    <cellStyle name="Standaard 10 3 3 2 6" xfId="6339"/>
    <cellStyle name="Standaard 10 3 3 2 7" xfId="6340"/>
    <cellStyle name="Standaard 10 3 3 3" xfId="6341"/>
    <cellStyle name="Standaard 10 3 3 3 2" xfId="6342"/>
    <cellStyle name="Standaard 10 3 3 3 2 2" xfId="6343"/>
    <cellStyle name="Standaard 10 3 3 3 2 2 2" xfId="6344"/>
    <cellStyle name="Standaard 10 3 3 3 2 2 2 2" xfId="6345"/>
    <cellStyle name="Standaard 10 3 3 3 2 2 3" xfId="6346"/>
    <cellStyle name="Standaard 10 3 3 3 2 3" xfId="6347"/>
    <cellStyle name="Standaard 10 3 3 3 2 3 2" xfId="6348"/>
    <cellStyle name="Standaard 10 3 3 3 2 4" xfId="6349"/>
    <cellStyle name="Standaard 10 3 3 3 3" xfId="6350"/>
    <cellStyle name="Standaard 10 3 3 3 3 2" xfId="6351"/>
    <cellStyle name="Standaard 10 3 3 3 3 2 2" xfId="6352"/>
    <cellStyle name="Standaard 10 3 3 3 3 3" xfId="6353"/>
    <cellStyle name="Standaard 10 3 3 3 4" xfId="6354"/>
    <cellStyle name="Standaard 10 3 3 3 4 2" xfId="6355"/>
    <cellStyle name="Standaard 10 3 3 3 5" xfId="6356"/>
    <cellStyle name="Standaard 10 3 3 3 6" xfId="6357"/>
    <cellStyle name="Standaard 10 3 3 4" xfId="6358"/>
    <cellStyle name="Standaard 10 3 3 4 2" xfId="6359"/>
    <cellStyle name="Standaard 10 3 3 4 2 2" xfId="6360"/>
    <cellStyle name="Standaard 10 3 3 4 2 2 2" xfId="6361"/>
    <cellStyle name="Standaard 10 3 3 4 2 3" xfId="6362"/>
    <cellStyle name="Standaard 10 3 3 4 3" xfId="6363"/>
    <cellStyle name="Standaard 10 3 3 4 3 2" xfId="6364"/>
    <cellStyle name="Standaard 10 3 3 4 4" xfId="6365"/>
    <cellStyle name="Standaard 10 3 3 5" xfId="6366"/>
    <cellStyle name="Standaard 10 3 3 5 2" xfId="6367"/>
    <cellStyle name="Standaard 10 3 3 5 2 2" xfId="6368"/>
    <cellStyle name="Standaard 10 3 3 5 3" xfId="6369"/>
    <cellStyle name="Standaard 10 3 3 6" xfId="6370"/>
    <cellStyle name="Standaard 10 3 3 6 2" xfId="6371"/>
    <cellStyle name="Standaard 10 3 3 7" xfId="6372"/>
    <cellStyle name="Standaard 10 3 3 8" xfId="6373"/>
    <cellStyle name="Standaard 10 3 4" xfId="6374"/>
    <cellStyle name="Standaard 10 3 4 2" xfId="6375"/>
    <cellStyle name="Standaard 10 3 4 2 2" xfId="6376"/>
    <cellStyle name="Standaard 10 3 4 2 2 2" xfId="6377"/>
    <cellStyle name="Standaard 10 3 4 2 2 2 2" xfId="6378"/>
    <cellStyle name="Standaard 10 3 4 2 2 2 2 2" xfId="6379"/>
    <cellStyle name="Standaard 10 3 4 2 2 2 2 2 2" xfId="6380"/>
    <cellStyle name="Standaard 10 3 4 2 2 2 2 3" xfId="6381"/>
    <cellStyle name="Standaard 10 3 4 2 2 2 3" xfId="6382"/>
    <cellStyle name="Standaard 10 3 4 2 2 2 3 2" xfId="6383"/>
    <cellStyle name="Standaard 10 3 4 2 2 2 4" xfId="6384"/>
    <cellStyle name="Standaard 10 3 4 2 2 3" xfId="6385"/>
    <cellStyle name="Standaard 10 3 4 2 2 3 2" xfId="6386"/>
    <cellStyle name="Standaard 10 3 4 2 2 3 2 2" xfId="6387"/>
    <cellStyle name="Standaard 10 3 4 2 2 3 3" xfId="6388"/>
    <cellStyle name="Standaard 10 3 4 2 2 4" xfId="6389"/>
    <cellStyle name="Standaard 10 3 4 2 2 4 2" xfId="6390"/>
    <cellStyle name="Standaard 10 3 4 2 2 5" xfId="6391"/>
    <cellStyle name="Standaard 10 3 4 2 2 6" xfId="6392"/>
    <cellStyle name="Standaard 10 3 4 2 3" xfId="6393"/>
    <cellStyle name="Standaard 10 3 4 2 3 2" xfId="6394"/>
    <cellStyle name="Standaard 10 3 4 2 3 2 2" xfId="6395"/>
    <cellStyle name="Standaard 10 3 4 2 3 2 2 2" xfId="6396"/>
    <cellStyle name="Standaard 10 3 4 2 3 2 3" xfId="6397"/>
    <cellStyle name="Standaard 10 3 4 2 3 3" xfId="6398"/>
    <cellStyle name="Standaard 10 3 4 2 3 3 2" xfId="6399"/>
    <cellStyle name="Standaard 10 3 4 2 3 4" xfId="6400"/>
    <cellStyle name="Standaard 10 3 4 2 4" xfId="6401"/>
    <cellStyle name="Standaard 10 3 4 2 4 2" xfId="6402"/>
    <cellStyle name="Standaard 10 3 4 2 4 2 2" xfId="6403"/>
    <cellStyle name="Standaard 10 3 4 2 4 3" xfId="6404"/>
    <cellStyle name="Standaard 10 3 4 2 5" xfId="6405"/>
    <cellStyle name="Standaard 10 3 4 2 5 2" xfId="6406"/>
    <cellStyle name="Standaard 10 3 4 2 6" xfId="6407"/>
    <cellStyle name="Standaard 10 3 4 2 7" xfId="6408"/>
    <cellStyle name="Standaard 10 3 4 3" xfId="6409"/>
    <cellStyle name="Standaard 10 3 4 3 2" xfId="6410"/>
    <cellStyle name="Standaard 10 3 4 3 2 2" xfId="6411"/>
    <cellStyle name="Standaard 10 3 4 3 2 2 2" xfId="6412"/>
    <cellStyle name="Standaard 10 3 4 3 2 2 2 2" xfId="6413"/>
    <cellStyle name="Standaard 10 3 4 3 2 2 3" xfId="6414"/>
    <cellStyle name="Standaard 10 3 4 3 2 3" xfId="6415"/>
    <cellStyle name="Standaard 10 3 4 3 2 3 2" xfId="6416"/>
    <cellStyle name="Standaard 10 3 4 3 2 4" xfId="6417"/>
    <cellStyle name="Standaard 10 3 4 3 3" xfId="6418"/>
    <cellStyle name="Standaard 10 3 4 3 3 2" xfId="6419"/>
    <cellStyle name="Standaard 10 3 4 3 3 2 2" xfId="6420"/>
    <cellStyle name="Standaard 10 3 4 3 3 3" xfId="6421"/>
    <cellStyle name="Standaard 10 3 4 3 4" xfId="6422"/>
    <cellStyle name="Standaard 10 3 4 3 4 2" xfId="6423"/>
    <cellStyle name="Standaard 10 3 4 3 5" xfId="6424"/>
    <cellStyle name="Standaard 10 3 4 3 6" xfId="6425"/>
    <cellStyle name="Standaard 10 3 4 4" xfId="6426"/>
    <cellStyle name="Standaard 10 3 4 4 2" xfId="6427"/>
    <cellStyle name="Standaard 10 3 4 4 2 2" xfId="6428"/>
    <cellStyle name="Standaard 10 3 4 4 2 2 2" xfId="6429"/>
    <cellStyle name="Standaard 10 3 4 4 2 3" xfId="6430"/>
    <cellStyle name="Standaard 10 3 4 4 3" xfId="6431"/>
    <cellStyle name="Standaard 10 3 4 4 3 2" xfId="6432"/>
    <cellStyle name="Standaard 10 3 4 4 4" xfId="6433"/>
    <cellStyle name="Standaard 10 3 4 5" xfId="6434"/>
    <cellStyle name="Standaard 10 3 4 5 2" xfId="6435"/>
    <cellStyle name="Standaard 10 3 4 5 2 2" xfId="6436"/>
    <cellStyle name="Standaard 10 3 4 5 3" xfId="6437"/>
    <cellStyle name="Standaard 10 3 4 6" xfId="6438"/>
    <cellStyle name="Standaard 10 3 4 6 2" xfId="6439"/>
    <cellStyle name="Standaard 10 3 4 7" xfId="6440"/>
    <cellStyle name="Standaard 10 3 4 8" xfId="6441"/>
    <cellStyle name="Standaard 10 3 5" xfId="6442"/>
    <cellStyle name="Standaard 10 3 5 2" xfId="6443"/>
    <cellStyle name="Standaard 10 3 5 2 2" xfId="6444"/>
    <cellStyle name="Standaard 10 3 5 2 2 2" xfId="6445"/>
    <cellStyle name="Standaard 10 3 5 2 2 2 2" xfId="6446"/>
    <cellStyle name="Standaard 10 3 5 2 2 2 2 2" xfId="6447"/>
    <cellStyle name="Standaard 10 3 5 2 2 2 3" xfId="6448"/>
    <cellStyle name="Standaard 10 3 5 2 2 3" xfId="6449"/>
    <cellStyle name="Standaard 10 3 5 2 2 3 2" xfId="6450"/>
    <cellStyle name="Standaard 10 3 5 2 2 4" xfId="6451"/>
    <cellStyle name="Standaard 10 3 5 2 3" xfId="6452"/>
    <cellStyle name="Standaard 10 3 5 2 3 2" xfId="6453"/>
    <cellStyle name="Standaard 10 3 5 2 3 2 2" xfId="6454"/>
    <cellStyle name="Standaard 10 3 5 2 3 3" xfId="6455"/>
    <cellStyle name="Standaard 10 3 5 2 4" xfId="6456"/>
    <cellStyle name="Standaard 10 3 5 2 4 2" xfId="6457"/>
    <cellStyle name="Standaard 10 3 5 2 5" xfId="6458"/>
    <cellStyle name="Standaard 10 3 5 2 6" xfId="6459"/>
    <cellStyle name="Standaard 10 3 5 3" xfId="6460"/>
    <cellStyle name="Standaard 10 3 5 3 2" xfId="6461"/>
    <cellStyle name="Standaard 10 3 5 3 2 2" xfId="6462"/>
    <cellStyle name="Standaard 10 3 5 3 2 2 2" xfId="6463"/>
    <cellStyle name="Standaard 10 3 5 3 2 3" xfId="6464"/>
    <cellStyle name="Standaard 10 3 5 3 3" xfId="6465"/>
    <cellStyle name="Standaard 10 3 5 3 3 2" xfId="6466"/>
    <cellStyle name="Standaard 10 3 5 3 4" xfId="6467"/>
    <cellStyle name="Standaard 10 3 5 4" xfId="6468"/>
    <cellStyle name="Standaard 10 3 5 4 2" xfId="6469"/>
    <cellStyle name="Standaard 10 3 5 4 2 2" xfId="6470"/>
    <cellStyle name="Standaard 10 3 5 4 3" xfId="6471"/>
    <cellStyle name="Standaard 10 3 5 5" xfId="6472"/>
    <cellStyle name="Standaard 10 3 5 5 2" xfId="6473"/>
    <cellStyle name="Standaard 10 3 5 6" xfId="6474"/>
    <cellStyle name="Standaard 10 3 5 7" xfId="6475"/>
    <cellStyle name="Standaard 10 3 6" xfId="6476"/>
    <cellStyle name="Standaard 10 3 6 2" xfId="6477"/>
    <cellStyle name="Standaard 10 3 6 2 2" xfId="6478"/>
    <cellStyle name="Standaard 10 3 6 2 2 2" xfId="6479"/>
    <cellStyle name="Standaard 10 3 6 2 2 2 2" xfId="6480"/>
    <cellStyle name="Standaard 10 3 6 2 2 3" xfId="6481"/>
    <cellStyle name="Standaard 10 3 6 2 3" xfId="6482"/>
    <cellStyle name="Standaard 10 3 6 2 3 2" xfId="6483"/>
    <cellStyle name="Standaard 10 3 6 2 4" xfId="6484"/>
    <cellStyle name="Standaard 10 3 6 3" xfId="6485"/>
    <cellStyle name="Standaard 10 3 6 3 2" xfId="6486"/>
    <cellStyle name="Standaard 10 3 6 3 2 2" xfId="6487"/>
    <cellStyle name="Standaard 10 3 6 3 3" xfId="6488"/>
    <cellStyle name="Standaard 10 3 6 4" xfId="6489"/>
    <cellStyle name="Standaard 10 3 6 4 2" xfId="6490"/>
    <cellStyle name="Standaard 10 3 6 5" xfId="6491"/>
    <cellStyle name="Standaard 10 3 6 6" xfId="6492"/>
    <cellStyle name="Standaard 10 3 7" xfId="6493"/>
    <cellStyle name="Standaard 10 3 7 2" xfId="6494"/>
    <cellStyle name="Standaard 10 3 7 2 2" xfId="6495"/>
    <cellStyle name="Standaard 10 3 7 2 2 2" xfId="6496"/>
    <cellStyle name="Standaard 10 3 7 2 3" xfId="6497"/>
    <cellStyle name="Standaard 10 3 7 3" xfId="6498"/>
    <cellStyle name="Standaard 10 3 7 3 2" xfId="6499"/>
    <cellStyle name="Standaard 10 3 7 4" xfId="6500"/>
    <cellStyle name="Standaard 10 3 8" xfId="6501"/>
    <cellStyle name="Standaard 10 3 8 2" xfId="6502"/>
    <cellStyle name="Standaard 10 3 8 2 2" xfId="6503"/>
    <cellStyle name="Standaard 10 3 8 3" xfId="6504"/>
    <cellStyle name="Standaard 10 3 9" xfId="6505"/>
    <cellStyle name="Standaard 10 3 9 2" xfId="6506"/>
    <cellStyle name="Standaard 10 4" xfId="6507"/>
    <cellStyle name="Standaard 10 4 2" xfId="6508"/>
    <cellStyle name="Standaard 10 4 2 2" xfId="6509"/>
    <cellStyle name="Standaard 10 4 2 2 2" xfId="6510"/>
    <cellStyle name="Standaard 10 4 2 2 2 2" xfId="6511"/>
    <cellStyle name="Standaard 10 4 2 2 2 2 2" xfId="6512"/>
    <cellStyle name="Standaard 10 4 2 2 2 2 2 2" xfId="6513"/>
    <cellStyle name="Standaard 10 4 2 2 2 2 2 2 2" xfId="6514"/>
    <cellStyle name="Standaard 10 4 2 2 2 2 2 3" xfId="6515"/>
    <cellStyle name="Standaard 10 4 2 2 2 2 3" xfId="6516"/>
    <cellStyle name="Standaard 10 4 2 2 2 2 3 2" xfId="6517"/>
    <cellStyle name="Standaard 10 4 2 2 2 2 4" xfId="6518"/>
    <cellStyle name="Standaard 10 4 2 2 2 3" xfId="6519"/>
    <cellStyle name="Standaard 10 4 2 2 2 3 2" xfId="6520"/>
    <cellStyle name="Standaard 10 4 2 2 2 3 2 2" xfId="6521"/>
    <cellStyle name="Standaard 10 4 2 2 2 3 3" xfId="6522"/>
    <cellStyle name="Standaard 10 4 2 2 2 4" xfId="6523"/>
    <cellStyle name="Standaard 10 4 2 2 2 4 2" xfId="6524"/>
    <cellStyle name="Standaard 10 4 2 2 2 5" xfId="6525"/>
    <cellStyle name="Standaard 10 4 2 2 2 6" xfId="6526"/>
    <cellStyle name="Standaard 10 4 2 2 3" xfId="6527"/>
    <cellStyle name="Standaard 10 4 2 2 3 2" xfId="6528"/>
    <cellStyle name="Standaard 10 4 2 2 3 2 2" xfId="6529"/>
    <cellStyle name="Standaard 10 4 2 2 3 2 2 2" xfId="6530"/>
    <cellStyle name="Standaard 10 4 2 2 3 2 3" xfId="6531"/>
    <cellStyle name="Standaard 10 4 2 2 3 3" xfId="6532"/>
    <cellStyle name="Standaard 10 4 2 2 3 3 2" xfId="6533"/>
    <cellStyle name="Standaard 10 4 2 2 3 4" xfId="6534"/>
    <cellStyle name="Standaard 10 4 2 2 4" xfId="6535"/>
    <cellStyle name="Standaard 10 4 2 2 4 2" xfId="6536"/>
    <cellStyle name="Standaard 10 4 2 2 4 2 2" xfId="6537"/>
    <cellStyle name="Standaard 10 4 2 2 4 3" xfId="6538"/>
    <cellStyle name="Standaard 10 4 2 2 5" xfId="6539"/>
    <cellStyle name="Standaard 10 4 2 2 5 2" xfId="6540"/>
    <cellStyle name="Standaard 10 4 2 2 6" xfId="6541"/>
    <cellStyle name="Standaard 10 4 2 2 7" xfId="6542"/>
    <cellStyle name="Standaard 10 4 2 3" xfId="6543"/>
    <cellStyle name="Standaard 10 4 2 3 2" xfId="6544"/>
    <cellStyle name="Standaard 10 4 2 3 2 2" xfId="6545"/>
    <cellStyle name="Standaard 10 4 2 3 2 2 2" xfId="6546"/>
    <cellStyle name="Standaard 10 4 2 3 2 2 2 2" xfId="6547"/>
    <cellStyle name="Standaard 10 4 2 3 2 2 3" xfId="6548"/>
    <cellStyle name="Standaard 10 4 2 3 2 3" xfId="6549"/>
    <cellStyle name="Standaard 10 4 2 3 2 3 2" xfId="6550"/>
    <cellStyle name="Standaard 10 4 2 3 2 4" xfId="6551"/>
    <cellStyle name="Standaard 10 4 2 3 3" xfId="6552"/>
    <cellStyle name="Standaard 10 4 2 3 3 2" xfId="6553"/>
    <cellStyle name="Standaard 10 4 2 3 3 2 2" xfId="6554"/>
    <cellStyle name="Standaard 10 4 2 3 3 3" xfId="6555"/>
    <cellStyle name="Standaard 10 4 2 3 4" xfId="6556"/>
    <cellStyle name="Standaard 10 4 2 3 4 2" xfId="6557"/>
    <cellStyle name="Standaard 10 4 2 3 5" xfId="6558"/>
    <cellStyle name="Standaard 10 4 2 3 6" xfId="6559"/>
    <cellStyle name="Standaard 10 4 2 4" xfId="6560"/>
    <cellStyle name="Standaard 10 4 2 4 2" xfId="6561"/>
    <cellStyle name="Standaard 10 4 2 4 2 2" xfId="6562"/>
    <cellStyle name="Standaard 10 4 2 4 2 2 2" xfId="6563"/>
    <cellStyle name="Standaard 10 4 2 4 2 3" xfId="6564"/>
    <cellStyle name="Standaard 10 4 2 4 3" xfId="6565"/>
    <cellStyle name="Standaard 10 4 2 4 3 2" xfId="6566"/>
    <cellStyle name="Standaard 10 4 2 4 4" xfId="6567"/>
    <cellStyle name="Standaard 10 4 2 5" xfId="6568"/>
    <cellStyle name="Standaard 10 4 2 5 2" xfId="6569"/>
    <cellStyle name="Standaard 10 4 2 5 2 2" xfId="6570"/>
    <cellStyle name="Standaard 10 4 2 5 3" xfId="6571"/>
    <cellStyle name="Standaard 10 4 2 6" xfId="6572"/>
    <cellStyle name="Standaard 10 4 2 6 2" xfId="6573"/>
    <cellStyle name="Standaard 10 4 2 7" xfId="6574"/>
    <cellStyle name="Standaard 10 4 2 8" xfId="6575"/>
    <cellStyle name="Standaard 10 4 3" xfId="6576"/>
    <cellStyle name="Standaard 10 4 3 2" xfId="6577"/>
    <cellStyle name="Standaard 10 4 3 2 2" xfId="6578"/>
    <cellStyle name="Standaard 10 4 3 2 2 2" xfId="6579"/>
    <cellStyle name="Standaard 10 4 3 2 2 2 2" xfId="6580"/>
    <cellStyle name="Standaard 10 4 3 2 2 2 2 2" xfId="6581"/>
    <cellStyle name="Standaard 10 4 3 2 2 2 3" xfId="6582"/>
    <cellStyle name="Standaard 10 4 3 2 2 3" xfId="6583"/>
    <cellStyle name="Standaard 10 4 3 2 2 3 2" xfId="6584"/>
    <cellStyle name="Standaard 10 4 3 2 2 4" xfId="6585"/>
    <cellStyle name="Standaard 10 4 3 2 3" xfId="6586"/>
    <cellStyle name="Standaard 10 4 3 2 3 2" xfId="6587"/>
    <cellStyle name="Standaard 10 4 3 2 3 2 2" xfId="6588"/>
    <cellStyle name="Standaard 10 4 3 2 3 3" xfId="6589"/>
    <cellStyle name="Standaard 10 4 3 2 4" xfId="6590"/>
    <cellStyle name="Standaard 10 4 3 2 4 2" xfId="6591"/>
    <cellStyle name="Standaard 10 4 3 2 5" xfId="6592"/>
    <cellStyle name="Standaard 10 4 3 2 6" xfId="6593"/>
    <cellStyle name="Standaard 10 4 3 3" xfId="6594"/>
    <cellStyle name="Standaard 10 4 3 3 2" xfId="6595"/>
    <cellStyle name="Standaard 10 4 3 3 2 2" xfId="6596"/>
    <cellStyle name="Standaard 10 4 3 3 2 2 2" xfId="6597"/>
    <cellStyle name="Standaard 10 4 3 3 2 3" xfId="6598"/>
    <cellStyle name="Standaard 10 4 3 3 3" xfId="6599"/>
    <cellStyle name="Standaard 10 4 3 3 3 2" xfId="6600"/>
    <cellStyle name="Standaard 10 4 3 3 4" xfId="6601"/>
    <cellStyle name="Standaard 10 4 3 4" xfId="6602"/>
    <cellStyle name="Standaard 10 4 3 4 2" xfId="6603"/>
    <cellStyle name="Standaard 10 4 3 4 2 2" xfId="6604"/>
    <cellStyle name="Standaard 10 4 3 4 3" xfId="6605"/>
    <cellStyle name="Standaard 10 4 3 5" xfId="6606"/>
    <cellStyle name="Standaard 10 4 3 5 2" xfId="6607"/>
    <cellStyle name="Standaard 10 4 3 6" xfId="6608"/>
    <cellStyle name="Standaard 10 4 3 7" xfId="6609"/>
    <cellStyle name="Standaard 10 4 4" xfId="6610"/>
    <cellStyle name="Standaard 10 4 4 2" xfId="6611"/>
    <cellStyle name="Standaard 10 4 4 2 2" xfId="6612"/>
    <cellStyle name="Standaard 10 4 4 2 2 2" xfId="6613"/>
    <cellStyle name="Standaard 10 4 4 2 2 2 2" xfId="6614"/>
    <cellStyle name="Standaard 10 4 4 2 2 3" xfId="6615"/>
    <cellStyle name="Standaard 10 4 4 2 3" xfId="6616"/>
    <cellStyle name="Standaard 10 4 4 2 3 2" xfId="6617"/>
    <cellStyle name="Standaard 10 4 4 2 4" xfId="6618"/>
    <cellStyle name="Standaard 10 4 4 3" xfId="6619"/>
    <cellStyle name="Standaard 10 4 4 3 2" xfId="6620"/>
    <cellStyle name="Standaard 10 4 4 3 2 2" xfId="6621"/>
    <cellStyle name="Standaard 10 4 4 3 3" xfId="6622"/>
    <cellStyle name="Standaard 10 4 4 4" xfId="6623"/>
    <cellStyle name="Standaard 10 4 4 4 2" xfId="6624"/>
    <cellStyle name="Standaard 10 4 4 5" xfId="6625"/>
    <cellStyle name="Standaard 10 4 4 6" xfId="6626"/>
    <cellStyle name="Standaard 10 4 5" xfId="6627"/>
    <cellStyle name="Standaard 10 4 5 2" xfId="6628"/>
    <cellStyle name="Standaard 10 4 5 2 2" xfId="6629"/>
    <cellStyle name="Standaard 10 4 5 2 2 2" xfId="6630"/>
    <cellStyle name="Standaard 10 4 5 2 3" xfId="6631"/>
    <cellStyle name="Standaard 10 4 5 3" xfId="6632"/>
    <cellStyle name="Standaard 10 4 5 3 2" xfId="6633"/>
    <cellStyle name="Standaard 10 4 5 4" xfId="6634"/>
    <cellStyle name="Standaard 10 4 6" xfId="6635"/>
    <cellStyle name="Standaard 10 4 6 2" xfId="6636"/>
    <cellStyle name="Standaard 10 4 6 2 2" xfId="6637"/>
    <cellStyle name="Standaard 10 4 6 3" xfId="6638"/>
    <cellStyle name="Standaard 10 4 7" xfId="6639"/>
    <cellStyle name="Standaard 10 4 7 2" xfId="6640"/>
    <cellStyle name="Standaard 10 4 8" xfId="6641"/>
    <cellStyle name="Standaard 10 4 9" xfId="6642"/>
    <cellStyle name="Standaard 10 5" xfId="6643"/>
    <cellStyle name="Standaard 10 5 2" xfId="6644"/>
    <cellStyle name="Standaard 10 5 2 2" xfId="6645"/>
    <cellStyle name="Standaard 10 5 2 2 2" xfId="6646"/>
    <cellStyle name="Standaard 10 5 2 2 2 2" xfId="6647"/>
    <cellStyle name="Standaard 10 5 2 2 2 2 2" xfId="6648"/>
    <cellStyle name="Standaard 10 5 2 2 2 2 2 2" xfId="6649"/>
    <cellStyle name="Standaard 10 5 2 2 2 2 3" xfId="6650"/>
    <cellStyle name="Standaard 10 5 2 2 2 3" xfId="6651"/>
    <cellStyle name="Standaard 10 5 2 2 2 3 2" xfId="6652"/>
    <cellStyle name="Standaard 10 5 2 2 2 4" xfId="6653"/>
    <cellStyle name="Standaard 10 5 2 2 3" xfId="6654"/>
    <cellStyle name="Standaard 10 5 2 2 3 2" xfId="6655"/>
    <cellStyle name="Standaard 10 5 2 2 3 2 2" xfId="6656"/>
    <cellStyle name="Standaard 10 5 2 2 3 3" xfId="6657"/>
    <cellStyle name="Standaard 10 5 2 2 4" xfId="6658"/>
    <cellStyle name="Standaard 10 5 2 2 4 2" xfId="6659"/>
    <cellStyle name="Standaard 10 5 2 2 5" xfId="6660"/>
    <cellStyle name="Standaard 10 5 2 2 6" xfId="6661"/>
    <cellStyle name="Standaard 10 5 2 3" xfId="6662"/>
    <cellStyle name="Standaard 10 5 2 3 2" xfId="6663"/>
    <cellStyle name="Standaard 10 5 2 3 2 2" xfId="6664"/>
    <cellStyle name="Standaard 10 5 2 3 2 2 2" xfId="6665"/>
    <cellStyle name="Standaard 10 5 2 3 2 3" xfId="6666"/>
    <cellStyle name="Standaard 10 5 2 3 3" xfId="6667"/>
    <cellStyle name="Standaard 10 5 2 3 3 2" xfId="6668"/>
    <cellStyle name="Standaard 10 5 2 3 4" xfId="6669"/>
    <cellStyle name="Standaard 10 5 2 4" xfId="6670"/>
    <cellStyle name="Standaard 10 5 2 4 2" xfId="6671"/>
    <cellStyle name="Standaard 10 5 2 4 2 2" xfId="6672"/>
    <cellStyle name="Standaard 10 5 2 4 3" xfId="6673"/>
    <cellStyle name="Standaard 10 5 2 5" xfId="6674"/>
    <cellStyle name="Standaard 10 5 2 5 2" xfId="6675"/>
    <cellStyle name="Standaard 10 5 2 6" xfId="6676"/>
    <cellStyle name="Standaard 10 5 2 7" xfId="6677"/>
    <cellStyle name="Standaard 10 5 3" xfId="6678"/>
    <cellStyle name="Standaard 10 5 3 2" xfId="6679"/>
    <cellStyle name="Standaard 10 5 3 2 2" xfId="6680"/>
    <cellStyle name="Standaard 10 5 3 2 2 2" xfId="6681"/>
    <cellStyle name="Standaard 10 5 3 2 2 2 2" xfId="6682"/>
    <cellStyle name="Standaard 10 5 3 2 2 3" xfId="6683"/>
    <cellStyle name="Standaard 10 5 3 2 3" xfId="6684"/>
    <cellStyle name="Standaard 10 5 3 2 3 2" xfId="6685"/>
    <cellStyle name="Standaard 10 5 3 2 4" xfId="6686"/>
    <cellStyle name="Standaard 10 5 3 3" xfId="6687"/>
    <cellStyle name="Standaard 10 5 3 3 2" xfId="6688"/>
    <cellStyle name="Standaard 10 5 3 3 2 2" xfId="6689"/>
    <cellStyle name="Standaard 10 5 3 3 3" xfId="6690"/>
    <cellStyle name="Standaard 10 5 3 4" xfId="6691"/>
    <cellStyle name="Standaard 10 5 3 4 2" xfId="6692"/>
    <cellStyle name="Standaard 10 5 3 5" xfId="6693"/>
    <cellStyle name="Standaard 10 5 3 6" xfId="6694"/>
    <cellStyle name="Standaard 10 5 4" xfId="6695"/>
    <cellStyle name="Standaard 10 5 4 2" xfId="6696"/>
    <cellStyle name="Standaard 10 5 4 2 2" xfId="6697"/>
    <cellStyle name="Standaard 10 5 4 2 2 2" xfId="6698"/>
    <cellStyle name="Standaard 10 5 4 2 3" xfId="6699"/>
    <cellStyle name="Standaard 10 5 4 3" xfId="6700"/>
    <cellStyle name="Standaard 10 5 4 3 2" xfId="6701"/>
    <cellStyle name="Standaard 10 5 4 4" xfId="6702"/>
    <cellStyle name="Standaard 10 5 5" xfId="6703"/>
    <cellStyle name="Standaard 10 5 5 2" xfId="6704"/>
    <cellStyle name="Standaard 10 5 5 2 2" xfId="6705"/>
    <cellStyle name="Standaard 10 5 5 3" xfId="6706"/>
    <cellStyle name="Standaard 10 5 6" xfId="6707"/>
    <cellStyle name="Standaard 10 5 6 2" xfId="6708"/>
    <cellStyle name="Standaard 10 5 7" xfId="6709"/>
    <cellStyle name="Standaard 10 5 8" xfId="6710"/>
    <cellStyle name="Standaard 10 6" xfId="6711"/>
    <cellStyle name="Standaard 10 6 2" xfId="6712"/>
    <cellStyle name="Standaard 10 6 2 2" xfId="6713"/>
    <cellStyle name="Standaard 10 6 2 2 2" xfId="6714"/>
    <cellStyle name="Standaard 10 6 2 2 2 2" xfId="6715"/>
    <cellStyle name="Standaard 10 6 2 2 2 2 2" xfId="6716"/>
    <cellStyle name="Standaard 10 6 2 2 2 2 2 2" xfId="6717"/>
    <cellStyle name="Standaard 10 6 2 2 2 2 3" xfId="6718"/>
    <cellStyle name="Standaard 10 6 2 2 2 3" xfId="6719"/>
    <cellStyle name="Standaard 10 6 2 2 2 3 2" xfId="6720"/>
    <cellStyle name="Standaard 10 6 2 2 2 4" xfId="6721"/>
    <cellStyle name="Standaard 10 6 2 2 3" xfId="6722"/>
    <cellStyle name="Standaard 10 6 2 2 3 2" xfId="6723"/>
    <cellStyle name="Standaard 10 6 2 2 3 2 2" xfId="6724"/>
    <cellStyle name="Standaard 10 6 2 2 3 3" xfId="6725"/>
    <cellStyle name="Standaard 10 6 2 2 4" xfId="6726"/>
    <cellStyle name="Standaard 10 6 2 2 4 2" xfId="6727"/>
    <cellStyle name="Standaard 10 6 2 2 5" xfId="6728"/>
    <cellStyle name="Standaard 10 6 2 2 6" xfId="6729"/>
    <cellStyle name="Standaard 10 6 2 3" xfId="6730"/>
    <cellStyle name="Standaard 10 6 2 3 2" xfId="6731"/>
    <cellStyle name="Standaard 10 6 2 3 2 2" xfId="6732"/>
    <cellStyle name="Standaard 10 6 2 3 2 2 2" xfId="6733"/>
    <cellStyle name="Standaard 10 6 2 3 2 3" xfId="6734"/>
    <cellStyle name="Standaard 10 6 2 3 3" xfId="6735"/>
    <cellStyle name="Standaard 10 6 2 3 3 2" xfId="6736"/>
    <cellStyle name="Standaard 10 6 2 3 4" xfId="6737"/>
    <cellStyle name="Standaard 10 6 2 4" xfId="6738"/>
    <cellStyle name="Standaard 10 6 2 4 2" xfId="6739"/>
    <cellStyle name="Standaard 10 6 2 4 2 2" xfId="6740"/>
    <cellStyle name="Standaard 10 6 2 4 3" xfId="6741"/>
    <cellStyle name="Standaard 10 6 2 5" xfId="6742"/>
    <cellStyle name="Standaard 10 6 2 5 2" xfId="6743"/>
    <cellStyle name="Standaard 10 6 2 6" xfId="6744"/>
    <cellStyle name="Standaard 10 6 2 7" xfId="6745"/>
    <cellStyle name="Standaard 10 6 3" xfId="6746"/>
    <cellStyle name="Standaard 10 6 3 2" xfId="6747"/>
    <cellStyle name="Standaard 10 6 3 2 2" xfId="6748"/>
    <cellStyle name="Standaard 10 6 3 2 2 2" xfId="6749"/>
    <cellStyle name="Standaard 10 6 3 2 2 2 2" xfId="6750"/>
    <cellStyle name="Standaard 10 6 3 2 2 3" xfId="6751"/>
    <cellStyle name="Standaard 10 6 3 2 3" xfId="6752"/>
    <cellStyle name="Standaard 10 6 3 2 3 2" xfId="6753"/>
    <cellStyle name="Standaard 10 6 3 2 4" xfId="6754"/>
    <cellStyle name="Standaard 10 6 3 3" xfId="6755"/>
    <cellStyle name="Standaard 10 6 3 3 2" xfId="6756"/>
    <cellStyle name="Standaard 10 6 3 3 2 2" xfId="6757"/>
    <cellStyle name="Standaard 10 6 3 3 3" xfId="6758"/>
    <cellStyle name="Standaard 10 6 3 4" xfId="6759"/>
    <cellStyle name="Standaard 10 6 3 4 2" xfId="6760"/>
    <cellStyle name="Standaard 10 6 3 5" xfId="6761"/>
    <cellStyle name="Standaard 10 6 3 6" xfId="6762"/>
    <cellStyle name="Standaard 10 6 4" xfId="6763"/>
    <cellStyle name="Standaard 10 6 4 2" xfId="6764"/>
    <cellStyle name="Standaard 10 6 4 2 2" xfId="6765"/>
    <cellStyle name="Standaard 10 6 4 2 2 2" xfId="6766"/>
    <cellStyle name="Standaard 10 6 4 2 3" xfId="6767"/>
    <cellStyle name="Standaard 10 6 4 3" xfId="6768"/>
    <cellStyle name="Standaard 10 6 4 3 2" xfId="6769"/>
    <cellStyle name="Standaard 10 6 4 4" xfId="6770"/>
    <cellStyle name="Standaard 10 6 5" xfId="6771"/>
    <cellStyle name="Standaard 10 6 5 2" xfId="6772"/>
    <cellStyle name="Standaard 10 6 5 2 2" xfId="6773"/>
    <cellStyle name="Standaard 10 6 5 3" xfId="6774"/>
    <cellStyle name="Standaard 10 6 6" xfId="6775"/>
    <cellStyle name="Standaard 10 6 6 2" xfId="6776"/>
    <cellStyle name="Standaard 10 6 7" xfId="6777"/>
    <cellStyle name="Standaard 10 6 8" xfId="6778"/>
    <cellStyle name="Standaard 10 7" xfId="6779"/>
    <cellStyle name="Standaard 10 7 2" xfId="6780"/>
    <cellStyle name="Standaard 10 7 2 2" xfId="6781"/>
    <cellStyle name="Standaard 10 7 2 2 2" xfId="6782"/>
    <cellStyle name="Standaard 10 7 2 2 2 2" xfId="6783"/>
    <cellStyle name="Standaard 10 7 2 2 2 2 2" xfId="6784"/>
    <cellStyle name="Standaard 10 7 2 2 2 3" xfId="6785"/>
    <cellStyle name="Standaard 10 7 2 2 3" xfId="6786"/>
    <cellStyle name="Standaard 10 7 2 2 3 2" xfId="6787"/>
    <cellStyle name="Standaard 10 7 2 2 4" xfId="6788"/>
    <cellStyle name="Standaard 10 7 2 3" xfId="6789"/>
    <cellStyle name="Standaard 10 7 2 3 2" xfId="6790"/>
    <cellStyle name="Standaard 10 7 2 3 2 2" xfId="6791"/>
    <cellStyle name="Standaard 10 7 2 3 3" xfId="6792"/>
    <cellStyle name="Standaard 10 7 2 4" xfId="6793"/>
    <cellStyle name="Standaard 10 7 2 4 2" xfId="6794"/>
    <cellStyle name="Standaard 10 7 2 5" xfId="6795"/>
    <cellStyle name="Standaard 10 7 2 6" xfId="6796"/>
    <cellStyle name="Standaard 10 7 3" xfId="6797"/>
    <cellStyle name="Standaard 10 7 3 2" xfId="6798"/>
    <cellStyle name="Standaard 10 7 3 2 2" xfId="6799"/>
    <cellStyle name="Standaard 10 7 3 2 2 2" xfId="6800"/>
    <cellStyle name="Standaard 10 7 3 2 3" xfId="6801"/>
    <cellStyle name="Standaard 10 7 3 3" xfId="6802"/>
    <cellStyle name="Standaard 10 7 3 3 2" xfId="6803"/>
    <cellStyle name="Standaard 10 7 3 4" xfId="6804"/>
    <cellStyle name="Standaard 10 7 4" xfId="6805"/>
    <cellStyle name="Standaard 10 7 4 2" xfId="6806"/>
    <cellStyle name="Standaard 10 7 4 2 2" xfId="6807"/>
    <cellStyle name="Standaard 10 7 4 3" xfId="6808"/>
    <cellStyle name="Standaard 10 7 5" xfId="6809"/>
    <cellStyle name="Standaard 10 7 5 2" xfId="6810"/>
    <cellStyle name="Standaard 10 7 6" xfId="6811"/>
    <cellStyle name="Standaard 10 7 7" xfId="6812"/>
    <cellStyle name="Standaard 10 8" xfId="6813"/>
    <cellStyle name="Standaard 10 8 2" xfId="6814"/>
    <cellStyle name="Standaard 10 8 2 2" xfId="6815"/>
    <cellStyle name="Standaard 10 8 2 2 2" xfId="6816"/>
    <cellStyle name="Standaard 10 8 2 2 2 2" xfId="6817"/>
    <cellStyle name="Standaard 10 8 2 2 3" xfId="6818"/>
    <cellStyle name="Standaard 10 8 2 3" xfId="6819"/>
    <cellStyle name="Standaard 10 8 2 3 2" xfId="6820"/>
    <cellStyle name="Standaard 10 8 2 4" xfId="6821"/>
    <cellStyle name="Standaard 10 8 3" xfId="6822"/>
    <cellStyle name="Standaard 10 8 3 2" xfId="6823"/>
    <cellStyle name="Standaard 10 8 3 2 2" xfId="6824"/>
    <cellStyle name="Standaard 10 8 3 3" xfId="6825"/>
    <cellStyle name="Standaard 10 8 4" xfId="6826"/>
    <cellStyle name="Standaard 10 8 4 2" xfId="6827"/>
    <cellStyle name="Standaard 10 8 5" xfId="6828"/>
    <cellStyle name="Standaard 10 8 6" xfId="6829"/>
    <cellStyle name="Standaard 10 9" xfId="6830"/>
    <cellStyle name="Standaard 10 9 2" xfId="6831"/>
    <cellStyle name="Standaard 10 9 2 2" xfId="6832"/>
    <cellStyle name="Standaard 10 9 2 2 2" xfId="6833"/>
    <cellStyle name="Standaard 10 9 2 3" xfId="6834"/>
    <cellStyle name="Standaard 10 9 3" xfId="6835"/>
    <cellStyle name="Standaard 10 9 3 2" xfId="6836"/>
    <cellStyle name="Standaard 10 9 4" xfId="6837"/>
    <cellStyle name="Standaard 11" xfId="6838"/>
    <cellStyle name="Standaard 11 10" xfId="6839"/>
    <cellStyle name="Standaard 11 10 2" xfId="6840"/>
    <cellStyle name="Standaard 11 10 2 2" xfId="6841"/>
    <cellStyle name="Standaard 11 10 3" xfId="6842"/>
    <cellStyle name="Standaard 11 11" xfId="6843"/>
    <cellStyle name="Standaard 11 11 2" xfId="6844"/>
    <cellStyle name="Standaard 11 12" xfId="6845"/>
    <cellStyle name="Standaard 11 13" xfId="6846"/>
    <cellStyle name="Standaard 11 2" xfId="6847"/>
    <cellStyle name="Standaard 11 2 10" xfId="6848"/>
    <cellStyle name="Standaard 11 2 10 2" xfId="6849"/>
    <cellStyle name="Standaard 11 2 11" xfId="6850"/>
    <cellStyle name="Standaard 11 2 12" xfId="6851"/>
    <cellStyle name="Standaard 11 2 2" xfId="6852"/>
    <cellStyle name="Standaard 11 2 2 10" xfId="6853"/>
    <cellStyle name="Standaard 11 2 2 11" xfId="6854"/>
    <cellStyle name="Standaard 11 2 2 2" xfId="6855"/>
    <cellStyle name="Standaard 11 2 2 2 2" xfId="6856"/>
    <cellStyle name="Standaard 11 2 2 2 2 2" xfId="6857"/>
    <cellStyle name="Standaard 11 2 2 2 2 2 2" xfId="6858"/>
    <cellStyle name="Standaard 11 2 2 2 2 2 2 2" xfId="6859"/>
    <cellStyle name="Standaard 11 2 2 2 2 2 2 2 2" xfId="6860"/>
    <cellStyle name="Standaard 11 2 2 2 2 2 2 2 2 2" xfId="6861"/>
    <cellStyle name="Standaard 11 2 2 2 2 2 2 2 2 2 2" xfId="6862"/>
    <cellStyle name="Standaard 11 2 2 2 2 2 2 2 2 3" xfId="6863"/>
    <cellStyle name="Standaard 11 2 2 2 2 2 2 2 3" xfId="6864"/>
    <cellStyle name="Standaard 11 2 2 2 2 2 2 2 3 2" xfId="6865"/>
    <cellStyle name="Standaard 11 2 2 2 2 2 2 2 4" xfId="6866"/>
    <cellStyle name="Standaard 11 2 2 2 2 2 2 3" xfId="6867"/>
    <cellStyle name="Standaard 11 2 2 2 2 2 2 3 2" xfId="6868"/>
    <cellStyle name="Standaard 11 2 2 2 2 2 2 3 2 2" xfId="6869"/>
    <cellStyle name="Standaard 11 2 2 2 2 2 2 3 3" xfId="6870"/>
    <cellStyle name="Standaard 11 2 2 2 2 2 2 4" xfId="6871"/>
    <cellStyle name="Standaard 11 2 2 2 2 2 2 4 2" xfId="6872"/>
    <cellStyle name="Standaard 11 2 2 2 2 2 2 5" xfId="6873"/>
    <cellStyle name="Standaard 11 2 2 2 2 2 2 6" xfId="6874"/>
    <cellStyle name="Standaard 11 2 2 2 2 2 3" xfId="6875"/>
    <cellStyle name="Standaard 11 2 2 2 2 2 3 2" xfId="6876"/>
    <cellStyle name="Standaard 11 2 2 2 2 2 3 2 2" xfId="6877"/>
    <cellStyle name="Standaard 11 2 2 2 2 2 3 2 2 2" xfId="6878"/>
    <cellStyle name="Standaard 11 2 2 2 2 2 3 2 3" xfId="6879"/>
    <cellStyle name="Standaard 11 2 2 2 2 2 3 3" xfId="6880"/>
    <cellStyle name="Standaard 11 2 2 2 2 2 3 3 2" xfId="6881"/>
    <cellStyle name="Standaard 11 2 2 2 2 2 3 4" xfId="6882"/>
    <cellStyle name="Standaard 11 2 2 2 2 2 4" xfId="6883"/>
    <cellStyle name="Standaard 11 2 2 2 2 2 4 2" xfId="6884"/>
    <cellStyle name="Standaard 11 2 2 2 2 2 4 2 2" xfId="6885"/>
    <cellStyle name="Standaard 11 2 2 2 2 2 4 3" xfId="6886"/>
    <cellStyle name="Standaard 11 2 2 2 2 2 5" xfId="6887"/>
    <cellStyle name="Standaard 11 2 2 2 2 2 5 2" xfId="6888"/>
    <cellStyle name="Standaard 11 2 2 2 2 2 6" xfId="6889"/>
    <cellStyle name="Standaard 11 2 2 2 2 2 7" xfId="6890"/>
    <cellStyle name="Standaard 11 2 2 2 2 3" xfId="6891"/>
    <cellStyle name="Standaard 11 2 2 2 2 3 2" xfId="6892"/>
    <cellStyle name="Standaard 11 2 2 2 2 3 2 2" xfId="6893"/>
    <cellStyle name="Standaard 11 2 2 2 2 3 2 2 2" xfId="6894"/>
    <cellStyle name="Standaard 11 2 2 2 2 3 2 2 2 2" xfId="6895"/>
    <cellStyle name="Standaard 11 2 2 2 2 3 2 2 3" xfId="6896"/>
    <cellStyle name="Standaard 11 2 2 2 2 3 2 3" xfId="6897"/>
    <cellStyle name="Standaard 11 2 2 2 2 3 2 3 2" xfId="6898"/>
    <cellStyle name="Standaard 11 2 2 2 2 3 2 4" xfId="6899"/>
    <cellStyle name="Standaard 11 2 2 2 2 3 3" xfId="6900"/>
    <cellStyle name="Standaard 11 2 2 2 2 3 3 2" xfId="6901"/>
    <cellStyle name="Standaard 11 2 2 2 2 3 3 2 2" xfId="6902"/>
    <cellStyle name="Standaard 11 2 2 2 2 3 3 3" xfId="6903"/>
    <cellStyle name="Standaard 11 2 2 2 2 3 4" xfId="6904"/>
    <cellStyle name="Standaard 11 2 2 2 2 3 4 2" xfId="6905"/>
    <cellStyle name="Standaard 11 2 2 2 2 3 5" xfId="6906"/>
    <cellStyle name="Standaard 11 2 2 2 2 3 6" xfId="6907"/>
    <cellStyle name="Standaard 11 2 2 2 2 4" xfId="6908"/>
    <cellStyle name="Standaard 11 2 2 2 2 4 2" xfId="6909"/>
    <cellStyle name="Standaard 11 2 2 2 2 4 2 2" xfId="6910"/>
    <cellStyle name="Standaard 11 2 2 2 2 4 2 2 2" xfId="6911"/>
    <cellStyle name="Standaard 11 2 2 2 2 4 2 3" xfId="6912"/>
    <cellStyle name="Standaard 11 2 2 2 2 4 3" xfId="6913"/>
    <cellStyle name="Standaard 11 2 2 2 2 4 3 2" xfId="6914"/>
    <cellStyle name="Standaard 11 2 2 2 2 4 4" xfId="6915"/>
    <cellStyle name="Standaard 11 2 2 2 2 5" xfId="6916"/>
    <cellStyle name="Standaard 11 2 2 2 2 5 2" xfId="6917"/>
    <cellStyle name="Standaard 11 2 2 2 2 5 2 2" xfId="6918"/>
    <cellStyle name="Standaard 11 2 2 2 2 5 3" xfId="6919"/>
    <cellStyle name="Standaard 11 2 2 2 2 6" xfId="6920"/>
    <cellStyle name="Standaard 11 2 2 2 2 6 2" xfId="6921"/>
    <cellStyle name="Standaard 11 2 2 2 2 7" xfId="6922"/>
    <cellStyle name="Standaard 11 2 2 2 2 8" xfId="6923"/>
    <cellStyle name="Standaard 11 2 2 2 3" xfId="6924"/>
    <cellStyle name="Standaard 11 2 2 2 3 2" xfId="6925"/>
    <cellStyle name="Standaard 11 2 2 2 3 2 2" xfId="6926"/>
    <cellStyle name="Standaard 11 2 2 2 3 2 2 2" xfId="6927"/>
    <cellStyle name="Standaard 11 2 2 2 3 2 2 2 2" xfId="6928"/>
    <cellStyle name="Standaard 11 2 2 2 3 2 2 2 2 2" xfId="6929"/>
    <cellStyle name="Standaard 11 2 2 2 3 2 2 2 3" xfId="6930"/>
    <cellStyle name="Standaard 11 2 2 2 3 2 2 3" xfId="6931"/>
    <cellStyle name="Standaard 11 2 2 2 3 2 2 3 2" xfId="6932"/>
    <cellStyle name="Standaard 11 2 2 2 3 2 2 4" xfId="6933"/>
    <cellStyle name="Standaard 11 2 2 2 3 2 3" xfId="6934"/>
    <cellStyle name="Standaard 11 2 2 2 3 2 3 2" xfId="6935"/>
    <cellStyle name="Standaard 11 2 2 2 3 2 3 2 2" xfId="6936"/>
    <cellStyle name="Standaard 11 2 2 2 3 2 3 3" xfId="6937"/>
    <cellStyle name="Standaard 11 2 2 2 3 2 4" xfId="6938"/>
    <cellStyle name="Standaard 11 2 2 2 3 2 4 2" xfId="6939"/>
    <cellStyle name="Standaard 11 2 2 2 3 2 5" xfId="6940"/>
    <cellStyle name="Standaard 11 2 2 2 3 2 6" xfId="6941"/>
    <cellStyle name="Standaard 11 2 2 2 3 3" xfId="6942"/>
    <cellStyle name="Standaard 11 2 2 2 3 3 2" xfId="6943"/>
    <cellStyle name="Standaard 11 2 2 2 3 3 2 2" xfId="6944"/>
    <cellStyle name="Standaard 11 2 2 2 3 3 2 2 2" xfId="6945"/>
    <cellStyle name="Standaard 11 2 2 2 3 3 2 3" xfId="6946"/>
    <cellStyle name="Standaard 11 2 2 2 3 3 3" xfId="6947"/>
    <cellStyle name="Standaard 11 2 2 2 3 3 3 2" xfId="6948"/>
    <cellStyle name="Standaard 11 2 2 2 3 3 4" xfId="6949"/>
    <cellStyle name="Standaard 11 2 2 2 3 4" xfId="6950"/>
    <cellStyle name="Standaard 11 2 2 2 3 4 2" xfId="6951"/>
    <cellStyle name="Standaard 11 2 2 2 3 4 2 2" xfId="6952"/>
    <cellStyle name="Standaard 11 2 2 2 3 4 3" xfId="6953"/>
    <cellStyle name="Standaard 11 2 2 2 3 5" xfId="6954"/>
    <cellStyle name="Standaard 11 2 2 2 3 5 2" xfId="6955"/>
    <cellStyle name="Standaard 11 2 2 2 3 6" xfId="6956"/>
    <cellStyle name="Standaard 11 2 2 2 3 7" xfId="6957"/>
    <cellStyle name="Standaard 11 2 2 2 4" xfId="6958"/>
    <cellStyle name="Standaard 11 2 2 2 4 2" xfId="6959"/>
    <cellStyle name="Standaard 11 2 2 2 4 2 2" xfId="6960"/>
    <cellStyle name="Standaard 11 2 2 2 4 2 2 2" xfId="6961"/>
    <cellStyle name="Standaard 11 2 2 2 4 2 2 2 2" xfId="6962"/>
    <cellStyle name="Standaard 11 2 2 2 4 2 2 3" xfId="6963"/>
    <cellStyle name="Standaard 11 2 2 2 4 2 3" xfId="6964"/>
    <cellStyle name="Standaard 11 2 2 2 4 2 3 2" xfId="6965"/>
    <cellStyle name="Standaard 11 2 2 2 4 2 4" xfId="6966"/>
    <cellStyle name="Standaard 11 2 2 2 4 3" xfId="6967"/>
    <cellStyle name="Standaard 11 2 2 2 4 3 2" xfId="6968"/>
    <cellStyle name="Standaard 11 2 2 2 4 3 2 2" xfId="6969"/>
    <cellStyle name="Standaard 11 2 2 2 4 3 3" xfId="6970"/>
    <cellStyle name="Standaard 11 2 2 2 4 4" xfId="6971"/>
    <cellStyle name="Standaard 11 2 2 2 4 4 2" xfId="6972"/>
    <cellStyle name="Standaard 11 2 2 2 4 5" xfId="6973"/>
    <cellStyle name="Standaard 11 2 2 2 4 6" xfId="6974"/>
    <cellStyle name="Standaard 11 2 2 2 5" xfId="6975"/>
    <cellStyle name="Standaard 11 2 2 2 5 2" xfId="6976"/>
    <cellStyle name="Standaard 11 2 2 2 5 2 2" xfId="6977"/>
    <cellStyle name="Standaard 11 2 2 2 5 2 2 2" xfId="6978"/>
    <cellStyle name="Standaard 11 2 2 2 5 2 3" xfId="6979"/>
    <cellStyle name="Standaard 11 2 2 2 5 3" xfId="6980"/>
    <cellStyle name="Standaard 11 2 2 2 5 3 2" xfId="6981"/>
    <cellStyle name="Standaard 11 2 2 2 5 4" xfId="6982"/>
    <cellStyle name="Standaard 11 2 2 2 6" xfId="6983"/>
    <cellStyle name="Standaard 11 2 2 2 6 2" xfId="6984"/>
    <cellStyle name="Standaard 11 2 2 2 6 2 2" xfId="6985"/>
    <cellStyle name="Standaard 11 2 2 2 6 3" xfId="6986"/>
    <cellStyle name="Standaard 11 2 2 2 7" xfId="6987"/>
    <cellStyle name="Standaard 11 2 2 2 7 2" xfId="6988"/>
    <cellStyle name="Standaard 11 2 2 2 8" xfId="6989"/>
    <cellStyle name="Standaard 11 2 2 2 9" xfId="6990"/>
    <cellStyle name="Standaard 11 2 2 3" xfId="6991"/>
    <cellStyle name="Standaard 11 2 2 3 2" xfId="6992"/>
    <cellStyle name="Standaard 11 2 2 3 2 2" xfId="6993"/>
    <cellStyle name="Standaard 11 2 2 3 2 2 2" xfId="6994"/>
    <cellStyle name="Standaard 11 2 2 3 2 2 2 2" xfId="6995"/>
    <cellStyle name="Standaard 11 2 2 3 2 2 2 2 2" xfId="6996"/>
    <cellStyle name="Standaard 11 2 2 3 2 2 2 2 2 2" xfId="6997"/>
    <cellStyle name="Standaard 11 2 2 3 2 2 2 2 3" xfId="6998"/>
    <cellStyle name="Standaard 11 2 2 3 2 2 2 3" xfId="6999"/>
    <cellStyle name="Standaard 11 2 2 3 2 2 2 3 2" xfId="7000"/>
    <cellStyle name="Standaard 11 2 2 3 2 2 2 4" xfId="7001"/>
    <cellStyle name="Standaard 11 2 2 3 2 2 3" xfId="7002"/>
    <cellStyle name="Standaard 11 2 2 3 2 2 3 2" xfId="7003"/>
    <cellStyle name="Standaard 11 2 2 3 2 2 3 2 2" xfId="7004"/>
    <cellStyle name="Standaard 11 2 2 3 2 2 3 3" xfId="7005"/>
    <cellStyle name="Standaard 11 2 2 3 2 2 4" xfId="7006"/>
    <cellStyle name="Standaard 11 2 2 3 2 2 4 2" xfId="7007"/>
    <cellStyle name="Standaard 11 2 2 3 2 2 5" xfId="7008"/>
    <cellStyle name="Standaard 11 2 2 3 2 2 6" xfId="7009"/>
    <cellStyle name="Standaard 11 2 2 3 2 3" xfId="7010"/>
    <cellStyle name="Standaard 11 2 2 3 2 3 2" xfId="7011"/>
    <cellStyle name="Standaard 11 2 2 3 2 3 2 2" xfId="7012"/>
    <cellStyle name="Standaard 11 2 2 3 2 3 2 2 2" xfId="7013"/>
    <cellStyle name="Standaard 11 2 2 3 2 3 2 3" xfId="7014"/>
    <cellStyle name="Standaard 11 2 2 3 2 3 3" xfId="7015"/>
    <cellStyle name="Standaard 11 2 2 3 2 3 3 2" xfId="7016"/>
    <cellStyle name="Standaard 11 2 2 3 2 3 4" xfId="7017"/>
    <cellStyle name="Standaard 11 2 2 3 2 4" xfId="7018"/>
    <cellStyle name="Standaard 11 2 2 3 2 4 2" xfId="7019"/>
    <cellStyle name="Standaard 11 2 2 3 2 4 2 2" xfId="7020"/>
    <cellStyle name="Standaard 11 2 2 3 2 4 3" xfId="7021"/>
    <cellStyle name="Standaard 11 2 2 3 2 5" xfId="7022"/>
    <cellStyle name="Standaard 11 2 2 3 2 5 2" xfId="7023"/>
    <cellStyle name="Standaard 11 2 2 3 2 6" xfId="7024"/>
    <cellStyle name="Standaard 11 2 2 3 2 7" xfId="7025"/>
    <cellStyle name="Standaard 11 2 2 3 3" xfId="7026"/>
    <cellStyle name="Standaard 11 2 2 3 3 2" xfId="7027"/>
    <cellStyle name="Standaard 11 2 2 3 3 2 2" xfId="7028"/>
    <cellStyle name="Standaard 11 2 2 3 3 2 2 2" xfId="7029"/>
    <cellStyle name="Standaard 11 2 2 3 3 2 2 2 2" xfId="7030"/>
    <cellStyle name="Standaard 11 2 2 3 3 2 2 3" xfId="7031"/>
    <cellStyle name="Standaard 11 2 2 3 3 2 3" xfId="7032"/>
    <cellStyle name="Standaard 11 2 2 3 3 2 3 2" xfId="7033"/>
    <cellStyle name="Standaard 11 2 2 3 3 2 4" xfId="7034"/>
    <cellStyle name="Standaard 11 2 2 3 3 3" xfId="7035"/>
    <cellStyle name="Standaard 11 2 2 3 3 3 2" xfId="7036"/>
    <cellStyle name="Standaard 11 2 2 3 3 3 2 2" xfId="7037"/>
    <cellStyle name="Standaard 11 2 2 3 3 3 3" xfId="7038"/>
    <cellStyle name="Standaard 11 2 2 3 3 4" xfId="7039"/>
    <cellStyle name="Standaard 11 2 2 3 3 4 2" xfId="7040"/>
    <cellStyle name="Standaard 11 2 2 3 3 5" xfId="7041"/>
    <cellStyle name="Standaard 11 2 2 3 3 6" xfId="7042"/>
    <cellStyle name="Standaard 11 2 2 3 4" xfId="7043"/>
    <cellStyle name="Standaard 11 2 2 3 4 2" xfId="7044"/>
    <cellStyle name="Standaard 11 2 2 3 4 2 2" xfId="7045"/>
    <cellStyle name="Standaard 11 2 2 3 4 2 2 2" xfId="7046"/>
    <cellStyle name="Standaard 11 2 2 3 4 2 3" xfId="7047"/>
    <cellStyle name="Standaard 11 2 2 3 4 3" xfId="7048"/>
    <cellStyle name="Standaard 11 2 2 3 4 3 2" xfId="7049"/>
    <cellStyle name="Standaard 11 2 2 3 4 4" xfId="7050"/>
    <cellStyle name="Standaard 11 2 2 3 5" xfId="7051"/>
    <cellStyle name="Standaard 11 2 2 3 5 2" xfId="7052"/>
    <cellStyle name="Standaard 11 2 2 3 5 2 2" xfId="7053"/>
    <cellStyle name="Standaard 11 2 2 3 5 3" xfId="7054"/>
    <cellStyle name="Standaard 11 2 2 3 6" xfId="7055"/>
    <cellStyle name="Standaard 11 2 2 3 6 2" xfId="7056"/>
    <cellStyle name="Standaard 11 2 2 3 7" xfId="7057"/>
    <cellStyle name="Standaard 11 2 2 3 8" xfId="7058"/>
    <cellStyle name="Standaard 11 2 2 4" xfId="7059"/>
    <cellStyle name="Standaard 11 2 2 4 2" xfId="7060"/>
    <cellStyle name="Standaard 11 2 2 4 2 2" xfId="7061"/>
    <cellStyle name="Standaard 11 2 2 4 2 2 2" xfId="7062"/>
    <cellStyle name="Standaard 11 2 2 4 2 2 2 2" xfId="7063"/>
    <cellStyle name="Standaard 11 2 2 4 2 2 2 2 2" xfId="7064"/>
    <cellStyle name="Standaard 11 2 2 4 2 2 2 2 2 2" xfId="7065"/>
    <cellStyle name="Standaard 11 2 2 4 2 2 2 2 3" xfId="7066"/>
    <cellStyle name="Standaard 11 2 2 4 2 2 2 3" xfId="7067"/>
    <cellStyle name="Standaard 11 2 2 4 2 2 2 3 2" xfId="7068"/>
    <cellStyle name="Standaard 11 2 2 4 2 2 2 4" xfId="7069"/>
    <cellStyle name="Standaard 11 2 2 4 2 2 3" xfId="7070"/>
    <cellStyle name="Standaard 11 2 2 4 2 2 3 2" xfId="7071"/>
    <cellStyle name="Standaard 11 2 2 4 2 2 3 2 2" xfId="7072"/>
    <cellStyle name="Standaard 11 2 2 4 2 2 3 3" xfId="7073"/>
    <cellStyle name="Standaard 11 2 2 4 2 2 4" xfId="7074"/>
    <cellStyle name="Standaard 11 2 2 4 2 2 4 2" xfId="7075"/>
    <cellStyle name="Standaard 11 2 2 4 2 2 5" xfId="7076"/>
    <cellStyle name="Standaard 11 2 2 4 2 2 6" xfId="7077"/>
    <cellStyle name="Standaard 11 2 2 4 2 3" xfId="7078"/>
    <cellStyle name="Standaard 11 2 2 4 2 3 2" xfId="7079"/>
    <cellStyle name="Standaard 11 2 2 4 2 3 2 2" xfId="7080"/>
    <cellStyle name="Standaard 11 2 2 4 2 3 2 2 2" xfId="7081"/>
    <cellStyle name="Standaard 11 2 2 4 2 3 2 3" xfId="7082"/>
    <cellStyle name="Standaard 11 2 2 4 2 3 3" xfId="7083"/>
    <cellStyle name="Standaard 11 2 2 4 2 3 3 2" xfId="7084"/>
    <cellStyle name="Standaard 11 2 2 4 2 3 4" xfId="7085"/>
    <cellStyle name="Standaard 11 2 2 4 2 4" xfId="7086"/>
    <cellStyle name="Standaard 11 2 2 4 2 4 2" xfId="7087"/>
    <cellStyle name="Standaard 11 2 2 4 2 4 2 2" xfId="7088"/>
    <cellStyle name="Standaard 11 2 2 4 2 4 3" xfId="7089"/>
    <cellStyle name="Standaard 11 2 2 4 2 5" xfId="7090"/>
    <cellStyle name="Standaard 11 2 2 4 2 5 2" xfId="7091"/>
    <cellStyle name="Standaard 11 2 2 4 2 6" xfId="7092"/>
    <cellStyle name="Standaard 11 2 2 4 2 7" xfId="7093"/>
    <cellStyle name="Standaard 11 2 2 4 3" xfId="7094"/>
    <cellStyle name="Standaard 11 2 2 4 3 2" xfId="7095"/>
    <cellStyle name="Standaard 11 2 2 4 3 2 2" xfId="7096"/>
    <cellStyle name="Standaard 11 2 2 4 3 2 2 2" xfId="7097"/>
    <cellStyle name="Standaard 11 2 2 4 3 2 2 2 2" xfId="7098"/>
    <cellStyle name="Standaard 11 2 2 4 3 2 2 3" xfId="7099"/>
    <cellStyle name="Standaard 11 2 2 4 3 2 3" xfId="7100"/>
    <cellStyle name="Standaard 11 2 2 4 3 2 3 2" xfId="7101"/>
    <cellStyle name="Standaard 11 2 2 4 3 2 4" xfId="7102"/>
    <cellStyle name="Standaard 11 2 2 4 3 3" xfId="7103"/>
    <cellStyle name="Standaard 11 2 2 4 3 3 2" xfId="7104"/>
    <cellStyle name="Standaard 11 2 2 4 3 3 2 2" xfId="7105"/>
    <cellStyle name="Standaard 11 2 2 4 3 3 3" xfId="7106"/>
    <cellStyle name="Standaard 11 2 2 4 3 4" xfId="7107"/>
    <cellStyle name="Standaard 11 2 2 4 3 4 2" xfId="7108"/>
    <cellStyle name="Standaard 11 2 2 4 3 5" xfId="7109"/>
    <cellStyle name="Standaard 11 2 2 4 3 6" xfId="7110"/>
    <cellStyle name="Standaard 11 2 2 4 4" xfId="7111"/>
    <cellStyle name="Standaard 11 2 2 4 4 2" xfId="7112"/>
    <cellStyle name="Standaard 11 2 2 4 4 2 2" xfId="7113"/>
    <cellStyle name="Standaard 11 2 2 4 4 2 2 2" xfId="7114"/>
    <cellStyle name="Standaard 11 2 2 4 4 2 3" xfId="7115"/>
    <cellStyle name="Standaard 11 2 2 4 4 3" xfId="7116"/>
    <cellStyle name="Standaard 11 2 2 4 4 3 2" xfId="7117"/>
    <cellStyle name="Standaard 11 2 2 4 4 4" xfId="7118"/>
    <cellStyle name="Standaard 11 2 2 4 5" xfId="7119"/>
    <cellStyle name="Standaard 11 2 2 4 5 2" xfId="7120"/>
    <cellStyle name="Standaard 11 2 2 4 5 2 2" xfId="7121"/>
    <cellStyle name="Standaard 11 2 2 4 5 3" xfId="7122"/>
    <cellStyle name="Standaard 11 2 2 4 6" xfId="7123"/>
    <cellStyle name="Standaard 11 2 2 4 6 2" xfId="7124"/>
    <cellStyle name="Standaard 11 2 2 4 7" xfId="7125"/>
    <cellStyle name="Standaard 11 2 2 4 8" xfId="7126"/>
    <cellStyle name="Standaard 11 2 2 5" xfId="7127"/>
    <cellStyle name="Standaard 11 2 2 5 2" xfId="7128"/>
    <cellStyle name="Standaard 11 2 2 5 2 2" xfId="7129"/>
    <cellStyle name="Standaard 11 2 2 5 2 2 2" xfId="7130"/>
    <cellStyle name="Standaard 11 2 2 5 2 2 2 2" xfId="7131"/>
    <cellStyle name="Standaard 11 2 2 5 2 2 2 2 2" xfId="7132"/>
    <cellStyle name="Standaard 11 2 2 5 2 2 2 3" xfId="7133"/>
    <cellStyle name="Standaard 11 2 2 5 2 2 3" xfId="7134"/>
    <cellStyle name="Standaard 11 2 2 5 2 2 3 2" xfId="7135"/>
    <cellStyle name="Standaard 11 2 2 5 2 2 4" xfId="7136"/>
    <cellStyle name="Standaard 11 2 2 5 2 3" xfId="7137"/>
    <cellStyle name="Standaard 11 2 2 5 2 3 2" xfId="7138"/>
    <cellStyle name="Standaard 11 2 2 5 2 3 2 2" xfId="7139"/>
    <cellStyle name="Standaard 11 2 2 5 2 3 3" xfId="7140"/>
    <cellStyle name="Standaard 11 2 2 5 2 4" xfId="7141"/>
    <cellStyle name="Standaard 11 2 2 5 2 4 2" xfId="7142"/>
    <cellStyle name="Standaard 11 2 2 5 2 5" xfId="7143"/>
    <cellStyle name="Standaard 11 2 2 5 2 6" xfId="7144"/>
    <cellStyle name="Standaard 11 2 2 5 3" xfId="7145"/>
    <cellStyle name="Standaard 11 2 2 5 3 2" xfId="7146"/>
    <cellStyle name="Standaard 11 2 2 5 3 2 2" xfId="7147"/>
    <cellStyle name="Standaard 11 2 2 5 3 2 2 2" xfId="7148"/>
    <cellStyle name="Standaard 11 2 2 5 3 2 3" xfId="7149"/>
    <cellStyle name="Standaard 11 2 2 5 3 3" xfId="7150"/>
    <cellStyle name="Standaard 11 2 2 5 3 3 2" xfId="7151"/>
    <cellStyle name="Standaard 11 2 2 5 3 4" xfId="7152"/>
    <cellStyle name="Standaard 11 2 2 5 4" xfId="7153"/>
    <cellStyle name="Standaard 11 2 2 5 4 2" xfId="7154"/>
    <cellStyle name="Standaard 11 2 2 5 4 2 2" xfId="7155"/>
    <cellStyle name="Standaard 11 2 2 5 4 3" xfId="7156"/>
    <cellStyle name="Standaard 11 2 2 5 5" xfId="7157"/>
    <cellStyle name="Standaard 11 2 2 5 5 2" xfId="7158"/>
    <cellStyle name="Standaard 11 2 2 5 6" xfId="7159"/>
    <cellStyle name="Standaard 11 2 2 5 7" xfId="7160"/>
    <cellStyle name="Standaard 11 2 2 6" xfId="7161"/>
    <cellStyle name="Standaard 11 2 2 6 2" xfId="7162"/>
    <cellStyle name="Standaard 11 2 2 6 2 2" xfId="7163"/>
    <cellStyle name="Standaard 11 2 2 6 2 2 2" xfId="7164"/>
    <cellStyle name="Standaard 11 2 2 6 2 2 2 2" xfId="7165"/>
    <cellStyle name="Standaard 11 2 2 6 2 2 3" xfId="7166"/>
    <cellStyle name="Standaard 11 2 2 6 2 3" xfId="7167"/>
    <cellStyle name="Standaard 11 2 2 6 2 3 2" xfId="7168"/>
    <cellStyle name="Standaard 11 2 2 6 2 4" xfId="7169"/>
    <cellStyle name="Standaard 11 2 2 6 3" xfId="7170"/>
    <cellStyle name="Standaard 11 2 2 6 3 2" xfId="7171"/>
    <cellStyle name="Standaard 11 2 2 6 3 2 2" xfId="7172"/>
    <cellStyle name="Standaard 11 2 2 6 3 3" xfId="7173"/>
    <cellStyle name="Standaard 11 2 2 6 4" xfId="7174"/>
    <cellStyle name="Standaard 11 2 2 6 4 2" xfId="7175"/>
    <cellStyle name="Standaard 11 2 2 6 5" xfId="7176"/>
    <cellStyle name="Standaard 11 2 2 6 6" xfId="7177"/>
    <cellStyle name="Standaard 11 2 2 7" xfId="7178"/>
    <cellStyle name="Standaard 11 2 2 7 2" xfId="7179"/>
    <cellStyle name="Standaard 11 2 2 7 2 2" xfId="7180"/>
    <cellStyle name="Standaard 11 2 2 7 2 2 2" xfId="7181"/>
    <cellStyle name="Standaard 11 2 2 7 2 3" xfId="7182"/>
    <cellStyle name="Standaard 11 2 2 7 3" xfId="7183"/>
    <cellStyle name="Standaard 11 2 2 7 3 2" xfId="7184"/>
    <cellStyle name="Standaard 11 2 2 7 4" xfId="7185"/>
    <cellStyle name="Standaard 11 2 2 8" xfId="7186"/>
    <cellStyle name="Standaard 11 2 2 8 2" xfId="7187"/>
    <cellStyle name="Standaard 11 2 2 8 2 2" xfId="7188"/>
    <cellStyle name="Standaard 11 2 2 8 3" xfId="7189"/>
    <cellStyle name="Standaard 11 2 2 9" xfId="7190"/>
    <cellStyle name="Standaard 11 2 2 9 2" xfId="7191"/>
    <cellStyle name="Standaard 11 2 3" xfId="7192"/>
    <cellStyle name="Standaard 11 2 3 2" xfId="7193"/>
    <cellStyle name="Standaard 11 2 3 2 2" xfId="7194"/>
    <cellStyle name="Standaard 11 2 3 2 2 2" xfId="7195"/>
    <cellStyle name="Standaard 11 2 3 2 2 2 2" xfId="7196"/>
    <cellStyle name="Standaard 11 2 3 2 2 2 2 2" xfId="7197"/>
    <cellStyle name="Standaard 11 2 3 2 2 2 2 2 2" xfId="7198"/>
    <cellStyle name="Standaard 11 2 3 2 2 2 2 2 2 2" xfId="7199"/>
    <cellStyle name="Standaard 11 2 3 2 2 2 2 2 3" xfId="7200"/>
    <cellStyle name="Standaard 11 2 3 2 2 2 2 3" xfId="7201"/>
    <cellStyle name="Standaard 11 2 3 2 2 2 2 3 2" xfId="7202"/>
    <cellStyle name="Standaard 11 2 3 2 2 2 2 4" xfId="7203"/>
    <cellStyle name="Standaard 11 2 3 2 2 2 3" xfId="7204"/>
    <cellStyle name="Standaard 11 2 3 2 2 2 3 2" xfId="7205"/>
    <cellStyle name="Standaard 11 2 3 2 2 2 3 2 2" xfId="7206"/>
    <cellStyle name="Standaard 11 2 3 2 2 2 3 3" xfId="7207"/>
    <cellStyle name="Standaard 11 2 3 2 2 2 4" xfId="7208"/>
    <cellStyle name="Standaard 11 2 3 2 2 2 4 2" xfId="7209"/>
    <cellStyle name="Standaard 11 2 3 2 2 2 5" xfId="7210"/>
    <cellStyle name="Standaard 11 2 3 2 2 2 6" xfId="7211"/>
    <cellStyle name="Standaard 11 2 3 2 2 3" xfId="7212"/>
    <cellStyle name="Standaard 11 2 3 2 2 3 2" xfId="7213"/>
    <cellStyle name="Standaard 11 2 3 2 2 3 2 2" xfId="7214"/>
    <cellStyle name="Standaard 11 2 3 2 2 3 2 2 2" xfId="7215"/>
    <cellStyle name="Standaard 11 2 3 2 2 3 2 3" xfId="7216"/>
    <cellStyle name="Standaard 11 2 3 2 2 3 3" xfId="7217"/>
    <cellStyle name="Standaard 11 2 3 2 2 3 3 2" xfId="7218"/>
    <cellStyle name="Standaard 11 2 3 2 2 3 4" xfId="7219"/>
    <cellStyle name="Standaard 11 2 3 2 2 4" xfId="7220"/>
    <cellStyle name="Standaard 11 2 3 2 2 4 2" xfId="7221"/>
    <cellStyle name="Standaard 11 2 3 2 2 4 2 2" xfId="7222"/>
    <cellStyle name="Standaard 11 2 3 2 2 4 3" xfId="7223"/>
    <cellStyle name="Standaard 11 2 3 2 2 5" xfId="7224"/>
    <cellStyle name="Standaard 11 2 3 2 2 5 2" xfId="7225"/>
    <cellStyle name="Standaard 11 2 3 2 2 6" xfId="7226"/>
    <cellStyle name="Standaard 11 2 3 2 2 7" xfId="7227"/>
    <cellStyle name="Standaard 11 2 3 2 3" xfId="7228"/>
    <cellStyle name="Standaard 11 2 3 2 3 2" xfId="7229"/>
    <cellStyle name="Standaard 11 2 3 2 3 2 2" xfId="7230"/>
    <cellStyle name="Standaard 11 2 3 2 3 2 2 2" xfId="7231"/>
    <cellStyle name="Standaard 11 2 3 2 3 2 2 2 2" xfId="7232"/>
    <cellStyle name="Standaard 11 2 3 2 3 2 2 3" xfId="7233"/>
    <cellStyle name="Standaard 11 2 3 2 3 2 3" xfId="7234"/>
    <cellStyle name="Standaard 11 2 3 2 3 2 3 2" xfId="7235"/>
    <cellStyle name="Standaard 11 2 3 2 3 2 4" xfId="7236"/>
    <cellStyle name="Standaard 11 2 3 2 3 3" xfId="7237"/>
    <cellStyle name="Standaard 11 2 3 2 3 3 2" xfId="7238"/>
    <cellStyle name="Standaard 11 2 3 2 3 3 2 2" xfId="7239"/>
    <cellStyle name="Standaard 11 2 3 2 3 3 3" xfId="7240"/>
    <cellStyle name="Standaard 11 2 3 2 3 4" xfId="7241"/>
    <cellStyle name="Standaard 11 2 3 2 3 4 2" xfId="7242"/>
    <cellStyle name="Standaard 11 2 3 2 3 5" xfId="7243"/>
    <cellStyle name="Standaard 11 2 3 2 3 6" xfId="7244"/>
    <cellStyle name="Standaard 11 2 3 2 4" xfId="7245"/>
    <cellStyle name="Standaard 11 2 3 2 4 2" xfId="7246"/>
    <cellStyle name="Standaard 11 2 3 2 4 2 2" xfId="7247"/>
    <cellStyle name="Standaard 11 2 3 2 4 2 2 2" xfId="7248"/>
    <cellStyle name="Standaard 11 2 3 2 4 2 3" xfId="7249"/>
    <cellStyle name="Standaard 11 2 3 2 4 3" xfId="7250"/>
    <cellStyle name="Standaard 11 2 3 2 4 3 2" xfId="7251"/>
    <cellStyle name="Standaard 11 2 3 2 4 4" xfId="7252"/>
    <cellStyle name="Standaard 11 2 3 2 5" xfId="7253"/>
    <cellStyle name="Standaard 11 2 3 2 5 2" xfId="7254"/>
    <cellStyle name="Standaard 11 2 3 2 5 2 2" xfId="7255"/>
    <cellStyle name="Standaard 11 2 3 2 5 3" xfId="7256"/>
    <cellStyle name="Standaard 11 2 3 2 6" xfId="7257"/>
    <cellStyle name="Standaard 11 2 3 2 6 2" xfId="7258"/>
    <cellStyle name="Standaard 11 2 3 2 7" xfId="7259"/>
    <cellStyle name="Standaard 11 2 3 2 8" xfId="7260"/>
    <cellStyle name="Standaard 11 2 3 3" xfId="7261"/>
    <cellStyle name="Standaard 11 2 3 3 2" xfId="7262"/>
    <cellStyle name="Standaard 11 2 3 3 2 2" xfId="7263"/>
    <cellStyle name="Standaard 11 2 3 3 2 2 2" xfId="7264"/>
    <cellStyle name="Standaard 11 2 3 3 2 2 2 2" xfId="7265"/>
    <cellStyle name="Standaard 11 2 3 3 2 2 2 2 2" xfId="7266"/>
    <cellStyle name="Standaard 11 2 3 3 2 2 2 3" xfId="7267"/>
    <cellStyle name="Standaard 11 2 3 3 2 2 3" xfId="7268"/>
    <cellStyle name="Standaard 11 2 3 3 2 2 3 2" xfId="7269"/>
    <cellStyle name="Standaard 11 2 3 3 2 2 4" xfId="7270"/>
    <cellStyle name="Standaard 11 2 3 3 2 3" xfId="7271"/>
    <cellStyle name="Standaard 11 2 3 3 2 3 2" xfId="7272"/>
    <cellStyle name="Standaard 11 2 3 3 2 3 2 2" xfId="7273"/>
    <cellStyle name="Standaard 11 2 3 3 2 3 3" xfId="7274"/>
    <cellStyle name="Standaard 11 2 3 3 2 4" xfId="7275"/>
    <cellStyle name="Standaard 11 2 3 3 2 4 2" xfId="7276"/>
    <cellStyle name="Standaard 11 2 3 3 2 5" xfId="7277"/>
    <cellStyle name="Standaard 11 2 3 3 2 6" xfId="7278"/>
    <cellStyle name="Standaard 11 2 3 3 3" xfId="7279"/>
    <cellStyle name="Standaard 11 2 3 3 3 2" xfId="7280"/>
    <cellStyle name="Standaard 11 2 3 3 3 2 2" xfId="7281"/>
    <cellStyle name="Standaard 11 2 3 3 3 2 2 2" xfId="7282"/>
    <cellStyle name="Standaard 11 2 3 3 3 2 3" xfId="7283"/>
    <cellStyle name="Standaard 11 2 3 3 3 3" xfId="7284"/>
    <cellStyle name="Standaard 11 2 3 3 3 3 2" xfId="7285"/>
    <cellStyle name="Standaard 11 2 3 3 3 4" xfId="7286"/>
    <cellStyle name="Standaard 11 2 3 3 4" xfId="7287"/>
    <cellStyle name="Standaard 11 2 3 3 4 2" xfId="7288"/>
    <cellStyle name="Standaard 11 2 3 3 4 2 2" xfId="7289"/>
    <cellStyle name="Standaard 11 2 3 3 4 3" xfId="7290"/>
    <cellStyle name="Standaard 11 2 3 3 5" xfId="7291"/>
    <cellStyle name="Standaard 11 2 3 3 5 2" xfId="7292"/>
    <cellStyle name="Standaard 11 2 3 3 6" xfId="7293"/>
    <cellStyle name="Standaard 11 2 3 3 7" xfId="7294"/>
    <cellStyle name="Standaard 11 2 3 4" xfId="7295"/>
    <cellStyle name="Standaard 11 2 3 4 2" xfId="7296"/>
    <cellStyle name="Standaard 11 2 3 4 2 2" xfId="7297"/>
    <cellStyle name="Standaard 11 2 3 4 2 2 2" xfId="7298"/>
    <cellStyle name="Standaard 11 2 3 4 2 2 2 2" xfId="7299"/>
    <cellStyle name="Standaard 11 2 3 4 2 2 3" xfId="7300"/>
    <cellStyle name="Standaard 11 2 3 4 2 3" xfId="7301"/>
    <cellStyle name="Standaard 11 2 3 4 2 3 2" xfId="7302"/>
    <cellStyle name="Standaard 11 2 3 4 2 4" xfId="7303"/>
    <cellStyle name="Standaard 11 2 3 4 3" xfId="7304"/>
    <cellStyle name="Standaard 11 2 3 4 3 2" xfId="7305"/>
    <cellStyle name="Standaard 11 2 3 4 3 2 2" xfId="7306"/>
    <cellStyle name="Standaard 11 2 3 4 3 3" xfId="7307"/>
    <cellStyle name="Standaard 11 2 3 4 4" xfId="7308"/>
    <cellStyle name="Standaard 11 2 3 4 4 2" xfId="7309"/>
    <cellStyle name="Standaard 11 2 3 4 5" xfId="7310"/>
    <cellStyle name="Standaard 11 2 3 4 6" xfId="7311"/>
    <cellStyle name="Standaard 11 2 3 5" xfId="7312"/>
    <cellStyle name="Standaard 11 2 3 5 2" xfId="7313"/>
    <cellStyle name="Standaard 11 2 3 5 2 2" xfId="7314"/>
    <cellStyle name="Standaard 11 2 3 5 2 2 2" xfId="7315"/>
    <cellStyle name="Standaard 11 2 3 5 2 3" xfId="7316"/>
    <cellStyle name="Standaard 11 2 3 5 3" xfId="7317"/>
    <cellStyle name="Standaard 11 2 3 5 3 2" xfId="7318"/>
    <cellStyle name="Standaard 11 2 3 5 4" xfId="7319"/>
    <cellStyle name="Standaard 11 2 3 6" xfId="7320"/>
    <cellStyle name="Standaard 11 2 3 6 2" xfId="7321"/>
    <cellStyle name="Standaard 11 2 3 6 2 2" xfId="7322"/>
    <cellStyle name="Standaard 11 2 3 6 3" xfId="7323"/>
    <cellStyle name="Standaard 11 2 3 7" xfId="7324"/>
    <cellStyle name="Standaard 11 2 3 7 2" xfId="7325"/>
    <cellStyle name="Standaard 11 2 3 8" xfId="7326"/>
    <cellStyle name="Standaard 11 2 3 9" xfId="7327"/>
    <cellStyle name="Standaard 11 2 4" xfId="7328"/>
    <cellStyle name="Standaard 11 2 4 2" xfId="7329"/>
    <cellStyle name="Standaard 11 2 4 2 2" xfId="7330"/>
    <cellStyle name="Standaard 11 2 4 2 2 2" xfId="7331"/>
    <cellStyle name="Standaard 11 2 4 2 2 2 2" xfId="7332"/>
    <cellStyle name="Standaard 11 2 4 2 2 2 2 2" xfId="7333"/>
    <cellStyle name="Standaard 11 2 4 2 2 2 2 2 2" xfId="7334"/>
    <cellStyle name="Standaard 11 2 4 2 2 2 2 3" xfId="7335"/>
    <cellStyle name="Standaard 11 2 4 2 2 2 3" xfId="7336"/>
    <cellStyle name="Standaard 11 2 4 2 2 2 3 2" xfId="7337"/>
    <cellStyle name="Standaard 11 2 4 2 2 2 4" xfId="7338"/>
    <cellStyle name="Standaard 11 2 4 2 2 3" xfId="7339"/>
    <cellStyle name="Standaard 11 2 4 2 2 3 2" xfId="7340"/>
    <cellStyle name="Standaard 11 2 4 2 2 3 2 2" xfId="7341"/>
    <cellStyle name="Standaard 11 2 4 2 2 3 3" xfId="7342"/>
    <cellStyle name="Standaard 11 2 4 2 2 4" xfId="7343"/>
    <cellStyle name="Standaard 11 2 4 2 2 4 2" xfId="7344"/>
    <cellStyle name="Standaard 11 2 4 2 2 5" xfId="7345"/>
    <cellStyle name="Standaard 11 2 4 2 2 6" xfId="7346"/>
    <cellStyle name="Standaard 11 2 4 2 3" xfId="7347"/>
    <cellStyle name="Standaard 11 2 4 2 3 2" xfId="7348"/>
    <cellStyle name="Standaard 11 2 4 2 3 2 2" xfId="7349"/>
    <cellStyle name="Standaard 11 2 4 2 3 2 2 2" xfId="7350"/>
    <cellStyle name="Standaard 11 2 4 2 3 2 3" xfId="7351"/>
    <cellStyle name="Standaard 11 2 4 2 3 3" xfId="7352"/>
    <cellStyle name="Standaard 11 2 4 2 3 3 2" xfId="7353"/>
    <cellStyle name="Standaard 11 2 4 2 3 4" xfId="7354"/>
    <cellStyle name="Standaard 11 2 4 2 4" xfId="7355"/>
    <cellStyle name="Standaard 11 2 4 2 4 2" xfId="7356"/>
    <cellStyle name="Standaard 11 2 4 2 4 2 2" xfId="7357"/>
    <cellStyle name="Standaard 11 2 4 2 4 3" xfId="7358"/>
    <cellStyle name="Standaard 11 2 4 2 5" xfId="7359"/>
    <cellStyle name="Standaard 11 2 4 2 5 2" xfId="7360"/>
    <cellStyle name="Standaard 11 2 4 2 6" xfId="7361"/>
    <cellStyle name="Standaard 11 2 4 2 7" xfId="7362"/>
    <cellStyle name="Standaard 11 2 4 3" xfId="7363"/>
    <cellStyle name="Standaard 11 2 4 3 2" xfId="7364"/>
    <cellStyle name="Standaard 11 2 4 3 2 2" xfId="7365"/>
    <cellStyle name="Standaard 11 2 4 3 2 2 2" xfId="7366"/>
    <cellStyle name="Standaard 11 2 4 3 2 2 2 2" xfId="7367"/>
    <cellStyle name="Standaard 11 2 4 3 2 2 3" xfId="7368"/>
    <cellStyle name="Standaard 11 2 4 3 2 3" xfId="7369"/>
    <cellStyle name="Standaard 11 2 4 3 2 3 2" xfId="7370"/>
    <cellStyle name="Standaard 11 2 4 3 2 4" xfId="7371"/>
    <cellStyle name="Standaard 11 2 4 3 3" xfId="7372"/>
    <cellStyle name="Standaard 11 2 4 3 3 2" xfId="7373"/>
    <cellStyle name="Standaard 11 2 4 3 3 2 2" xfId="7374"/>
    <cellStyle name="Standaard 11 2 4 3 3 3" xfId="7375"/>
    <cellStyle name="Standaard 11 2 4 3 4" xfId="7376"/>
    <cellStyle name="Standaard 11 2 4 3 4 2" xfId="7377"/>
    <cellStyle name="Standaard 11 2 4 3 5" xfId="7378"/>
    <cellStyle name="Standaard 11 2 4 3 6" xfId="7379"/>
    <cellStyle name="Standaard 11 2 4 4" xfId="7380"/>
    <cellStyle name="Standaard 11 2 4 4 2" xfId="7381"/>
    <cellStyle name="Standaard 11 2 4 4 2 2" xfId="7382"/>
    <cellStyle name="Standaard 11 2 4 4 2 2 2" xfId="7383"/>
    <cellStyle name="Standaard 11 2 4 4 2 3" xfId="7384"/>
    <cellStyle name="Standaard 11 2 4 4 3" xfId="7385"/>
    <cellStyle name="Standaard 11 2 4 4 3 2" xfId="7386"/>
    <cellStyle name="Standaard 11 2 4 4 4" xfId="7387"/>
    <cellStyle name="Standaard 11 2 4 5" xfId="7388"/>
    <cellStyle name="Standaard 11 2 4 5 2" xfId="7389"/>
    <cellStyle name="Standaard 11 2 4 5 2 2" xfId="7390"/>
    <cellStyle name="Standaard 11 2 4 5 3" xfId="7391"/>
    <cellStyle name="Standaard 11 2 4 6" xfId="7392"/>
    <cellStyle name="Standaard 11 2 4 6 2" xfId="7393"/>
    <cellStyle name="Standaard 11 2 4 7" xfId="7394"/>
    <cellStyle name="Standaard 11 2 4 8" xfId="7395"/>
    <cellStyle name="Standaard 11 2 5" xfId="7396"/>
    <cellStyle name="Standaard 11 2 5 2" xfId="7397"/>
    <cellStyle name="Standaard 11 2 5 2 2" xfId="7398"/>
    <cellStyle name="Standaard 11 2 5 2 2 2" xfId="7399"/>
    <cellStyle name="Standaard 11 2 5 2 2 2 2" xfId="7400"/>
    <cellStyle name="Standaard 11 2 5 2 2 2 2 2" xfId="7401"/>
    <cellStyle name="Standaard 11 2 5 2 2 2 2 2 2" xfId="7402"/>
    <cellStyle name="Standaard 11 2 5 2 2 2 2 3" xfId="7403"/>
    <cellStyle name="Standaard 11 2 5 2 2 2 3" xfId="7404"/>
    <cellStyle name="Standaard 11 2 5 2 2 2 3 2" xfId="7405"/>
    <cellStyle name="Standaard 11 2 5 2 2 2 4" xfId="7406"/>
    <cellStyle name="Standaard 11 2 5 2 2 3" xfId="7407"/>
    <cellStyle name="Standaard 11 2 5 2 2 3 2" xfId="7408"/>
    <cellStyle name="Standaard 11 2 5 2 2 3 2 2" xfId="7409"/>
    <cellStyle name="Standaard 11 2 5 2 2 3 3" xfId="7410"/>
    <cellStyle name="Standaard 11 2 5 2 2 4" xfId="7411"/>
    <cellStyle name="Standaard 11 2 5 2 2 4 2" xfId="7412"/>
    <cellStyle name="Standaard 11 2 5 2 2 5" xfId="7413"/>
    <cellStyle name="Standaard 11 2 5 2 2 6" xfId="7414"/>
    <cellStyle name="Standaard 11 2 5 2 3" xfId="7415"/>
    <cellStyle name="Standaard 11 2 5 2 3 2" xfId="7416"/>
    <cellStyle name="Standaard 11 2 5 2 3 2 2" xfId="7417"/>
    <cellStyle name="Standaard 11 2 5 2 3 2 2 2" xfId="7418"/>
    <cellStyle name="Standaard 11 2 5 2 3 2 3" xfId="7419"/>
    <cellStyle name="Standaard 11 2 5 2 3 3" xfId="7420"/>
    <cellStyle name="Standaard 11 2 5 2 3 3 2" xfId="7421"/>
    <cellStyle name="Standaard 11 2 5 2 3 4" xfId="7422"/>
    <cellStyle name="Standaard 11 2 5 2 4" xfId="7423"/>
    <cellStyle name="Standaard 11 2 5 2 4 2" xfId="7424"/>
    <cellStyle name="Standaard 11 2 5 2 4 2 2" xfId="7425"/>
    <cellStyle name="Standaard 11 2 5 2 4 3" xfId="7426"/>
    <cellStyle name="Standaard 11 2 5 2 5" xfId="7427"/>
    <cellStyle name="Standaard 11 2 5 2 5 2" xfId="7428"/>
    <cellStyle name="Standaard 11 2 5 2 6" xfId="7429"/>
    <cellStyle name="Standaard 11 2 5 2 7" xfId="7430"/>
    <cellStyle name="Standaard 11 2 5 3" xfId="7431"/>
    <cellStyle name="Standaard 11 2 5 3 2" xfId="7432"/>
    <cellStyle name="Standaard 11 2 5 3 2 2" xfId="7433"/>
    <cellStyle name="Standaard 11 2 5 3 2 2 2" xfId="7434"/>
    <cellStyle name="Standaard 11 2 5 3 2 2 2 2" xfId="7435"/>
    <cellStyle name="Standaard 11 2 5 3 2 2 3" xfId="7436"/>
    <cellStyle name="Standaard 11 2 5 3 2 3" xfId="7437"/>
    <cellStyle name="Standaard 11 2 5 3 2 3 2" xfId="7438"/>
    <cellStyle name="Standaard 11 2 5 3 2 4" xfId="7439"/>
    <cellStyle name="Standaard 11 2 5 3 3" xfId="7440"/>
    <cellStyle name="Standaard 11 2 5 3 3 2" xfId="7441"/>
    <cellStyle name="Standaard 11 2 5 3 3 2 2" xfId="7442"/>
    <cellStyle name="Standaard 11 2 5 3 3 3" xfId="7443"/>
    <cellStyle name="Standaard 11 2 5 3 4" xfId="7444"/>
    <cellStyle name="Standaard 11 2 5 3 4 2" xfId="7445"/>
    <cellStyle name="Standaard 11 2 5 3 5" xfId="7446"/>
    <cellStyle name="Standaard 11 2 5 3 6" xfId="7447"/>
    <cellStyle name="Standaard 11 2 5 4" xfId="7448"/>
    <cellStyle name="Standaard 11 2 5 4 2" xfId="7449"/>
    <cellStyle name="Standaard 11 2 5 4 2 2" xfId="7450"/>
    <cellStyle name="Standaard 11 2 5 4 2 2 2" xfId="7451"/>
    <cellStyle name="Standaard 11 2 5 4 2 3" xfId="7452"/>
    <cellStyle name="Standaard 11 2 5 4 3" xfId="7453"/>
    <cellStyle name="Standaard 11 2 5 4 3 2" xfId="7454"/>
    <cellStyle name="Standaard 11 2 5 4 4" xfId="7455"/>
    <cellStyle name="Standaard 11 2 5 5" xfId="7456"/>
    <cellStyle name="Standaard 11 2 5 5 2" xfId="7457"/>
    <cellStyle name="Standaard 11 2 5 5 2 2" xfId="7458"/>
    <cellStyle name="Standaard 11 2 5 5 3" xfId="7459"/>
    <cellStyle name="Standaard 11 2 5 6" xfId="7460"/>
    <cellStyle name="Standaard 11 2 5 6 2" xfId="7461"/>
    <cellStyle name="Standaard 11 2 5 7" xfId="7462"/>
    <cellStyle name="Standaard 11 2 5 8" xfId="7463"/>
    <cellStyle name="Standaard 11 2 6" xfId="7464"/>
    <cellStyle name="Standaard 11 2 6 2" xfId="7465"/>
    <cellStyle name="Standaard 11 2 6 2 2" xfId="7466"/>
    <cellStyle name="Standaard 11 2 6 2 2 2" xfId="7467"/>
    <cellStyle name="Standaard 11 2 6 2 2 2 2" xfId="7468"/>
    <cellStyle name="Standaard 11 2 6 2 2 2 2 2" xfId="7469"/>
    <cellStyle name="Standaard 11 2 6 2 2 2 3" xfId="7470"/>
    <cellStyle name="Standaard 11 2 6 2 2 3" xfId="7471"/>
    <cellStyle name="Standaard 11 2 6 2 2 3 2" xfId="7472"/>
    <cellStyle name="Standaard 11 2 6 2 2 4" xfId="7473"/>
    <cellStyle name="Standaard 11 2 6 2 3" xfId="7474"/>
    <cellStyle name="Standaard 11 2 6 2 3 2" xfId="7475"/>
    <cellStyle name="Standaard 11 2 6 2 3 2 2" xfId="7476"/>
    <cellStyle name="Standaard 11 2 6 2 3 3" xfId="7477"/>
    <cellStyle name="Standaard 11 2 6 2 4" xfId="7478"/>
    <cellStyle name="Standaard 11 2 6 2 4 2" xfId="7479"/>
    <cellStyle name="Standaard 11 2 6 2 5" xfId="7480"/>
    <cellStyle name="Standaard 11 2 6 2 6" xfId="7481"/>
    <cellStyle name="Standaard 11 2 6 3" xfId="7482"/>
    <cellStyle name="Standaard 11 2 6 3 2" xfId="7483"/>
    <cellStyle name="Standaard 11 2 6 3 2 2" xfId="7484"/>
    <cellStyle name="Standaard 11 2 6 3 2 2 2" xfId="7485"/>
    <cellStyle name="Standaard 11 2 6 3 2 3" xfId="7486"/>
    <cellStyle name="Standaard 11 2 6 3 3" xfId="7487"/>
    <cellStyle name="Standaard 11 2 6 3 3 2" xfId="7488"/>
    <cellStyle name="Standaard 11 2 6 3 4" xfId="7489"/>
    <cellStyle name="Standaard 11 2 6 4" xfId="7490"/>
    <cellStyle name="Standaard 11 2 6 4 2" xfId="7491"/>
    <cellStyle name="Standaard 11 2 6 4 2 2" xfId="7492"/>
    <cellStyle name="Standaard 11 2 6 4 3" xfId="7493"/>
    <cellStyle name="Standaard 11 2 6 5" xfId="7494"/>
    <cellStyle name="Standaard 11 2 6 5 2" xfId="7495"/>
    <cellStyle name="Standaard 11 2 6 6" xfId="7496"/>
    <cellStyle name="Standaard 11 2 6 7" xfId="7497"/>
    <cellStyle name="Standaard 11 2 7" xfId="7498"/>
    <cellStyle name="Standaard 11 2 7 2" xfId="7499"/>
    <cellStyle name="Standaard 11 2 7 2 2" xfId="7500"/>
    <cellStyle name="Standaard 11 2 7 2 2 2" xfId="7501"/>
    <cellStyle name="Standaard 11 2 7 2 2 2 2" xfId="7502"/>
    <cellStyle name="Standaard 11 2 7 2 2 3" xfId="7503"/>
    <cellStyle name="Standaard 11 2 7 2 3" xfId="7504"/>
    <cellStyle name="Standaard 11 2 7 2 3 2" xfId="7505"/>
    <cellStyle name="Standaard 11 2 7 2 4" xfId="7506"/>
    <cellStyle name="Standaard 11 2 7 3" xfId="7507"/>
    <cellStyle name="Standaard 11 2 7 3 2" xfId="7508"/>
    <cellStyle name="Standaard 11 2 7 3 2 2" xfId="7509"/>
    <cellStyle name="Standaard 11 2 7 3 3" xfId="7510"/>
    <cellStyle name="Standaard 11 2 7 4" xfId="7511"/>
    <cellStyle name="Standaard 11 2 7 4 2" xfId="7512"/>
    <cellStyle name="Standaard 11 2 7 5" xfId="7513"/>
    <cellStyle name="Standaard 11 2 7 6" xfId="7514"/>
    <cellStyle name="Standaard 11 2 8" xfId="7515"/>
    <cellStyle name="Standaard 11 2 8 2" xfId="7516"/>
    <cellStyle name="Standaard 11 2 8 2 2" xfId="7517"/>
    <cellStyle name="Standaard 11 2 8 2 2 2" xfId="7518"/>
    <cellStyle name="Standaard 11 2 8 2 3" xfId="7519"/>
    <cellStyle name="Standaard 11 2 8 3" xfId="7520"/>
    <cellStyle name="Standaard 11 2 8 3 2" xfId="7521"/>
    <cellStyle name="Standaard 11 2 8 4" xfId="7522"/>
    <cellStyle name="Standaard 11 2 9" xfId="7523"/>
    <cellStyle name="Standaard 11 2 9 2" xfId="7524"/>
    <cellStyle name="Standaard 11 2 9 2 2" xfId="7525"/>
    <cellStyle name="Standaard 11 2 9 3" xfId="7526"/>
    <cellStyle name="Standaard 11 3" xfId="7527"/>
    <cellStyle name="Standaard 11 3 10" xfId="7528"/>
    <cellStyle name="Standaard 11 3 11" xfId="7529"/>
    <cellStyle name="Standaard 11 3 2" xfId="7530"/>
    <cellStyle name="Standaard 11 3 2 2" xfId="7531"/>
    <cellStyle name="Standaard 11 3 2 2 2" xfId="7532"/>
    <cellStyle name="Standaard 11 3 2 2 2 2" xfId="7533"/>
    <cellStyle name="Standaard 11 3 2 2 2 2 2" xfId="7534"/>
    <cellStyle name="Standaard 11 3 2 2 2 2 2 2" xfId="7535"/>
    <cellStyle name="Standaard 11 3 2 2 2 2 2 2 2" xfId="7536"/>
    <cellStyle name="Standaard 11 3 2 2 2 2 2 2 2 2" xfId="7537"/>
    <cellStyle name="Standaard 11 3 2 2 2 2 2 2 3" xfId="7538"/>
    <cellStyle name="Standaard 11 3 2 2 2 2 2 3" xfId="7539"/>
    <cellStyle name="Standaard 11 3 2 2 2 2 2 3 2" xfId="7540"/>
    <cellStyle name="Standaard 11 3 2 2 2 2 2 4" xfId="7541"/>
    <cellStyle name="Standaard 11 3 2 2 2 2 3" xfId="7542"/>
    <cellStyle name="Standaard 11 3 2 2 2 2 3 2" xfId="7543"/>
    <cellStyle name="Standaard 11 3 2 2 2 2 3 2 2" xfId="7544"/>
    <cellStyle name="Standaard 11 3 2 2 2 2 3 3" xfId="7545"/>
    <cellStyle name="Standaard 11 3 2 2 2 2 4" xfId="7546"/>
    <cellStyle name="Standaard 11 3 2 2 2 2 4 2" xfId="7547"/>
    <cellStyle name="Standaard 11 3 2 2 2 2 5" xfId="7548"/>
    <cellStyle name="Standaard 11 3 2 2 2 2 6" xfId="7549"/>
    <cellStyle name="Standaard 11 3 2 2 2 3" xfId="7550"/>
    <cellStyle name="Standaard 11 3 2 2 2 3 2" xfId="7551"/>
    <cellStyle name="Standaard 11 3 2 2 2 3 2 2" xfId="7552"/>
    <cellStyle name="Standaard 11 3 2 2 2 3 2 2 2" xfId="7553"/>
    <cellStyle name="Standaard 11 3 2 2 2 3 2 3" xfId="7554"/>
    <cellStyle name="Standaard 11 3 2 2 2 3 3" xfId="7555"/>
    <cellStyle name="Standaard 11 3 2 2 2 3 3 2" xfId="7556"/>
    <cellStyle name="Standaard 11 3 2 2 2 3 4" xfId="7557"/>
    <cellStyle name="Standaard 11 3 2 2 2 4" xfId="7558"/>
    <cellStyle name="Standaard 11 3 2 2 2 4 2" xfId="7559"/>
    <cellStyle name="Standaard 11 3 2 2 2 4 2 2" xfId="7560"/>
    <cellStyle name="Standaard 11 3 2 2 2 4 3" xfId="7561"/>
    <cellStyle name="Standaard 11 3 2 2 2 5" xfId="7562"/>
    <cellStyle name="Standaard 11 3 2 2 2 5 2" xfId="7563"/>
    <cellStyle name="Standaard 11 3 2 2 2 6" xfId="7564"/>
    <cellStyle name="Standaard 11 3 2 2 2 7" xfId="7565"/>
    <cellStyle name="Standaard 11 3 2 2 3" xfId="7566"/>
    <cellStyle name="Standaard 11 3 2 2 3 2" xfId="7567"/>
    <cellStyle name="Standaard 11 3 2 2 3 2 2" xfId="7568"/>
    <cellStyle name="Standaard 11 3 2 2 3 2 2 2" xfId="7569"/>
    <cellStyle name="Standaard 11 3 2 2 3 2 2 2 2" xfId="7570"/>
    <cellStyle name="Standaard 11 3 2 2 3 2 2 3" xfId="7571"/>
    <cellStyle name="Standaard 11 3 2 2 3 2 3" xfId="7572"/>
    <cellStyle name="Standaard 11 3 2 2 3 2 3 2" xfId="7573"/>
    <cellStyle name="Standaard 11 3 2 2 3 2 4" xfId="7574"/>
    <cellStyle name="Standaard 11 3 2 2 3 3" xfId="7575"/>
    <cellStyle name="Standaard 11 3 2 2 3 3 2" xfId="7576"/>
    <cellStyle name="Standaard 11 3 2 2 3 3 2 2" xfId="7577"/>
    <cellStyle name="Standaard 11 3 2 2 3 3 3" xfId="7578"/>
    <cellStyle name="Standaard 11 3 2 2 3 4" xfId="7579"/>
    <cellStyle name="Standaard 11 3 2 2 3 4 2" xfId="7580"/>
    <cellStyle name="Standaard 11 3 2 2 3 5" xfId="7581"/>
    <cellStyle name="Standaard 11 3 2 2 3 6" xfId="7582"/>
    <cellStyle name="Standaard 11 3 2 2 4" xfId="7583"/>
    <cellStyle name="Standaard 11 3 2 2 4 2" xfId="7584"/>
    <cellStyle name="Standaard 11 3 2 2 4 2 2" xfId="7585"/>
    <cellStyle name="Standaard 11 3 2 2 4 2 2 2" xfId="7586"/>
    <cellStyle name="Standaard 11 3 2 2 4 2 3" xfId="7587"/>
    <cellStyle name="Standaard 11 3 2 2 4 3" xfId="7588"/>
    <cellStyle name="Standaard 11 3 2 2 4 3 2" xfId="7589"/>
    <cellStyle name="Standaard 11 3 2 2 4 4" xfId="7590"/>
    <cellStyle name="Standaard 11 3 2 2 5" xfId="7591"/>
    <cellStyle name="Standaard 11 3 2 2 5 2" xfId="7592"/>
    <cellStyle name="Standaard 11 3 2 2 5 2 2" xfId="7593"/>
    <cellStyle name="Standaard 11 3 2 2 5 3" xfId="7594"/>
    <cellStyle name="Standaard 11 3 2 2 6" xfId="7595"/>
    <cellStyle name="Standaard 11 3 2 2 6 2" xfId="7596"/>
    <cellStyle name="Standaard 11 3 2 2 7" xfId="7597"/>
    <cellStyle name="Standaard 11 3 2 2 8" xfId="7598"/>
    <cellStyle name="Standaard 11 3 2 3" xfId="7599"/>
    <cellStyle name="Standaard 11 3 2 3 2" xfId="7600"/>
    <cellStyle name="Standaard 11 3 2 3 2 2" xfId="7601"/>
    <cellStyle name="Standaard 11 3 2 3 2 2 2" xfId="7602"/>
    <cellStyle name="Standaard 11 3 2 3 2 2 2 2" xfId="7603"/>
    <cellStyle name="Standaard 11 3 2 3 2 2 2 2 2" xfId="7604"/>
    <cellStyle name="Standaard 11 3 2 3 2 2 2 3" xfId="7605"/>
    <cellStyle name="Standaard 11 3 2 3 2 2 3" xfId="7606"/>
    <cellStyle name="Standaard 11 3 2 3 2 2 3 2" xfId="7607"/>
    <cellStyle name="Standaard 11 3 2 3 2 2 4" xfId="7608"/>
    <cellStyle name="Standaard 11 3 2 3 2 3" xfId="7609"/>
    <cellStyle name="Standaard 11 3 2 3 2 3 2" xfId="7610"/>
    <cellStyle name="Standaard 11 3 2 3 2 3 2 2" xfId="7611"/>
    <cellStyle name="Standaard 11 3 2 3 2 3 3" xfId="7612"/>
    <cellStyle name="Standaard 11 3 2 3 2 4" xfId="7613"/>
    <cellStyle name="Standaard 11 3 2 3 2 4 2" xfId="7614"/>
    <cellStyle name="Standaard 11 3 2 3 2 5" xfId="7615"/>
    <cellStyle name="Standaard 11 3 2 3 2 6" xfId="7616"/>
    <cellStyle name="Standaard 11 3 2 3 3" xfId="7617"/>
    <cellStyle name="Standaard 11 3 2 3 3 2" xfId="7618"/>
    <cellStyle name="Standaard 11 3 2 3 3 2 2" xfId="7619"/>
    <cellStyle name="Standaard 11 3 2 3 3 2 2 2" xfId="7620"/>
    <cellStyle name="Standaard 11 3 2 3 3 2 3" xfId="7621"/>
    <cellStyle name="Standaard 11 3 2 3 3 3" xfId="7622"/>
    <cellStyle name="Standaard 11 3 2 3 3 3 2" xfId="7623"/>
    <cellStyle name="Standaard 11 3 2 3 3 4" xfId="7624"/>
    <cellStyle name="Standaard 11 3 2 3 4" xfId="7625"/>
    <cellStyle name="Standaard 11 3 2 3 4 2" xfId="7626"/>
    <cellStyle name="Standaard 11 3 2 3 4 2 2" xfId="7627"/>
    <cellStyle name="Standaard 11 3 2 3 4 3" xfId="7628"/>
    <cellStyle name="Standaard 11 3 2 3 5" xfId="7629"/>
    <cellStyle name="Standaard 11 3 2 3 5 2" xfId="7630"/>
    <cellStyle name="Standaard 11 3 2 3 6" xfId="7631"/>
    <cellStyle name="Standaard 11 3 2 3 7" xfId="7632"/>
    <cellStyle name="Standaard 11 3 2 4" xfId="7633"/>
    <cellStyle name="Standaard 11 3 2 4 2" xfId="7634"/>
    <cellStyle name="Standaard 11 3 2 4 2 2" xfId="7635"/>
    <cellStyle name="Standaard 11 3 2 4 2 2 2" xfId="7636"/>
    <cellStyle name="Standaard 11 3 2 4 2 2 2 2" xfId="7637"/>
    <cellStyle name="Standaard 11 3 2 4 2 2 3" xfId="7638"/>
    <cellStyle name="Standaard 11 3 2 4 2 3" xfId="7639"/>
    <cellStyle name="Standaard 11 3 2 4 2 3 2" xfId="7640"/>
    <cellStyle name="Standaard 11 3 2 4 2 4" xfId="7641"/>
    <cellStyle name="Standaard 11 3 2 4 3" xfId="7642"/>
    <cellStyle name="Standaard 11 3 2 4 3 2" xfId="7643"/>
    <cellStyle name="Standaard 11 3 2 4 3 2 2" xfId="7644"/>
    <cellStyle name="Standaard 11 3 2 4 3 3" xfId="7645"/>
    <cellStyle name="Standaard 11 3 2 4 4" xfId="7646"/>
    <cellStyle name="Standaard 11 3 2 4 4 2" xfId="7647"/>
    <cellStyle name="Standaard 11 3 2 4 5" xfId="7648"/>
    <cellStyle name="Standaard 11 3 2 4 6" xfId="7649"/>
    <cellStyle name="Standaard 11 3 2 5" xfId="7650"/>
    <cellStyle name="Standaard 11 3 2 5 2" xfId="7651"/>
    <cellStyle name="Standaard 11 3 2 5 2 2" xfId="7652"/>
    <cellStyle name="Standaard 11 3 2 5 2 2 2" xfId="7653"/>
    <cellStyle name="Standaard 11 3 2 5 2 3" xfId="7654"/>
    <cellStyle name="Standaard 11 3 2 5 3" xfId="7655"/>
    <cellStyle name="Standaard 11 3 2 5 3 2" xfId="7656"/>
    <cellStyle name="Standaard 11 3 2 5 4" xfId="7657"/>
    <cellStyle name="Standaard 11 3 2 6" xfId="7658"/>
    <cellStyle name="Standaard 11 3 2 6 2" xfId="7659"/>
    <cellStyle name="Standaard 11 3 2 6 2 2" xfId="7660"/>
    <cellStyle name="Standaard 11 3 2 6 3" xfId="7661"/>
    <cellStyle name="Standaard 11 3 2 7" xfId="7662"/>
    <cellStyle name="Standaard 11 3 2 7 2" xfId="7663"/>
    <cellStyle name="Standaard 11 3 2 8" xfId="7664"/>
    <cellStyle name="Standaard 11 3 2 9" xfId="7665"/>
    <cellStyle name="Standaard 11 3 3" xfId="7666"/>
    <cellStyle name="Standaard 11 3 3 2" xfId="7667"/>
    <cellStyle name="Standaard 11 3 3 2 2" xfId="7668"/>
    <cellStyle name="Standaard 11 3 3 2 2 2" xfId="7669"/>
    <cellStyle name="Standaard 11 3 3 2 2 2 2" xfId="7670"/>
    <cellStyle name="Standaard 11 3 3 2 2 2 2 2" xfId="7671"/>
    <cellStyle name="Standaard 11 3 3 2 2 2 2 2 2" xfId="7672"/>
    <cellStyle name="Standaard 11 3 3 2 2 2 2 3" xfId="7673"/>
    <cellStyle name="Standaard 11 3 3 2 2 2 3" xfId="7674"/>
    <cellStyle name="Standaard 11 3 3 2 2 2 3 2" xfId="7675"/>
    <cellStyle name="Standaard 11 3 3 2 2 2 4" xfId="7676"/>
    <cellStyle name="Standaard 11 3 3 2 2 3" xfId="7677"/>
    <cellStyle name="Standaard 11 3 3 2 2 3 2" xfId="7678"/>
    <cellStyle name="Standaard 11 3 3 2 2 3 2 2" xfId="7679"/>
    <cellStyle name="Standaard 11 3 3 2 2 3 3" xfId="7680"/>
    <cellStyle name="Standaard 11 3 3 2 2 4" xfId="7681"/>
    <cellStyle name="Standaard 11 3 3 2 2 4 2" xfId="7682"/>
    <cellStyle name="Standaard 11 3 3 2 2 5" xfId="7683"/>
    <cellStyle name="Standaard 11 3 3 2 2 6" xfId="7684"/>
    <cellStyle name="Standaard 11 3 3 2 3" xfId="7685"/>
    <cellStyle name="Standaard 11 3 3 2 3 2" xfId="7686"/>
    <cellStyle name="Standaard 11 3 3 2 3 2 2" xfId="7687"/>
    <cellStyle name="Standaard 11 3 3 2 3 2 2 2" xfId="7688"/>
    <cellStyle name="Standaard 11 3 3 2 3 2 3" xfId="7689"/>
    <cellStyle name="Standaard 11 3 3 2 3 3" xfId="7690"/>
    <cellStyle name="Standaard 11 3 3 2 3 3 2" xfId="7691"/>
    <cellStyle name="Standaard 11 3 3 2 3 4" xfId="7692"/>
    <cellStyle name="Standaard 11 3 3 2 4" xfId="7693"/>
    <cellStyle name="Standaard 11 3 3 2 4 2" xfId="7694"/>
    <cellStyle name="Standaard 11 3 3 2 4 2 2" xfId="7695"/>
    <cellStyle name="Standaard 11 3 3 2 4 3" xfId="7696"/>
    <cellStyle name="Standaard 11 3 3 2 5" xfId="7697"/>
    <cellStyle name="Standaard 11 3 3 2 5 2" xfId="7698"/>
    <cellStyle name="Standaard 11 3 3 2 6" xfId="7699"/>
    <cellStyle name="Standaard 11 3 3 2 7" xfId="7700"/>
    <cellStyle name="Standaard 11 3 3 3" xfId="7701"/>
    <cellStyle name="Standaard 11 3 3 3 2" xfId="7702"/>
    <cellStyle name="Standaard 11 3 3 3 2 2" xfId="7703"/>
    <cellStyle name="Standaard 11 3 3 3 2 2 2" xfId="7704"/>
    <cellStyle name="Standaard 11 3 3 3 2 2 2 2" xfId="7705"/>
    <cellStyle name="Standaard 11 3 3 3 2 2 3" xfId="7706"/>
    <cellStyle name="Standaard 11 3 3 3 2 3" xfId="7707"/>
    <cellStyle name="Standaard 11 3 3 3 2 3 2" xfId="7708"/>
    <cellStyle name="Standaard 11 3 3 3 2 4" xfId="7709"/>
    <cellStyle name="Standaard 11 3 3 3 3" xfId="7710"/>
    <cellStyle name="Standaard 11 3 3 3 3 2" xfId="7711"/>
    <cellStyle name="Standaard 11 3 3 3 3 2 2" xfId="7712"/>
    <cellStyle name="Standaard 11 3 3 3 3 3" xfId="7713"/>
    <cellStyle name="Standaard 11 3 3 3 4" xfId="7714"/>
    <cellStyle name="Standaard 11 3 3 3 4 2" xfId="7715"/>
    <cellStyle name="Standaard 11 3 3 3 5" xfId="7716"/>
    <cellStyle name="Standaard 11 3 3 3 6" xfId="7717"/>
    <cellStyle name="Standaard 11 3 3 4" xfId="7718"/>
    <cellStyle name="Standaard 11 3 3 4 2" xfId="7719"/>
    <cellStyle name="Standaard 11 3 3 4 2 2" xfId="7720"/>
    <cellStyle name="Standaard 11 3 3 4 2 2 2" xfId="7721"/>
    <cellStyle name="Standaard 11 3 3 4 2 3" xfId="7722"/>
    <cellStyle name="Standaard 11 3 3 4 3" xfId="7723"/>
    <cellStyle name="Standaard 11 3 3 4 3 2" xfId="7724"/>
    <cellStyle name="Standaard 11 3 3 4 4" xfId="7725"/>
    <cellStyle name="Standaard 11 3 3 5" xfId="7726"/>
    <cellStyle name="Standaard 11 3 3 5 2" xfId="7727"/>
    <cellStyle name="Standaard 11 3 3 5 2 2" xfId="7728"/>
    <cellStyle name="Standaard 11 3 3 5 3" xfId="7729"/>
    <cellStyle name="Standaard 11 3 3 6" xfId="7730"/>
    <cellStyle name="Standaard 11 3 3 6 2" xfId="7731"/>
    <cellStyle name="Standaard 11 3 3 7" xfId="7732"/>
    <cellStyle name="Standaard 11 3 3 8" xfId="7733"/>
    <cellStyle name="Standaard 11 3 4" xfId="7734"/>
    <cellStyle name="Standaard 11 3 4 2" xfId="7735"/>
    <cellStyle name="Standaard 11 3 4 2 2" xfId="7736"/>
    <cellStyle name="Standaard 11 3 4 2 2 2" xfId="7737"/>
    <cellStyle name="Standaard 11 3 4 2 2 2 2" xfId="7738"/>
    <cellStyle name="Standaard 11 3 4 2 2 2 2 2" xfId="7739"/>
    <cellStyle name="Standaard 11 3 4 2 2 2 2 2 2" xfId="7740"/>
    <cellStyle name="Standaard 11 3 4 2 2 2 2 3" xfId="7741"/>
    <cellStyle name="Standaard 11 3 4 2 2 2 3" xfId="7742"/>
    <cellStyle name="Standaard 11 3 4 2 2 2 3 2" xfId="7743"/>
    <cellStyle name="Standaard 11 3 4 2 2 2 4" xfId="7744"/>
    <cellStyle name="Standaard 11 3 4 2 2 3" xfId="7745"/>
    <cellStyle name="Standaard 11 3 4 2 2 3 2" xfId="7746"/>
    <cellStyle name="Standaard 11 3 4 2 2 3 2 2" xfId="7747"/>
    <cellStyle name="Standaard 11 3 4 2 2 3 3" xfId="7748"/>
    <cellStyle name="Standaard 11 3 4 2 2 4" xfId="7749"/>
    <cellStyle name="Standaard 11 3 4 2 2 4 2" xfId="7750"/>
    <cellStyle name="Standaard 11 3 4 2 2 5" xfId="7751"/>
    <cellStyle name="Standaard 11 3 4 2 2 6" xfId="7752"/>
    <cellStyle name="Standaard 11 3 4 2 3" xfId="7753"/>
    <cellStyle name="Standaard 11 3 4 2 3 2" xfId="7754"/>
    <cellStyle name="Standaard 11 3 4 2 3 2 2" xfId="7755"/>
    <cellStyle name="Standaard 11 3 4 2 3 2 2 2" xfId="7756"/>
    <cellStyle name="Standaard 11 3 4 2 3 2 3" xfId="7757"/>
    <cellStyle name="Standaard 11 3 4 2 3 3" xfId="7758"/>
    <cellStyle name="Standaard 11 3 4 2 3 3 2" xfId="7759"/>
    <cellStyle name="Standaard 11 3 4 2 3 4" xfId="7760"/>
    <cellStyle name="Standaard 11 3 4 2 4" xfId="7761"/>
    <cellStyle name="Standaard 11 3 4 2 4 2" xfId="7762"/>
    <cellStyle name="Standaard 11 3 4 2 4 2 2" xfId="7763"/>
    <cellStyle name="Standaard 11 3 4 2 4 3" xfId="7764"/>
    <cellStyle name="Standaard 11 3 4 2 5" xfId="7765"/>
    <cellStyle name="Standaard 11 3 4 2 5 2" xfId="7766"/>
    <cellStyle name="Standaard 11 3 4 2 6" xfId="7767"/>
    <cellStyle name="Standaard 11 3 4 2 7" xfId="7768"/>
    <cellStyle name="Standaard 11 3 4 3" xfId="7769"/>
    <cellStyle name="Standaard 11 3 4 3 2" xfId="7770"/>
    <cellStyle name="Standaard 11 3 4 3 2 2" xfId="7771"/>
    <cellStyle name="Standaard 11 3 4 3 2 2 2" xfId="7772"/>
    <cellStyle name="Standaard 11 3 4 3 2 2 2 2" xfId="7773"/>
    <cellStyle name="Standaard 11 3 4 3 2 2 3" xfId="7774"/>
    <cellStyle name="Standaard 11 3 4 3 2 3" xfId="7775"/>
    <cellStyle name="Standaard 11 3 4 3 2 3 2" xfId="7776"/>
    <cellStyle name="Standaard 11 3 4 3 2 4" xfId="7777"/>
    <cellStyle name="Standaard 11 3 4 3 3" xfId="7778"/>
    <cellStyle name="Standaard 11 3 4 3 3 2" xfId="7779"/>
    <cellStyle name="Standaard 11 3 4 3 3 2 2" xfId="7780"/>
    <cellStyle name="Standaard 11 3 4 3 3 3" xfId="7781"/>
    <cellStyle name="Standaard 11 3 4 3 4" xfId="7782"/>
    <cellStyle name="Standaard 11 3 4 3 4 2" xfId="7783"/>
    <cellStyle name="Standaard 11 3 4 3 5" xfId="7784"/>
    <cellStyle name="Standaard 11 3 4 3 6" xfId="7785"/>
    <cellStyle name="Standaard 11 3 4 4" xfId="7786"/>
    <cellStyle name="Standaard 11 3 4 4 2" xfId="7787"/>
    <cellStyle name="Standaard 11 3 4 4 2 2" xfId="7788"/>
    <cellStyle name="Standaard 11 3 4 4 2 2 2" xfId="7789"/>
    <cellStyle name="Standaard 11 3 4 4 2 3" xfId="7790"/>
    <cellStyle name="Standaard 11 3 4 4 3" xfId="7791"/>
    <cellStyle name="Standaard 11 3 4 4 3 2" xfId="7792"/>
    <cellStyle name="Standaard 11 3 4 4 4" xfId="7793"/>
    <cellStyle name="Standaard 11 3 4 5" xfId="7794"/>
    <cellStyle name="Standaard 11 3 4 5 2" xfId="7795"/>
    <cellStyle name="Standaard 11 3 4 5 2 2" xfId="7796"/>
    <cellStyle name="Standaard 11 3 4 5 3" xfId="7797"/>
    <cellStyle name="Standaard 11 3 4 6" xfId="7798"/>
    <cellStyle name="Standaard 11 3 4 6 2" xfId="7799"/>
    <cellStyle name="Standaard 11 3 4 7" xfId="7800"/>
    <cellStyle name="Standaard 11 3 4 8" xfId="7801"/>
    <cellStyle name="Standaard 11 3 5" xfId="7802"/>
    <cellStyle name="Standaard 11 3 5 2" xfId="7803"/>
    <cellStyle name="Standaard 11 3 5 2 2" xfId="7804"/>
    <cellStyle name="Standaard 11 3 5 2 2 2" xfId="7805"/>
    <cellStyle name="Standaard 11 3 5 2 2 2 2" xfId="7806"/>
    <cellStyle name="Standaard 11 3 5 2 2 2 2 2" xfId="7807"/>
    <cellStyle name="Standaard 11 3 5 2 2 2 3" xfId="7808"/>
    <cellStyle name="Standaard 11 3 5 2 2 3" xfId="7809"/>
    <cellStyle name="Standaard 11 3 5 2 2 3 2" xfId="7810"/>
    <cellStyle name="Standaard 11 3 5 2 2 4" xfId="7811"/>
    <cellStyle name="Standaard 11 3 5 2 3" xfId="7812"/>
    <cellStyle name="Standaard 11 3 5 2 3 2" xfId="7813"/>
    <cellStyle name="Standaard 11 3 5 2 3 2 2" xfId="7814"/>
    <cellStyle name="Standaard 11 3 5 2 3 3" xfId="7815"/>
    <cellStyle name="Standaard 11 3 5 2 4" xfId="7816"/>
    <cellStyle name="Standaard 11 3 5 2 4 2" xfId="7817"/>
    <cellStyle name="Standaard 11 3 5 2 5" xfId="7818"/>
    <cellStyle name="Standaard 11 3 5 2 6" xfId="7819"/>
    <cellStyle name="Standaard 11 3 5 3" xfId="7820"/>
    <cellStyle name="Standaard 11 3 5 3 2" xfId="7821"/>
    <cellStyle name="Standaard 11 3 5 3 2 2" xfId="7822"/>
    <cellStyle name="Standaard 11 3 5 3 2 2 2" xfId="7823"/>
    <cellStyle name="Standaard 11 3 5 3 2 3" xfId="7824"/>
    <cellStyle name="Standaard 11 3 5 3 3" xfId="7825"/>
    <cellStyle name="Standaard 11 3 5 3 3 2" xfId="7826"/>
    <cellStyle name="Standaard 11 3 5 3 4" xfId="7827"/>
    <cellStyle name="Standaard 11 3 5 4" xfId="7828"/>
    <cellStyle name="Standaard 11 3 5 4 2" xfId="7829"/>
    <cellStyle name="Standaard 11 3 5 4 2 2" xfId="7830"/>
    <cellStyle name="Standaard 11 3 5 4 3" xfId="7831"/>
    <cellStyle name="Standaard 11 3 5 5" xfId="7832"/>
    <cellStyle name="Standaard 11 3 5 5 2" xfId="7833"/>
    <cellStyle name="Standaard 11 3 5 6" xfId="7834"/>
    <cellStyle name="Standaard 11 3 5 7" xfId="7835"/>
    <cellStyle name="Standaard 11 3 6" xfId="7836"/>
    <cellStyle name="Standaard 11 3 6 2" xfId="7837"/>
    <cellStyle name="Standaard 11 3 6 2 2" xfId="7838"/>
    <cellStyle name="Standaard 11 3 6 2 2 2" xfId="7839"/>
    <cellStyle name="Standaard 11 3 6 2 2 2 2" xfId="7840"/>
    <cellStyle name="Standaard 11 3 6 2 2 3" xfId="7841"/>
    <cellStyle name="Standaard 11 3 6 2 3" xfId="7842"/>
    <cellStyle name="Standaard 11 3 6 2 3 2" xfId="7843"/>
    <cellStyle name="Standaard 11 3 6 2 4" xfId="7844"/>
    <cellStyle name="Standaard 11 3 6 3" xfId="7845"/>
    <cellStyle name="Standaard 11 3 6 3 2" xfId="7846"/>
    <cellStyle name="Standaard 11 3 6 3 2 2" xfId="7847"/>
    <cellStyle name="Standaard 11 3 6 3 3" xfId="7848"/>
    <cellStyle name="Standaard 11 3 6 4" xfId="7849"/>
    <cellStyle name="Standaard 11 3 6 4 2" xfId="7850"/>
    <cellStyle name="Standaard 11 3 6 5" xfId="7851"/>
    <cellStyle name="Standaard 11 3 6 6" xfId="7852"/>
    <cellStyle name="Standaard 11 3 7" xfId="7853"/>
    <cellStyle name="Standaard 11 3 7 2" xfId="7854"/>
    <cellStyle name="Standaard 11 3 7 2 2" xfId="7855"/>
    <cellStyle name="Standaard 11 3 7 2 2 2" xfId="7856"/>
    <cellStyle name="Standaard 11 3 7 2 3" xfId="7857"/>
    <cellStyle name="Standaard 11 3 7 3" xfId="7858"/>
    <cellStyle name="Standaard 11 3 7 3 2" xfId="7859"/>
    <cellStyle name="Standaard 11 3 7 4" xfId="7860"/>
    <cellStyle name="Standaard 11 3 8" xfId="7861"/>
    <cellStyle name="Standaard 11 3 8 2" xfId="7862"/>
    <cellStyle name="Standaard 11 3 8 2 2" xfId="7863"/>
    <cellStyle name="Standaard 11 3 8 3" xfId="7864"/>
    <cellStyle name="Standaard 11 3 9" xfId="7865"/>
    <cellStyle name="Standaard 11 3 9 2" xfId="7866"/>
    <cellStyle name="Standaard 11 4" xfId="7867"/>
    <cellStyle name="Standaard 11 4 2" xfId="7868"/>
    <cellStyle name="Standaard 11 4 2 2" xfId="7869"/>
    <cellStyle name="Standaard 11 4 2 2 2" xfId="7870"/>
    <cellStyle name="Standaard 11 4 2 2 2 2" xfId="7871"/>
    <cellStyle name="Standaard 11 4 2 2 2 2 2" xfId="7872"/>
    <cellStyle name="Standaard 11 4 2 2 2 2 2 2" xfId="7873"/>
    <cellStyle name="Standaard 11 4 2 2 2 2 2 2 2" xfId="7874"/>
    <cellStyle name="Standaard 11 4 2 2 2 2 2 3" xfId="7875"/>
    <cellStyle name="Standaard 11 4 2 2 2 2 3" xfId="7876"/>
    <cellStyle name="Standaard 11 4 2 2 2 2 3 2" xfId="7877"/>
    <cellStyle name="Standaard 11 4 2 2 2 2 4" xfId="7878"/>
    <cellStyle name="Standaard 11 4 2 2 2 3" xfId="7879"/>
    <cellStyle name="Standaard 11 4 2 2 2 3 2" xfId="7880"/>
    <cellStyle name="Standaard 11 4 2 2 2 3 2 2" xfId="7881"/>
    <cellStyle name="Standaard 11 4 2 2 2 3 3" xfId="7882"/>
    <cellStyle name="Standaard 11 4 2 2 2 4" xfId="7883"/>
    <cellStyle name="Standaard 11 4 2 2 2 4 2" xfId="7884"/>
    <cellStyle name="Standaard 11 4 2 2 2 5" xfId="7885"/>
    <cellStyle name="Standaard 11 4 2 2 2 6" xfId="7886"/>
    <cellStyle name="Standaard 11 4 2 2 3" xfId="7887"/>
    <cellStyle name="Standaard 11 4 2 2 3 2" xfId="7888"/>
    <cellStyle name="Standaard 11 4 2 2 3 2 2" xfId="7889"/>
    <cellStyle name="Standaard 11 4 2 2 3 2 2 2" xfId="7890"/>
    <cellStyle name="Standaard 11 4 2 2 3 2 3" xfId="7891"/>
    <cellStyle name="Standaard 11 4 2 2 3 3" xfId="7892"/>
    <cellStyle name="Standaard 11 4 2 2 3 3 2" xfId="7893"/>
    <cellStyle name="Standaard 11 4 2 2 3 4" xfId="7894"/>
    <cellStyle name="Standaard 11 4 2 2 4" xfId="7895"/>
    <cellStyle name="Standaard 11 4 2 2 4 2" xfId="7896"/>
    <cellStyle name="Standaard 11 4 2 2 4 2 2" xfId="7897"/>
    <cellStyle name="Standaard 11 4 2 2 4 3" xfId="7898"/>
    <cellStyle name="Standaard 11 4 2 2 5" xfId="7899"/>
    <cellStyle name="Standaard 11 4 2 2 5 2" xfId="7900"/>
    <cellStyle name="Standaard 11 4 2 2 6" xfId="7901"/>
    <cellStyle name="Standaard 11 4 2 2 7" xfId="7902"/>
    <cellStyle name="Standaard 11 4 2 3" xfId="7903"/>
    <cellStyle name="Standaard 11 4 2 3 2" xfId="7904"/>
    <cellStyle name="Standaard 11 4 2 3 2 2" xfId="7905"/>
    <cellStyle name="Standaard 11 4 2 3 2 2 2" xfId="7906"/>
    <cellStyle name="Standaard 11 4 2 3 2 2 2 2" xfId="7907"/>
    <cellStyle name="Standaard 11 4 2 3 2 2 3" xfId="7908"/>
    <cellStyle name="Standaard 11 4 2 3 2 3" xfId="7909"/>
    <cellStyle name="Standaard 11 4 2 3 2 3 2" xfId="7910"/>
    <cellStyle name="Standaard 11 4 2 3 2 4" xfId="7911"/>
    <cellStyle name="Standaard 11 4 2 3 3" xfId="7912"/>
    <cellStyle name="Standaard 11 4 2 3 3 2" xfId="7913"/>
    <cellStyle name="Standaard 11 4 2 3 3 2 2" xfId="7914"/>
    <cellStyle name="Standaard 11 4 2 3 3 3" xfId="7915"/>
    <cellStyle name="Standaard 11 4 2 3 4" xfId="7916"/>
    <cellStyle name="Standaard 11 4 2 3 4 2" xfId="7917"/>
    <cellStyle name="Standaard 11 4 2 3 5" xfId="7918"/>
    <cellStyle name="Standaard 11 4 2 3 6" xfId="7919"/>
    <cellStyle name="Standaard 11 4 2 4" xfId="7920"/>
    <cellStyle name="Standaard 11 4 2 4 2" xfId="7921"/>
    <cellStyle name="Standaard 11 4 2 4 2 2" xfId="7922"/>
    <cellStyle name="Standaard 11 4 2 4 2 2 2" xfId="7923"/>
    <cellStyle name="Standaard 11 4 2 4 2 3" xfId="7924"/>
    <cellStyle name="Standaard 11 4 2 4 3" xfId="7925"/>
    <cellStyle name="Standaard 11 4 2 4 3 2" xfId="7926"/>
    <cellStyle name="Standaard 11 4 2 4 4" xfId="7927"/>
    <cellStyle name="Standaard 11 4 2 5" xfId="7928"/>
    <cellStyle name="Standaard 11 4 2 5 2" xfId="7929"/>
    <cellStyle name="Standaard 11 4 2 5 2 2" xfId="7930"/>
    <cellStyle name="Standaard 11 4 2 5 3" xfId="7931"/>
    <cellStyle name="Standaard 11 4 2 6" xfId="7932"/>
    <cellStyle name="Standaard 11 4 2 6 2" xfId="7933"/>
    <cellStyle name="Standaard 11 4 2 7" xfId="7934"/>
    <cellStyle name="Standaard 11 4 2 8" xfId="7935"/>
    <cellStyle name="Standaard 11 4 3" xfId="7936"/>
    <cellStyle name="Standaard 11 4 3 2" xfId="7937"/>
    <cellStyle name="Standaard 11 4 3 2 2" xfId="7938"/>
    <cellStyle name="Standaard 11 4 3 2 2 2" xfId="7939"/>
    <cellStyle name="Standaard 11 4 3 2 2 2 2" xfId="7940"/>
    <cellStyle name="Standaard 11 4 3 2 2 2 2 2" xfId="7941"/>
    <cellStyle name="Standaard 11 4 3 2 2 2 3" xfId="7942"/>
    <cellStyle name="Standaard 11 4 3 2 2 3" xfId="7943"/>
    <cellStyle name="Standaard 11 4 3 2 2 3 2" xfId="7944"/>
    <cellStyle name="Standaard 11 4 3 2 2 4" xfId="7945"/>
    <cellStyle name="Standaard 11 4 3 2 3" xfId="7946"/>
    <cellStyle name="Standaard 11 4 3 2 3 2" xfId="7947"/>
    <cellStyle name="Standaard 11 4 3 2 3 2 2" xfId="7948"/>
    <cellStyle name="Standaard 11 4 3 2 3 3" xfId="7949"/>
    <cellStyle name="Standaard 11 4 3 2 4" xfId="7950"/>
    <cellStyle name="Standaard 11 4 3 2 4 2" xfId="7951"/>
    <cellStyle name="Standaard 11 4 3 2 5" xfId="7952"/>
    <cellStyle name="Standaard 11 4 3 2 6" xfId="7953"/>
    <cellStyle name="Standaard 11 4 3 3" xfId="7954"/>
    <cellStyle name="Standaard 11 4 3 3 2" xfId="7955"/>
    <cellStyle name="Standaard 11 4 3 3 2 2" xfId="7956"/>
    <cellStyle name="Standaard 11 4 3 3 2 2 2" xfId="7957"/>
    <cellStyle name="Standaard 11 4 3 3 2 3" xfId="7958"/>
    <cellStyle name="Standaard 11 4 3 3 3" xfId="7959"/>
    <cellStyle name="Standaard 11 4 3 3 3 2" xfId="7960"/>
    <cellStyle name="Standaard 11 4 3 3 4" xfId="7961"/>
    <cellStyle name="Standaard 11 4 3 4" xfId="7962"/>
    <cellStyle name="Standaard 11 4 3 4 2" xfId="7963"/>
    <cellStyle name="Standaard 11 4 3 4 2 2" xfId="7964"/>
    <cellStyle name="Standaard 11 4 3 4 3" xfId="7965"/>
    <cellStyle name="Standaard 11 4 3 5" xfId="7966"/>
    <cellStyle name="Standaard 11 4 3 5 2" xfId="7967"/>
    <cellStyle name="Standaard 11 4 3 6" xfId="7968"/>
    <cellStyle name="Standaard 11 4 3 7" xfId="7969"/>
    <cellStyle name="Standaard 11 4 4" xfId="7970"/>
    <cellStyle name="Standaard 11 4 4 2" xfId="7971"/>
    <cellStyle name="Standaard 11 4 4 2 2" xfId="7972"/>
    <cellStyle name="Standaard 11 4 4 2 2 2" xfId="7973"/>
    <cellStyle name="Standaard 11 4 4 2 2 2 2" xfId="7974"/>
    <cellStyle name="Standaard 11 4 4 2 2 3" xfId="7975"/>
    <cellStyle name="Standaard 11 4 4 2 3" xfId="7976"/>
    <cellStyle name="Standaard 11 4 4 2 3 2" xfId="7977"/>
    <cellStyle name="Standaard 11 4 4 2 4" xfId="7978"/>
    <cellStyle name="Standaard 11 4 4 3" xfId="7979"/>
    <cellStyle name="Standaard 11 4 4 3 2" xfId="7980"/>
    <cellStyle name="Standaard 11 4 4 3 2 2" xfId="7981"/>
    <cellStyle name="Standaard 11 4 4 3 3" xfId="7982"/>
    <cellStyle name="Standaard 11 4 4 4" xfId="7983"/>
    <cellStyle name="Standaard 11 4 4 4 2" xfId="7984"/>
    <cellStyle name="Standaard 11 4 4 5" xfId="7985"/>
    <cellStyle name="Standaard 11 4 4 6" xfId="7986"/>
    <cellStyle name="Standaard 11 4 5" xfId="7987"/>
    <cellStyle name="Standaard 11 4 5 2" xfId="7988"/>
    <cellStyle name="Standaard 11 4 5 2 2" xfId="7989"/>
    <cellStyle name="Standaard 11 4 5 2 2 2" xfId="7990"/>
    <cellStyle name="Standaard 11 4 5 2 3" xfId="7991"/>
    <cellStyle name="Standaard 11 4 5 3" xfId="7992"/>
    <cellStyle name="Standaard 11 4 5 3 2" xfId="7993"/>
    <cellStyle name="Standaard 11 4 5 4" xfId="7994"/>
    <cellStyle name="Standaard 11 4 6" xfId="7995"/>
    <cellStyle name="Standaard 11 4 6 2" xfId="7996"/>
    <cellStyle name="Standaard 11 4 6 2 2" xfId="7997"/>
    <cellStyle name="Standaard 11 4 6 3" xfId="7998"/>
    <cellStyle name="Standaard 11 4 7" xfId="7999"/>
    <cellStyle name="Standaard 11 4 7 2" xfId="8000"/>
    <cellStyle name="Standaard 11 4 8" xfId="8001"/>
    <cellStyle name="Standaard 11 4 9" xfId="8002"/>
    <cellStyle name="Standaard 11 5" xfId="8003"/>
    <cellStyle name="Standaard 11 5 2" xfId="8004"/>
    <cellStyle name="Standaard 11 5 2 2" xfId="8005"/>
    <cellStyle name="Standaard 11 5 2 2 2" xfId="8006"/>
    <cellStyle name="Standaard 11 5 2 2 2 2" xfId="8007"/>
    <cellStyle name="Standaard 11 5 2 2 2 2 2" xfId="8008"/>
    <cellStyle name="Standaard 11 5 2 2 2 2 2 2" xfId="8009"/>
    <cellStyle name="Standaard 11 5 2 2 2 2 3" xfId="8010"/>
    <cellStyle name="Standaard 11 5 2 2 2 3" xfId="8011"/>
    <cellStyle name="Standaard 11 5 2 2 2 3 2" xfId="8012"/>
    <cellStyle name="Standaard 11 5 2 2 2 4" xfId="8013"/>
    <cellStyle name="Standaard 11 5 2 2 3" xfId="8014"/>
    <cellStyle name="Standaard 11 5 2 2 3 2" xfId="8015"/>
    <cellStyle name="Standaard 11 5 2 2 3 2 2" xfId="8016"/>
    <cellStyle name="Standaard 11 5 2 2 3 3" xfId="8017"/>
    <cellStyle name="Standaard 11 5 2 2 4" xfId="8018"/>
    <cellStyle name="Standaard 11 5 2 2 4 2" xfId="8019"/>
    <cellStyle name="Standaard 11 5 2 2 5" xfId="8020"/>
    <cellStyle name="Standaard 11 5 2 2 6" xfId="8021"/>
    <cellStyle name="Standaard 11 5 2 3" xfId="8022"/>
    <cellStyle name="Standaard 11 5 2 3 2" xfId="8023"/>
    <cellStyle name="Standaard 11 5 2 3 2 2" xfId="8024"/>
    <cellStyle name="Standaard 11 5 2 3 2 2 2" xfId="8025"/>
    <cellStyle name="Standaard 11 5 2 3 2 3" xfId="8026"/>
    <cellStyle name="Standaard 11 5 2 3 3" xfId="8027"/>
    <cellStyle name="Standaard 11 5 2 3 3 2" xfId="8028"/>
    <cellStyle name="Standaard 11 5 2 3 4" xfId="8029"/>
    <cellStyle name="Standaard 11 5 2 4" xfId="8030"/>
    <cellStyle name="Standaard 11 5 2 4 2" xfId="8031"/>
    <cellStyle name="Standaard 11 5 2 4 2 2" xfId="8032"/>
    <cellStyle name="Standaard 11 5 2 4 3" xfId="8033"/>
    <cellStyle name="Standaard 11 5 2 5" xfId="8034"/>
    <cellStyle name="Standaard 11 5 2 5 2" xfId="8035"/>
    <cellStyle name="Standaard 11 5 2 6" xfId="8036"/>
    <cellStyle name="Standaard 11 5 2 7" xfId="8037"/>
    <cellStyle name="Standaard 11 5 3" xfId="8038"/>
    <cellStyle name="Standaard 11 5 3 2" xfId="8039"/>
    <cellStyle name="Standaard 11 5 3 2 2" xfId="8040"/>
    <cellStyle name="Standaard 11 5 3 2 2 2" xfId="8041"/>
    <cellStyle name="Standaard 11 5 3 2 2 2 2" xfId="8042"/>
    <cellStyle name="Standaard 11 5 3 2 2 3" xfId="8043"/>
    <cellStyle name="Standaard 11 5 3 2 3" xfId="8044"/>
    <cellStyle name="Standaard 11 5 3 2 3 2" xfId="8045"/>
    <cellStyle name="Standaard 11 5 3 2 4" xfId="8046"/>
    <cellStyle name="Standaard 11 5 3 3" xfId="8047"/>
    <cellStyle name="Standaard 11 5 3 3 2" xfId="8048"/>
    <cellStyle name="Standaard 11 5 3 3 2 2" xfId="8049"/>
    <cellStyle name="Standaard 11 5 3 3 3" xfId="8050"/>
    <cellStyle name="Standaard 11 5 3 4" xfId="8051"/>
    <cellStyle name="Standaard 11 5 3 4 2" xfId="8052"/>
    <cellStyle name="Standaard 11 5 3 5" xfId="8053"/>
    <cellStyle name="Standaard 11 5 3 6" xfId="8054"/>
    <cellStyle name="Standaard 11 5 4" xfId="8055"/>
    <cellStyle name="Standaard 11 5 4 2" xfId="8056"/>
    <cellStyle name="Standaard 11 5 4 2 2" xfId="8057"/>
    <cellStyle name="Standaard 11 5 4 2 2 2" xfId="8058"/>
    <cellStyle name="Standaard 11 5 4 2 3" xfId="8059"/>
    <cellStyle name="Standaard 11 5 4 3" xfId="8060"/>
    <cellStyle name="Standaard 11 5 4 3 2" xfId="8061"/>
    <cellStyle name="Standaard 11 5 4 4" xfId="8062"/>
    <cellStyle name="Standaard 11 5 5" xfId="8063"/>
    <cellStyle name="Standaard 11 5 5 2" xfId="8064"/>
    <cellStyle name="Standaard 11 5 5 2 2" xfId="8065"/>
    <cellStyle name="Standaard 11 5 5 3" xfId="8066"/>
    <cellStyle name="Standaard 11 5 6" xfId="8067"/>
    <cellStyle name="Standaard 11 5 6 2" xfId="8068"/>
    <cellStyle name="Standaard 11 5 7" xfId="8069"/>
    <cellStyle name="Standaard 11 5 8" xfId="8070"/>
    <cellStyle name="Standaard 11 6" xfId="8071"/>
    <cellStyle name="Standaard 11 6 2" xfId="8072"/>
    <cellStyle name="Standaard 11 6 2 2" xfId="8073"/>
    <cellStyle name="Standaard 11 6 2 2 2" xfId="8074"/>
    <cellStyle name="Standaard 11 6 2 2 2 2" xfId="8075"/>
    <cellStyle name="Standaard 11 6 2 2 2 2 2" xfId="8076"/>
    <cellStyle name="Standaard 11 6 2 2 2 2 2 2" xfId="8077"/>
    <cellStyle name="Standaard 11 6 2 2 2 2 3" xfId="8078"/>
    <cellStyle name="Standaard 11 6 2 2 2 3" xfId="8079"/>
    <cellStyle name="Standaard 11 6 2 2 2 3 2" xfId="8080"/>
    <cellStyle name="Standaard 11 6 2 2 2 4" xfId="8081"/>
    <cellStyle name="Standaard 11 6 2 2 3" xfId="8082"/>
    <cellStyle name="Standaard 11 6 2 2 3 2" xfId="8083"/>
    <cellStyle name="Standaard 11 6 2 2 3 2 2" xfId="8084"/>
    <cellStyle name="Standaard 11 6 2 2 3 3" xfId="8085"/>
    <cellStyle name="Standaard 11 6 2 2 4" xfId="8086"/>
    <cellStyle name="Standaard 11 6 2 2 4 2" xfId="8087"/>
    <cellStyle name="Standaard 11 6 2 2 5" xfId="8088"/>
    <cellStyle name="Standaard 11 6 2 2 6" xfId="8089"/>
    <cellStyle name="Standaard 11 6 2 3" xfId="8090"/>
    <cellStyle name="Standaard 11 6 2 3 2" xfId="8091"/>
    <cellStyle name="Standaard 11 6 2 3 2 2" xfId="8092"/>
    <cellStyle name="Standaard 11 6 2 3 2 2 2" xfId="8093"/>
    <cellStyle name="Standaard 11 6 2 3 2 3" xfId="8094"/>
    <cellStyle name="Standaard 11 6 2 3 3" xfId="8095"/>
    <cellStyle name="Standaard 11 6 2 3 3 2" xfId="8096"/>
    <cellStyle name="Standaard 11 6 2 3 4" xfId="8097"/>
    <cellStyle name="Standaard 11 6 2 4" xfId="8098"/>
    <cellStyle name="Standaard 11 6 2 4 2" xfId="8099"/>
    <cellStyle name="Standaard 11 6 2 4 2 2" xfId="8100"/>
    <cellStyle name="Standaard 11 6 2 4 3" xfId="8101"/>
    <cellStyle name="Standaard 11 6 2 5" xfId="8102"/>
    <cellStyle name="Standaard 11 6 2 5 2" xfId="8103"/>
    <cellStyle name="Standaard 11 6 2 6" xfId="8104"/>
    <cellStyle name="Standaard 11 6 2 7" xfId="8105"/>
    <cellStyle name="Standaard 11 6 3" xfId="8106"/>
    <cellStyle name="Standaard 11 6 3 2" xfId="8107"/>
    <cellStyle name="Standaard 11 6 3 2 2" xfId="8108"/>
    <cellStyle name="Standaard 11 6 3 2 2 2" xfId="8109"/>
    <cellStyle name="Standaard 11 6 3 2 2 2 2" xfId="8110"/>
    <cellStyle name="Standaard 11 6 3 2 2 3" xfId="8111"/>
    <cellStyle name="Standaard 11 6 3 2 3" xfId="8112"/>
    <cellStyle name="Standaard 11 6 3 2 3 2" xfId="8113"/>
    <cellStyle name="Standaard 11 6 3 2 4" xfId="8114"/>
    <cellStyle name="Standaard 11 6 3 3" xfId="8115"/>
    <cellStyle name="Standaard 11 6 3 3 2" xfId="8116"/>
    <cellStyle name="Standaard 11 6 3 3 2 2" xfId="8117"/>
    <cellStyle name="Standaard 11 6 3 3 3" xfId="8118"/>
    <cellStyle name="Standaard 11 6 3 4" xfId="8119"/>
    <cellStyle name="Standaard 11 6 3 4 2" xfId="8120"/>
    <cellStyle name="Standaard 11 6 3 5" xfId="8121"/>
    <cellStyle name="Standaard 11 6 3 6" xfId="8122"/>
    <cellStyle name="Standaard 11 6 4" xfId="8123"/>
    <cellStyle name="Standaard 11 6 4 2" xfId="8124"/>
    <cellStyle name="Standaard 11 6 4 2 2" xfId="8125"/>
    <cellStyle name="Standaard 11 6 4 2 2 2" xfId="8126"/>
    <cellStyle name="Standaard 11 6 4 2 3" xfId="8127"/>
    <cellStyle name="Standaard 11 6 4 3" xfId="8128"/>
    <cellStyle name="Standaard 11 6 4 3 2" xfId="8129"/>
    <cellStyle name="Standaard 11 6 4 4" xfId="8130"/>
    <cellStyle name="Standaard 11 6 5" xfId="8131"/>
    <cellStyle name="Standaard 11 6 5 2" xfId="8132"/>
    <cellStyle name="Standaard 11 6 5 2 2" xfId="8133"/>
    <cellStyle name="Standaard 11 6 5 3" xfId="8134"/>
    <cellStyle name="Standaard 11 6 6" xfId="8135"/>
    <cellStyle name="Standaard 11 6 6 2" xfId="8136"/>
    <cellStyle name="Standaard 11 6 7" xfId="8137"/>
    <cellStyle name="Standaard 11 6 8" xfId="8138"/>
    <cellStyle name="Standaard 11 7" xfId="8139"/>
    <cellStyle name="Standaard 11 7 2" xfId="8140"/>
    <cellStyle name="Standaard 11 7 2 2" xfId="8141"/>
    <cellStyle name="Standaard 11 7 2 2 2" xfId="8142"/>
    <cellStyle name="Standaard 11 7 2 2 2 2" xfId="8143"/>
    <cellStyle name="Standaard 11 7 2 2 2 2 2" xfId="8144"/>
    <cellStyle name="Standaard 11 7 2 2 2 3" xfId="8145"/>
    <cellStyle name="Standaard 11 7 2 2 3" xfId="8146"/>
    <cellStyle name="Standaard 11 7 2 2 3 2" xfId="8147"/>
    <cellStyle name="Standaard 11 7 2 2 4" xfId="8148"/>
    <cellStyle name="Standaard 11 7 2 3" xfId="8149"/>
    <cellStyle name="Standaard 11 7 2 3 2" xfId="8150"/>
    <cellStyle name="Standaard 11 7 2 3 2 2" xfId="8151"/>
    <cellStyle name="Standaard 11 7 2 3 3" xfId="8152"/>
    <cellStyle name="Standaard 11 7 2 4" xfId="8153"/>
    <cellStyle name="Standaard 11 7 2 4 2" xfId="8154"/>
    <cellStyle name="Standaard 11 7 2 5" xfId="8155"/>
    <cellStyle name="Standaard 11 7 2 6" xfId="8156"/>
    <cellStyle name="Standaard 11 7 3" xfId="8157"/>
    <cellStyle name="Standaard 11 7 3 2" xfId="8158"/>
    <cellStyle name="Standaard 11 7 3 2 2" xfId="8159"/>
    <cellStyle name="Standaard 11 7 3 2 2 2" xfId="8160"/>
    <cellStyle name="Standaard 11 7 3 2 3" xfId="8161"/>
    <cellStyle name="Standaard 11 7 3 3" xfId="8162"/>
    <cellStyle name="Standaard 11 7 3 3 2" xfId="8163"/>
    <cellStyle name="Standaard 11 7 3 4" xfId="8164"/>
    <cellStyle name="Standaard 11 7 4" xfId="8165"/>
    <cellStyle name="Standaard 11 7 4 2" xfId="8166"/>
    <cellStyle name="Standaard 11 7 4 2 2" xfId="8167"/>
    <cellStyle name="Standaard 11 7 4 3" xfId="8168"/>
    <cellStyle name="Standaard 11 7 5" xfId="8169"/>
    <cellStyle name="Standaard 11 7 5 2" xfId="8170"/>
    <cellStyle name="Standaard 11 7 6" xfId="8171"/>
    <cellStyle name="Standaard 11 7 7" xfId="8172"/>
    <cellStyle name="Standaard 11 8" xfId="8173"/>
    <cellStyle name="Standaard 11 8 2" xfId="8174"/>
    <cellStyle name="Standaard 11 8 2 2" xfId="8175"/>
    <cellStyle name="Standaard 11 8 2 2 2" xfId="8176"/>
    <cellStyle name="Standaard 11 8 2 2 2 2" xfId="8177"/>
    <cellStyle name="Standaard 11 8 2 2 3" xfId="8178"/>
    <cellStyle name="Standaard 11 8 2 3" xfId="8179"/>
    <cellStyle name="Standaard 11 8 2 3 2" xfId="8180"/>
    <cellStyle name="Standaard 11 8 2 4" xfId="8181"/>
    <cellStyle name="Standaard 11 8 3" xfId="8182"/>
    <cellStyle name="Standaard 11 8 3 2" xfId="8183"/>
    <cellStyle name="Standaard 11 8 3 2 2" xfId="8184"/>
    <cellStyle name="Standaard 11 8 3 3" xfId="8185"/>
    <cellStyle name="Standaard 11 8 4" xfId="8186"/>
    <cellStyle name="Standaard 11 8 4 2" xfId="8187"/>
    <cellStyle name="Standaard 11 8 5" xfId="8188"/>
    <cellStyle name="Standaard 11 8 6" xfId="8189"/>
    <cellStyle name="Standaard 11 9" xfId="8190"/>
    <cellStyle name="Standaard 11 9 2" xfId="8191"/>
    <cellStyle name="Standaard 11 9 2 2" xfId="8192"/>
    <cellStyle name="Standaard 11 9 2 2 2" xfId="8193"/>
    <cellStyle name="Standaard 11 9 2 3" xfId="8194"/>
    <cellStyle name="Standaard 11 9 3" xfId="8195"/>
    <cellStyle name="Standaard 11 9 3 2" xfId="8196"/>
    <cellStyle name="Standaard 11 9 4" xfId="8197"/>
    <cellStyle name="Standaard 12" xfId="8198"/>
    <cellStyle name="Standaard 12 10" xfId="8199"/>
    <cellStyle name="Standaard 12 10 2" xfId="8200"/>
    <cellStyle name="Standaard 12 10 2 2" xfId="8201"/>
    <cellStyle name="Standaard 12 10 3" xfId="8202"/>
    <cellStyle name="Standaard 12 11" xfId="8203"/>
    <cellStyle name="Standaard 12 11 2" xfId="8204"/>
    <cellStyle name="Standaard 12 12" xfId="8205"/>
    <cellStyle name="Standaard 12 13" xfId="8206"/>
    <cellStyle name="Standaard 12 2" xfId="8207"/>
    <cellStyle name="Standaard 12 2 10" xfId="8208"/>
    <cellStyle name="Standaard 12 2 10 2" xfId="8209"/>
    <cellStyle name="Standaard 12 2 11" xfId="8210"/>
    <cellStyle name="Standaard 12 2 12" xfId="8211"/>
    <cellStyle name="Standaard 12 2 2" xfId="8212"/>
    <cellStyle name="Standaard 12 2 2 10" xfId="8213"/>
    <cellStyle name="Standaard 12 2 2 11" xfId="8214"/>
    <cellStyle name="Standaard 12 2 2 2" xfId="8215"/>
    <cellStyle name="Standaard 12 2 2 2 2" xfId="8216"/>
    <cellStyle name="Standaard 12 2 2 2 2 2" xfId="8217"/>
    <cellStyle name="Standaard 12 2 2 2 2 2 2" xfId="8218"/>
    <cellStyle name="Standaard 12 2 2 2 2 2 2 2" xfId="8219"/>
    <cellStyle name="Standaard 12 2 2 2 2 2 2 2 2" xfId="8220"/>
    <cellStyle name="Standaard 12 2 2 2 2 2 2 2 2 2" xfId="8221"/>
    <cellStyle name="Standaard 12 2 2 2 2 2 2 2 2 2 2" xfId="8222"/>
    <cellStyle name="Standaard 12 2 2 2 2 2 2 2 2 3" xfId="8223"/>
    <cellStyle name="Standaard 12 2 2 2 2 2 2 2 3" xfId="8224"/>
    <cellStyle name="Standaard 12 2 2 2 2 2 2 2 3 2" xfId="8225"/>
    <cellStyle name="Standaard 12 2 2 2 2 2 2 2 4" xfId="8226"/>
    <cellStyle name="Standaard 12 2 2 2 2 2 2 3" xfId="8227"/>
    <cellStyle name="Standaard 12 2 2 2 2 2 2 3 2" xfId="8228"/>
    <cellStyle name="Standaard 12 2 2 2 2 2 2 3 2 2" xfId="8229"/>
    <cellStyle name="Standaard 12 2 2 2 2 2 2 3 3" xfId="8230"/>
    <cellStyle name="Standaard 12 2 2 2 2 2 2 4" xfId="8231"/>
    <cellStyle name="Standaard 12 2 2 2 2 2 2 4 2" xfId="8232"/>
    <cellStyle name="Standaard 12 2 2 2 2 2 2 5" xfId="8233"/>
    <cellStyle name="Standaard 12 2 2 2 2 2 2 6" xfId="8234"/>
    <cellStyle name="Standaard 12 2 2 2 2 2 3" xfId="8235"/>
    <cellStyle name="Standaard 12 2 2 2 2 2 3 2" xfId="8236"/>
    <cellStyle name="Standaard 12 2 2 2 2 2 3 2 2" xfId="8237"/>
    <cellStyle name="Standaard 12 2 2 2 2 2 3 2 2 2" xfId="8238"/>
    <cellStyle name="Standaard 12 2 2 2 2 2 3 2 3" xfId="8239"/>
    <cellStyle name="Standaard 12 2 2 2 2 2 3 3" xfId="8240"/>
    <cellStyle name="Standaard 12 2 2 2 2 2 3 3 2" xfId="8241"/>
    <cellStyle name="Standaard 12 2 2 2 2 2 3 4" xfId="8242"/>
    <cellStyle name="Standaard 12 2 2 2 2 2 4" xfId="8243"/>
    <cellStyle name="Standaard 12 2 2 2 2 2 4 2" xfId="8244"/>
    <cellStyle name="Standaard 12 2 2 2 2 2 4 2 2" xfId="8245"/>
    <cellStyle name="Standaard 12 2 2 2 2 2 4 3" xfId="8246"/>
    <cellStyle name="Standaard 12 2 2 2 2 2 5" xfId="8247"/>
    <cellStyle name="Standaard 12 2 2 2 2 2 5 2" xfId="8248"/>
    <cellStyle name="Standaard 12 2 2 2 2 2 6" xfId="8249"/>
    <cellStyle name="Standaard 12 2 2 2 2 2 7" xfId="8250"/>
    <cellStyle name="Standaard 12 2 2 2 2 3" xfId="8251"/>
    <cellStyle name="Standaard 12 2 2 2 2 3 2" xfId="8252"/>
    <cellStyle name="Standaard 12 2 2 2 2 3 2 2" xfId="8253"/>
    <cellStyle name="Standaard 12 2 2 2 2 3 2 2 2" xfId="8254"/>
    <cellStyle name="Standaard 12 2 2 2 2 3 2 2 2 2" xfId="8255"/>
    <cellStyle name="Standaard 12 2 2 2 2 3 2 2 3" xfId="8256"/>
    <cellStyle name="Standaard 12 2 2 2 2 3 2 3" xfId="8257"/>
    <cellStyle name="Standaard 12 2 2 2 2 3 2 3 2" xfId="8258"/>
    <cellStyle name="Standaard 12 2 2 2 2 3 2 4" xfId="8259"/>
    <cellStyle name="Standaard 12 2 2 2 2 3 3" xfId="8260"/>
    <cellStyle name="Standaard 12 2 2 2 2 3 3 2" xfId="8261"/>
    <cellStyle name="Standaard 12 2 2 2 2 3 3 2 2" xfId="8262"/>
    <cellStyle name="Standaard 12 2 2 2 2 3 3 3" xfId="8263"/>
    <cellStyle name="Standaard 12 2 2 2 2 3 4" xfId="8264"/>
    <cellStyle name="Standaard 12 2 2 2 2 3 4 2" xfId="8265"/>
    <cellStyle name="Standaard 12 2 2 2 2 3 5" xfId="8266"/>
    <cellStyle name="Standaard 12 2 2 2 2 3 6" xfId="8267"/>
    <cellStyle name="Standaard 12 2 2 2 2 4" xfId="8268"/>
    <cellStyle name="Standaard 12 2 2 2 2 4 2" xfId="8269"/>
    <cellStyle name="Standaard 12 2 2 2 2 4 2 2" xfId="8270"/>
    <cellStyle name="Standaard 12 2 2 2 2 4 2 2 2" xfId="8271"/>
    <cellStyle name="Standaard 12 2 2 2 2 4 2 3" xfId="8272"/>
    <cellStyle name="Standaard 12 2 2 2 2 4 3" xfId="8273"/>
    <cellStyle name="Standaard 12 2 2 2 2 4 3 2" xfId="8274"/>
    <cellStyle name="Standaard 12 2 2 2 2 4 4" xfId="8275"/>
    <cellStyle name="Standaard 12 2 2 2 2 5" xfId="8276"/>
    <cellStyle name="Standaard 12 2 2 2 2 5 2" xfId="8277"/>
    <cellStyle name="Standaard 12 2 2 2 2 5 2 2" xfId="8278"/>
    <cellStyle name="Standaard 12 2 2 2 2 5 3" xfId="8279"/>
    <cellStyle name="Standaard 12 2 2 2 2 6" xfId="8280"/>
    <cellStyle name="Standaard 12 2 2 2 2 6 2" xfId="8281"/>
    <cellStyle name="Standaard 12 2 2 2 2 7" xfId="8282"/>
    <cellStyle name="Standaard 12 2 2 2 2 8" xfId="8283"/>
    <cellStyle name="Standaard 12 2 2 2 3" xfId="8284"/>
    <cellStyle name="Standaard 12 2 2 2 3 2" xfId="8285"/>
    <cellStyle name="Standaard 12 2 2 2 3 2 2" xfId="8286"/>
    <cellStyle name="Standaard 12 2 2 2 3 2 2 2" xfId="8287"/>
    <cellStyle name="Standaard 12 2 2 2 3 2 2 2 2" xfId="8288"/>
    <cellStyle name="Standaard 12 2 2 2 3 2 2 2 2 2" xfId="8289"/>
    <cellStyle name="Standaard 12 2 2 2 3 2 2 2 3" xfId="8290"/>
    <cellStyle name="Standaard 12 2 2 2 3 2 2 3" xfId="8291"/>
    <cellStyle name="Standaard 12 2 2 2 3 2 2 3 2" xfId="8292"/>
    <cellStyle name="Standaard 12 2 2 2 3 2 2 4" xfId="8293"/>
    <cellStyle name="Standaard 12 2 2 2 3 2 3" xfId="8294"/>
    <cellStyle name="Standaard 12 2 2 2 3 2 3 2" xfId="8295"/>
    <cellStyle name="Standaard 12 2 2 2 3 2 3 2 2" xfId="8296"/>
    <cellStyle name="Standaard 12 2 2 2 3 2 3 3" xfId="8297"/>
    <cellStyle name="Standaard 12 2 2 2 3 2 4" xfId="8298"/>
    <cellStyle name="Standaard 12 2 2 2 3 2 4 2" xfId="8299"/>
    <cellStyle name="Standaard 12 2 2 2 3 2 5" xfId="8300"/>
    <cellStyle name="Standaard 12 2 2 2 3 2 6" xfId="8301"/>
    <cellStyle name="Standaard 12 2 2 2 3 3" xfId="8302"/>
    <cellStyle name="Standaard 12 2 2 2 3 3 2" xfId="8303"/>
    <cellStyle name="Standaard 12 2 2 2 3 3 2 2" xfId="8304"/>
    <cellStyle name="Standaard 12 2 2 2 3 3 2 2 2" xfId="8305"/>
    <cellStyle name="Standaard 12 2 2 2 3 3 2 3" xfId="8306"/>
    <cellStyle name="Standaard 12 2 2 2 3 3 3" xfId="8307"/>
    <cellStyle name="Standaard 12 2 2 2 3 3 3 2" xfId="8308"/>
    <cellStyle name="Standaard 12 2 2 2 3 3 4" xfId="8309"/>
    <cellStyle name="Standaard 12 2 2 2 3 4" xfId="8310"/>
    <cellStyle name="Standaard 12 2 2 2 3 4 2" xfId="8311"/>
    <cellStyle name="Standaard 12 2 2 2 3 4 2 2" xfId="8312"/>
    <cellStyle name="Standaard 12 2 2 2 3 4 3" xfId="8313"/>
    <cellStyle name="Standaard 12 2 2 2 3 5" xfId="8314"/>
    <cellStyle name="Standaard 12 2 2 2 3 5 2" xfId="8315"/>
    <cellStyle name="Standaard 12 2 2 2 3 6" xfId="8316"/>
    <cellStyle name="Standaard 12 2 2 2 3 7" xfId="8317"/>
    <cellStyle name="Standaard 12 2 2 2 4" xfId="8318"/>
    <cellStyle name="Standaard 12 2 2 2 4 2" xfId="8319"/>
    <cellStyle name="Standaard 12 2 2 2 4 2 2" xfId="8320"/>
    <cellStyle name="Standaard 12 2 2 2 4 2 2 2" xfId="8321"/>
    <cellStyle name="Standaard 12 2 2 2 4 2 2 2 2" xfId="8322"/>
    <cellStyle name="Standaard 12 2 2 2 4 2 2 3" xfId="8323"/>
    <cellStyle name="Standaard 12 2 2 2 4 2 3" xfId="8324"/>
    <cellStyle name="Standaard 12 2 2 2 4 2 3 2" xfId="8325"/>
    <cellStyle name="Standaard 12 2 2 2 4 2 4" xfId="8326"/>
    <cellStyle name="Standaard 12 2 2 2 4 3" xfId="8327"/>
    <cellStyle name="Standaard 12 2 2 2 4 3 2" xfId="8328"/>
    <cellStyle name="Standaard 12 2 2 2 4 3 2 2" xfId="8329"/>
    <cellStyle name="Standaard 12 2 2 2 4 3 3" xfId="8330"/>
    <cellStyle name="Standaard 12 2 2 2 4 4" xfId="8331"/>
    <cellStyle name="Standaard 12 2 2 2 4 4 2" xfId="8332"/>
    <cellStyle name="Standaard 12 2 2 2 4 5" xfId="8333"/>
    <cellStyle name="Standaard 12 2 2 2 4 6" xfId="8334"/>
    <cellStyle name="Standaard 12 2 2 2 5" xfId="8335"/>
    <cellStyle name="Standaard 12 2 2 2 5 2" xfId="8336"/>
    <cellStyle name="Standaard 12 2 2 2 5 2 2" xfId="8337"/>
    <cellStyle name="Standaard 12 2 2 2 5 2 2 2" xfId="8338"/>
    <cellStyle name="Standaard 12 2 2 2 5 2 3" xfId="8339"/>
    <cellStyle name="Standaard 12 2 2 2 5 3" xfId="8340"/>
    <cellStyle name="Standaard 12 2 2 2 5 3 2" xfId="8341"/>
    <cellStyle name="Standaard 12 2 2 2 5 4" xfId="8342"/>
    <cellStyle name="Standaard 12 2 2 2 6" xfId="8343"/>
    <cellStyle name="Standaard 12 2 2 2 6 2" xfId="8344"/>
    <cellStyle name="Standaard 12 2 2 2 6 2 2" xfId="8345"/>
    <cellStyle name="Standaard 12 2 2 2 6 3" xfId="8346"/>
    <cellStyle name="Standaard 12 2 2 2 7" xfId="8347"/>
    <cellStyle name="Standaard 12 2 2 2 7 2" xfId="8348"/>
    <cellStyle name="Standaard 12 2 2 2 8" xfId="8349"/>
    <cellStyle name="Standaard 12 2 2 2 9" xfId="8350"/>
    <cellStyle name="Standaard 12 2 2 3" xfId="8351"/>
    <cellStyle name="Standaard 12 2 2 3 2" xfId="8352"/>
    <cellStyle name="Standaard 12 2 2 3 2 2" xfId="8353"/>
    <cellStyle name="Standaard 12 2 2 3 2 2 2" xfId="8354"/>
    <cellStyle name="Standaard 12 2 2 3 2 2 2 2" xfId="8355"/>
    <cellStyle name="Standaard 12 2 2 3 2 2 2 2 2" xfId="8356"/>
    <cellStyle name="Standaard 12 2 2 3 2 2 2 2 2 2" xfId="8357"/>
    <cellStyle name="Standaard 12 2 2 3 2 2 2 2 3" xfId="8358"/>
    <cellStyle name="Standaard 12 2 2 3 2 2 2 3" xfId="8359"/>
    <cellStyle name="Standaard 12 2 2 3 2 2 2 3 2" xfId="8360"/>
    <cellStyle name="Standaard 12 2 2 3 2 2 2 4" xfId="8361"/>
    <cellStyle name="Standaard 12 2 2 3 2 2 3" xfId="8362"/>
    <cellStyle name="Standaard 12 2 2 3 2 2 3 2" xfId="8363"/>
    <cellStyle name="Standaard 12 2 2 3 2 2 3 2 2" xfId="8364"/>
    <cellStyle name="Standaard 12 2 2 3 2 2 3 3" xfId="8365"/>
    <cellStyle name="Standaard 12 2 2 3 2 2 4" xfId="8366"/>
    <cellStyle name="Standaard 12 2 2 3 2 2 4 2" xfId="8367"/>
    <cellStyle name="Standaard 12 2 2 3 2 2 5" xfId="8368"/>
    <cellStyle name="Standaard 12 2 2 3 2 2 6" xfId="8369"/>
    <cellStyle name="Standaard 12 2 2 3 2 3" xfId="8370"/>
    <cellStyle name="Standaard 12 2 2 3 2 3 2" xfId="8371"/>
    <cellStyle name="Standaard 12 2 2 3 2 3 2 2" xfId="8372"/>
    <cellStyle name="Standaard 12 2 2 3 2 3 2 2 2" xfId="8373"/>
    <cellStyle name="Standaard 12 2 2 3 2 3 2 3" xfId="8374"/>
    <cellStyle name="Standaard 12 2 2 3 2 3 3" xfId="8375"/>
    <cellStyle name="Standaard 12 2 2 3 2 3 3 2" xfId="8376"/>
    <cellStyle name="Standaard 12 2 2 3 2 3 4" xfId="8377"/>
    <cellStyle name="Standaard 12 2 2 3 2 4" xfId="8378"/>
    <cellStyle name="Standaard 12 2 2 3 2 4 2" xfId="8379"/>
    <cellStyle name="Standaard 12 2 2 3 2 4 2 2" xfId="8380"/>
    <cellStyle name="Standaard 12 2 2 3 2 4 3" xfId="8381"/>
    <cellStyle name="Standaard 12 2 2 3 2 5" xfId="8382"/>
    <cellStyle name="Standaard 12 2 2 3 2 5 2" xfId="8383"/>
    <cellStyle name="Standaard 12 2 2 3 2 6" xfId="8384"/>
    <cellStyle name="Standaard 12 2 2 3 2 7" xfId="8385"/>
    <cellStyle name="Standaard 12 2 2 3 3" xfId="8386"/>
    <cellStyle name="Standaard 12 2 2 3 3 2" xfId="8387"/>
    <cellStyle name="Standaard 12 2 2 3 3 2 2" xfId="8388"/>
    <cellStyle name="Standaard 12 2 2 3 3 2 2 2" xfId="8389"/>
    <cellStyle name="Standaard 12 2 2 3 3 2 2 2 2" xfId="8390"/>
    <cellStyle name="Standaard 12 2 2 3 3 2 2 3" xfId="8391"/>
    <cellStyle name="Standaard 12 2 2 3 3 2 3" xfId="8392"/>
    <cellStyle name="Standaard 12 2 2 3 3 2 3 2" xfId="8393"/>
    <cellStyle name="Standaard 12 2 2 3 3 2 4" xfId="8394"/>
    <cellStyle name="Standaard 12 2 2 3 3 3" xfId="8395"/>
    <cellStyle name="Standaard 12 2 2 3 3 3 2" xfId="8396"/>
    <cellStyle name="Standaard 12 2 2 3 3 3 2 2" xfId="8397"/>
    <cellStyle name="Standaard 12 2 2 3 3 3 3" xfId="8398"/>
    <cellStyle name="Standaard 12 2 2 3 3 4" xfId="8399"/>
    <cellStyle name="Standaard 12 2 2 3 3 4 2" xfId="8400"/>
    <cellStyle name="Standaard 12 2 2 3 3 5" xfId="8401"/>
    <cellStyle name="Standaard 12 2 2 3 3 6" xfId="8402"/>
    <cellStyle name="Standaard 12 2 2 3 4" xfId="8403"/>
    <cellStyle name="Standaard 12 2 2 3 4 2" xfId="8404"/>
    <cellStyle name="Standaard 12 2 2 3 4 2 2" xfId="8405"/>
    <cellStyle name="Standaard 12 2 2 3 4 2 2 2" xfId="8406"/>
    <cellStyle name="Standaard 12 2 2 3 4 2 3" xfId="8407"/>
    <cellStyle name="Standaard 12 2 2 3 4 3" xfId="8408"/>
    <cellStyle name="Standaard 12 2 2 3 4 3 2" xfId="8409"/>
    <cellStyle name="Standaard 12 2 2 3 4 4" xfId="8410"/>
    <cellStyle name="Standaard 12 2 2 3 5" xfId="8411"/>
    <cellStyle name="Standaard 12 2 2 3 5 2" xfId="8412"/>
    <cellStyle name="Standaard 12 2 2 3 5 2 2" xfId="8413"/>
    <cellStyle name="Standaard 12 2 2 3 5 3" xfId="8414"/>
    <cellStyle name="Standaard 12 2 2 3 6" xfId="8415"/>
    <cellStyle name="Standaard 12 2 2 3 6 2" xfId="8416"/>
    <cellStyle name="Standaard 12 2 2 3 7" xfId="8417"/>
    <cellStyle name="Standaard 12 2 2 3 8" xfId="8418"/>
    <cellStyle name="Standaard 12 2 2 4" xfId="8419"/>
    <cellStyle name="Standaard 12 2 2 4 2" xfId="8420"/>
    <cellStyle name="Standaard 12 2 2 4 2 2" xfId="8421"/>
    <cellStyle name="Standaard 12 2 2 4 2 2 2" xfId="8422"/>
    <cellStyle name="Standaard 12 2 2 4 2 2 2 2" xfId="8423"/>
    <cellStyle name="Standaard 12 2 2 4 2 2 2 2 2" xfId="8424"/>
    <cellStyle name="Standaard 12 2 2 4 2 2 2 2 2 2" xfId="8425"/>
    <cellStyle name="Standaard 12 2 2 4 2 2 2 2 3" xfId="8426"/>
    <cellStyle name="Standaard 12 2 2 4 2 2 2 3" xfId="8427"/>
    <cellStyle name="Standaard 12 2 2 4 2 2 2 3 2" xfId="8428"/>
    <cellStyle name="Standaard 12 2 2 4 2 2 2 4" xfId="8429"/>
    <cellStyle name="Standaard 12 2 2 4 2 2 3" xfId="8430"/>
    <cellStyle name="Standaard 12 2 2 4 2 2 3 2" xfId="8431"/>
    <cellStyle name="Standaard 12 2 2 4 2 2 3 2 2" xfId="8432"/>
    <cellStyle name="Standaard 12 2 2 4 2 2 3 3" xfId="8433"/>
    <cellStyle name="Standaard 12 2 2 4 2 2 4" xfId="8434"/>
    <cellStyle name="Standaard 12 2 2 4 2 2 4 2" xfId="8435"/>
    <cellStyle name="Standaard 12 2 2 4 2 2 5" xfId="8436"/>
    <cellStyle name="Standaard 12 2 2 4 2 2 6" xfId="8437"/>
    <cellStyle name="Standaard 12 2 2 4 2 3" xfId="8438"/>
    <cellStyle name="Standaard 12 2 2 4 2 3 2" xfId="8439"/>
    <cellStyle name="Standaard 12 2 2 4 2 3 2 2" xfId="8440"/>
    <cellStyle name="Standaard 12 2 2 4 2 3 2 2 2" xfId="8441"/>
    <cellStyle name="Standaard 12 2 2 4 2 3 2 3" xfId="8442"/>
    <cellStyle name="Standaard 12 2 2 4 2 3 3" xfId="8443"/>
    <cellStyle name="Standaard 12 2 2 4 2 3 3 2" xfId="8444"/>
    <cellStyle name="Standaard 12 2 2 4 2 3 4" xfId="8445"/>
    <cellStyle name="Standaard 12 2 2 4 2 4" xfId="8446"/>
    <cellStyle name="Standaard 12 2 2 4 2 4 2" xfId="8447"/>
    <cellStyle name="Standaard 12 2 2 4 2 4 2 2" xfId="8448"/>
    <cellStyle name="Standaard 12 2 2 4 2 4 3" xfId="8449"/>
    <cellStyle name="Standaard 12 2 2 4 2 5" xfId="8450"/>
    <cellStyle name="Standaard 12 2 2 4 2 5 2" xfId="8451"/>
    <cellStyle name="Standaard 12 2 2 4 2 6" xfId="8452"/>
    <cellStyle name="Standaard 12 2 2 4 2 7" xfId="8453"/>
    <cellStyle name="Standaard 12 2 2 4 3" xfId="8454"/>
    <cellStyle name="Standaard 12 2 2 4 3 2" xfId="8455"/>
    <cellStyle name="Standaard 12 2 2 4 3 2 2" xfId="8456"/>
    <cellStyle name="Standaard 12 2 2 4 3 2 2 2" xfId="8457"/>
    <cellStyle name="Standaard 12 2 2 4 3 2 2 2 2" xfId="8458"/>
    <cellStyle name="Standaard 12 2 2 4 3 2 2 3" xfId="8459"/>
    <cellStyle name="Standaard 12 2 2 4 3 2 3" xfId="8460"/>
    <cellStyle name="Standaard 12 2 2 4 3 2 3 2" xfId="8461"/>
    <cellStyle name="Standaard 12 2 2 4 3 2 4" xfId="8462"/>
    <cellStyle name="Standaard 12 2 2 4 3 3" xfId="8463"/>
    <cellStyle name="Standaard 12 2 2 4 3 3 2" xfId="8464"/>
    <cellStyle name="Standaard 12 2 2 4 3 3 2 2" xfId="8465"/>
    <cellStyle name="Standaard 12 2 2 4 3 3 3" xfId="8466"/>
    <cellStyle name="Standaard 12 2 2 4 3 4" xfId="8467"/>
    <cellStyle name="Standaard 12 2 2 4 3 4 2" xfId="8468"/>
    <cellStyle name="Standaard 12 2 2 4 3 5" xfId="8469"/>
    <cellStyle name="Standaard 12 2 2 4 3 6" xfId="8470"/>
    <cellStyle name="Standaard 12 2 2 4 4" xfId="8471"/>
    <cellStyle name="Standaard 12 2 2 4 4 2" xfId="8472"/>
    <cellStyle name="Standaard 12 2 2 4 4 2 2" xfId="8473"/>
    <cellStyle name="Standaard 12 2 2 4 4 2 2 2" xfId="8474"/>
    <cellStyle name="Standaard 12 2 2 4 4 2 3" xfId="8475"/>
    <cellStyle name="Standaard 12 2 2 4 4 3" xfId="8476"/>
    <cellStyle name="Standaard 12 2 2 4 4 3 2" xfId="8477"/>
    <cellStyle name="Standaard 12 2 2 4 4 4" xfId="8478"/>
    <cellStyle name="Standaard 12 2 2 4 5" xfId="8479"/>
    <cellStyle name="Standaard 12 2 2 4 5 2" xfId="8480"/>
    <cellStyle name="Standaard 12 2 2 4 5 2 2" xfId="8481"/>
    <cellStyle name="Standaard 12 2 2 4 5 3" xfId="8482"/>
    <cellStyle name="Standaard 12 2 2 4 6" xfId="8483"/>
    <cellStyle name="Standaard 12 2 2 4 6 2" xfId="8484"/>
    <cellStyle name="Standaard 12 2 2 4 7" xfId="8485"/>
    <cellStyle name="Standaard 12 2 2 4 8" xfId="8486"/>
    <cellStyle name="Standaard 12 2 2 5" xfId="8487"/>
    <cellStyle name="Standaard 12 2 2 5 2" xfId="8488"/>
    <cellStyle name="Standaard 12 2 2 5 2 2" xfId="8489"/>
    <cellStyle name="Standaard 12 2 2 5 2 2 2" xfId="8490"/>
    <cellStyle name="Standaard 12 2 2 5 2 2 2 2" xfId="8491"/>
    <cellStyle name="Standaard 12 2 2 5 2 2 2 2 2" xfId="8492"/>
    <cellStyle name="Standaard 12 2 2 5 2 2 2 3" xfId="8493"/>
    <cellStyle name="Standaard 12 2 2 5 2 2 3" xfId="8494"/>
    <cellStyle name="Standaard 12 2 2 5 2 2 3 2" xfId="8495"/>
    <cellStyle name="Standaard 12 2 2 5 2 2 4" xfId="8496"/>
    <cellStyle name="Standaard 12 2 2 5 2 3" xfId="8497"/>
    <cellStyle name="Standaard 12 2 2 5 2 3 2" xfId="8498"/>
    <cellStyle name="Standaard 12 2 2 5 2 3 2 2" xfId="8499"/>
    <cellStyle name="Standaard 12 2 2 5 2 3 3" xfId="8500"/>
    <cellStyle name="Standaard 12 2 2 5 2 4" xfId="8501"/>
    <cellStyle name="Standaard 12 2 2 5 2 4 2" xfId="8502"/>
    <cellStyle name="Standaard 12 2 2 5 2 5" xfId="8503"/>
    <cellStyle name="Standaard 12 2 2 5 2 6" xfId="8504"/>
    <cellStyle name="Standaard 12 2 2 5 3" xfId="8505"/>
    <cellStyle name="Standaard 12 2 2 5 3 2" xfId="8506"/>
    <cellStyle name="Standaard 12 2 2 5 3 2 2" xfId="8507"/>
    <cellStyle name="Standaard 12 2 2 5 3 2 2 2" xfId="8508"/>
    <cellStyle name="Standaard 12 2 2 5 3 2 3" xfId="8509"/>
    <cellStyle name="Standaard 12 2 2 5 3 3" xfId="8510"/>
    <cellStyle name="Standaard 12 2 2 5 3 3 2" xfId="8511"/>
    <cellStyle name="Standaard 12 2 2 5 3 4" xfId="8512"/>
    <cellStyle name="Standaard 12 2 2 5 4" xfId="8513"/>
    <cellStyle name="Standaard 12 2 2 5 4 2" xfId="8514"/>
    <cellStyle name="Standaard 12 2 2 5 4 2 2" xfId="8515"/>
    <cellStyle name="Standaard 12 2 2 5 4 3" xfId="8516"/>
    <cellStyle name="Standaard 12 2 2 5 5" xfId="8517"/>
    <cellStyle name="Standaard 12 2 2 5 5 2" xfId="8518"/>
    <cellStyle name="Standaard 12 2 2 5 6" xfId="8519"/>
    <cellStyle name="Standaard 12 2 2 5 7" xfId="8520"/>
    <cellStyle name="Standaard 12 2 2 6" xfId="8521"/>
    <cellStyle name="Standaard 12 2 2 6 2" xfId="8522"/>
    <cellStyle name="Standaard 12 2 2 6 2 2" xfId="8523"/>
    <cellStyle name="Standaard 12 2 2 6 2 2 2" xfId="8524"/>
    <cellStyle name="Standaard 12 2 2 6 2 2 2 2" xfId="8525"/>
    <cellStyle name="Standaard 12 2 2 6 2 2 3" xfId="8526"/>
    <cellStyle name="Standaard 12 2 2 6 2 3" xfId="8527"/>
    <cellStyle name="Standaard 12 2 2 6 2 3 2" xfId="8528"/>
    <cellStyle name="Standaard 12 2 2 6 2 4" xfId="8529"/>
    <cellStyle name="Standaard 12 2 2 6 3" xfId="8530"/>
    <cellStyle name="Standaard 12 2 2 6 3 2" xfId="8531"/>
    <cellStyle name="Standaard 12 2 2 6 3 2 2" xfId="8532"/>
    <cellStyle name="Standaard 12 2 2 6 3 3" xfId="8533"/>
    <cellStyle name="Standaard 12 2 2 6 4" xfId="8534"/>
    <cellStyle name="Standaard 12 2 2 6 4 2" xfId="8535"/>
    <cellStyle name="Standaard 12 2 2 6 5" xfId="8536"/>
    <cellStyle name="Standaard 12 2 2 6 6" xfId="8537"/>
    <cellStyle name="Standaard 12 2 2 7" xfId="8538"/>
    <cellStyle name="Standaard 12 2 2 7 2" xfId="8539"/>
    <cellStyle name="Standaard 12 2 2 7 2 2" xfId="8540"/>
    <cellStyle name="Standaard 12 2 2 7 2 2 2" xfId="8541"/>
    <cellStyle name="Standaard 12 2 2 7 2 3" xfId="8542"/>
    <cellStyle name="Standaard 12 2 2 7 3" xfId="8543"/>
    <cellStyle name="Standaard 12 2 2 7 3 2" xfId="8544"/>
    <cellStyle name="Standaard 12 2 2 7 4" xfId="8545"/>
    <cellStyle name="Standaard 12 2 2 8" xfId="8546"/>
    <cellStyle name="Standaard 12 2 2 8 2" xfId="8547"/>
    <cellStyle name="Standaard 12 2 2 8 2 2" xfId="8548"/>
    <cellStyle name="Standaard 12 2 2 8 3" xfId="8549"/>
    <cellStyle name="Standaard 12 2 2 9" xfId="8550"/>
    <cellStyle name="Standaard 12 2 2 9 2" xfId="8551"/>
    <cellStyle name="Standaard 12 2 3" xfId="8552"/>
    <cellStyle name="Standaard 12 2 3 2" xfId="8553"/>
    <cellStyle name="Standaard 12 2 3 2 2" xfId="8554"/>
    <cellStyle name="Standaard 12 2 3 2 2 2" xfId="8555"/>
    <cellStyle name="Standaard 12 2 3 2 2 2 2" xfId="8556"/>
    <cellStyle name="Standaard 12 2 3 2 2 2 2 2" xfId="8557"/>
    <cellStyle name="Standaard 12 2 3 2 2 2 2 2 2" xfId="8558"/>
    <cellStyle name="Standaard 12 2 3 2 2 2 2 2 2 2" xfId="8559"/>
    <cellStyle name="Standaard 12 2 3 2 2 2 2 2 3" xfId="8560"/>
    <cellStyle name="Standaard 12 2 3 2 2 2 2 3" xfId="8561"/>
    <cellStyle name="Standaard 12 2 3 2 2 2 2 3 2" xfId="8562"/>
    <cellStyle name="Standaard 12 2 3 2 2 2 2 4" xfId="8563"/>
    <cellStyle name="Standaard 12 2 3 2 2 2 3" xfId="8564"/>
    <cellStyle name="Standaard 12 2 3 2 2 2 3 2" xfId="8565"/>
    <cellStyle name="Standaard 12 2 3 2 2 2 3 2 2" xfId="8566"/>
    <cellStyle name="Standaard 12 2 3 2 2 2 3 3" xfId="8567"/>
    <cellStyle name="Standaard 12 2 3 2 2 2 4" xfId="8568"/>
    <cellStyle name="Standaard 12 2 3 2 2 2 4 2" xfId="8569"/>
    <cellStyle name="Standaard 12 2 3 2 2 2 5" xfId="8570"/>
    <cellStyle name="Standaard 12 2 3 2 2 2 6" xfId="8571"/>
    <cellStyle name="Standaard 12 2 3 2 2 3" xfId="8572"/>
    <cellStyle name="Standaard 12 2 3 2 2 3 2" xfId="8573"/>
    <cellStyle name="Standaard 12 2 3 2 2 3 2 2" xfId="8574"/>
    <cellStyle name="Standaard 12 2 3 2 2 3 2 2 2" xfId="8575"/>
    <cellStyle name="Standaard 12 2 3 2 2 3 2 3" xfId="8576"/>
    <cellStyle name="Standaard 12 2 3 2 2 3 3" xfId="8577"/>
    <cellStyle name="Standaard 12 2 3 2 2 3 3 2" xfId="8578"/>
    <cellStyle name="Standaard 12 2 3 2 2 3 4" xfId="8579"/>
    <cellStyle name="Standaard 12 2 3 2 2 4" xfId="8580"/>
    <cellStyle name="Standaard 12 2 3 2 2 4 2" xfId="8581"/>
    <cellStyle name="Standaard 12 2 3 2 2 4 2 2" xfId="8582"/>
    <cellStyle name="Standaard 12 2 3 2 2 4 3" xfId="8583"/>
    <cellStyle name="Standaard 12 2 3 2 2 5" xfId="8584"/>
    <cellStyle name="Standaard 12 2 3 2 2 5 2" xfId="8585"/>
    <cellStyle name="Standaard 12 2 3 2 2 6" xfId="8586"/>
    <cellStyle name="Standaard 12 2 3 2 2 7" xfId="8587"/>
    <cellStyle name="Standaard 12 2 3 2 3" xfId="8588"/>
    <cellStyle name="Standaard 12 2 3 2 3 2" xfId="8589"/>
    <cellStyle name="Standaard 12 2 3 2 3 2 2" xfId="8590"/>
    <cellStyle name="Standaard 12 2 3 2 3 2 2 2" xfId="8591"/>
    <cellStyle name="Standaard 12 2 3 2 3 2 2 2 2" xfId="8592"/>
    <cellStyle name="Standaard 12 2 3 2 3 2 2 3" xfId="8593"/>
    <cellStyle name="Standaard 12 2 3 2 3 2 3" xfId="8594"/>
    <cellStyle name="Standaard 12 2 3 2 3 2 3 2" xfId="8595"/>
    <cellStyle name="Standaard 12 2 3 2 3 2 4" xfId="8596"/>
    <cellStyle name="Standaard 12 2 3 2 3 3" xfId="8597"/>
    <cellStyle name="Standaard 12 2 3 2 3 3 2" xfId="8598"/>
    <cellStyle name="Standaard 12 2 3 2 3 3 2 2" xfId="8599"/>
    <cellStyle name="Standaard 12 2 3 2 3 3 3" xfId="8600"/>
    <cellStyle name="Standaard 12 2 3 2 3 4" xfId="8601"/>
    <cellStyle name="Standaard 12 2 3 2 3 4 2" xfId="8602"/>
    <cellStyle name="Standaard 12 2 3 2 3 5" xfId="8603"/>
    <cellStyle name="Standaard 12 2 3 2 3 6" xfId="8604"/>
    <cellStyle name="Standaard 12 2 3 2 4" xfId="8605"/>
    <cellStyle name="Standaard 12 2 3 2 4 2" xfId="8606"/>
    <cellStyle name="Standaard 12 2 3 2 4 2 2" xfId="8607"/>
    <cellStyle name="Standaard 12 2 3 2 4 2 2 2" xfId="8608"/>
    <cellStyle name="Standaard 12 2 3 2 4 2 3" xfId="8609"/>
    <cellStyle name="Standaard 12 2 3 2 4 3" xfId="8610"/>
    <cellStyle name="Standaard 12 2 3 2 4 3 2" xfId="8611"/>
    <cellStyle name="Standaard 12 2 3 2 4 4" xfId="8612"/>
    <cellStyle name="Standaard 12 2 3 2 5" xfId="8613"/>
    <cellStyle name="Standaard 12 2 3 2 5 2" xfId="8614"/>
    <cellStyle name="Standaard 12 2 3 2 5 2 2" xfId="8615"/>
    <cellStyle name="Standaard 12 2 3 2 5 3" xfId="8616"/>
    <cellStyle name="Standaard 12 2 3 2 6" xfId="8617"/>
    <cellStyle name="Standaard 12 2 3 2 6 2" xfId="8618"/>
    <cellStyle name="Standaard 12 2 3 2 7" xfId="8619"/>
    <cellStyle name="Standaard 12 2 3 2 8" xfId="8620"/>
    <cellStyle name="Standaard 12 2 3 3" xfId="8621"/>
    <cellStyle name="Standaard 12 2 3 3 2" xfId="8622"/>
    <cellStyle name="Standaard 12 2 3 3 2 2" xfId="8623"/>
    <cellStyle name="Standaard 12 2 3 3 2 2 2" xfId="8624"/>
    <cellStyle name="Standaard 12 2 3 3 2 2 2 2" xfId="8625"/>
    <cellStyle name="Standaard 12 2 3 3 2 2 2 2 2" xfId="8626"/>
    <cellStyle name="Standaard 12 2 3 3 2 2 2 3" xfId="8627"/>
    <cellStyle name="Standaard 12 2 3 3 2 2 3" xfId="8628"/>
    <cellStyle name="Standaard 12 2 3 3 2 2 3 2" xfId="8629"/>
    <cellStyle name="Standaard 12 2 3 3 2 2 4" xfId="8630"/>
    <cellStyle name="Standaard 12 2 3 3 2 3" xfId="8631"/>
    <cellStyle name="Standaard 12 2 3 3 2 3 2" xfId="8632"/>
    <cellStyle name="Standaard 12 2 3 3 2 3 2 2" xfId="8633"/>
    <cellStyle name="Standaard 12 2 3 3 2 3 3" xfId="8634"/>
    <cellStyle name="Standaard 12 2 3 3 2 4" xfId="8635"/>
    <cellStyle name="Standaard 12 2 3 3 2 4 2" xfId="8636"/>
    <cellStyle name="Standaard 12 2 3 3 2 5" xfId="8637"/>
    <cellStyle name="Standaard 12 2 3 3 2 6" xfId="8638"/>
    <cellStyle name="Standaard 12 2 3 3 3" xfId="8639"/>
    <cellStyle name="Standaard 12 2 3 3 3 2" xfId="8640"/>
    <cellStyle name="Standaard 12 2 3 3 3 2 2" xfId="8641"/>
    <cellStyle name="Standaard 12 2 3 3 3 2 2 2" xfId="8642"/>
    <cellStyle name="Standaard 12 2 3 3 3 2 3" xfId="8643"/>
    <cellStyle name="Standaard 12 2 3 3 3 3" xfId="8644"/>
    <cellStyle name="Standaard 12 2 3 3 3 3 2" xfId="8645"/>
    <cellStyle name="Standaard 12 2 3 3 3 4" xfId="8646"/>
    <cellStyle name="Standaard 12 2 3 3 4" xfId="8647"/>
    <cellStyle name="Standaard 12 2 3 3 4 2" xfId="8648"/>
    <cellStyle name="Standaard 12 2 3 3 4 2 2" xfId="8649"/>
    <cellStyle name="Standaard 12 2 3 3 4 3" xfId="8650"/>
    <cellStyle name="Standaard 12 2 3 3 5" xfId="8651"/>
    <cellStyle name="Standaard 12 2 3 3 5 2" xfId="8652"/>
    <cellStyle name="Standaard 12 2 3 3 6" xfId="8653"/>
    <cellStyle name="Standaard 12 2 3 3 7" xfId="8654"/>
    <cellStyle name="Standaard 12 2 3 4" xfId="8655"/>
    <cellStyle name="Standaard 12 2 3 4 2" xfId="8656"/>
    <cellStyle name="Standaard 12 2 3 4 2 2" xfId="8657"/>
    <cellStyle name="Standaard 12 2 3 4 2 2 2" xfId="8658"/>
    <cellStyle name="Standaard 12 2 3 4 2 2 2 2" xfId="8659"/>
    <cellStyle name="Standaard 12 2 3 4 2 2 3" xfId="8660"/>
    <cellStyle name="Standaard 12 2 3 4 2 3" xfId="8661"/>
    <cellStyle name="Standaard 12 2 3 4 2 3 2" xfId="8662"/>
    <cellStyle name="Standaard 12 2 3 4 2 4" xfId="8663"/>
    <cellStyle name="Standaard 12 2 3 4 3" xfId="8664"/>
    <cellStyle name="Standaard 12 2 3 4 3 2" xfId="8665"/>
    <cellStyle name="Standaard 12 2 3 4 3 2 2" xfId="8666"/>
    <cellStyle name="Standaard 12 2 3 4 3 3" xfId="8667"/>
    <cellStyle name="Standaard 12 2 3 4 4" xfId="8668"/>
    <cellStyle name="Standaard 12 2 3 4 4 2" xfId="8669"/>
    <cellStyle name="Standaard 12 2 3 4 5" xfId="8670"/>
    <cellStyle name="Standaard 12 2 3 4 6" xfId="8671"/>
    <cellStyle name="Standaard 12 2 3 5" xfId="8672"/>
    <cellStyle name="Standaard 12 2 3 5 2" xfId="8673"/>
    <cellStyle name="Standaard 12 2 3 5 2 2" xfId="8674"/>
    <cellStyle name="Standaard 12 2 3 5 2 2 2" xfId="8675"/>
    <cellStyle name="Standaard 12 2 3 5 2 3" xfId="8676"/>
    <cellStyle name="Standaard 12 2 3 5 3" xfId="8677"/>
    <cellStyle name="Standaard 12 2 3 5 3 2" xfId="8678"/>
    <cellStyle name="Standaard 12 2 3 5 4" xfId="8679"/>
    <cellStyle name="Standaard 12 2 3 6" xfId="8680"/>
    <cellStyle name="Standaard 12 2 3 6 2" xfId="8681"/>
    <cellStyle name="Standaard 12 2 3 6 2 2" xfId="8682"/>
    <cellStyle name="Standaard 12 2 3 6 3" xfId="8683"/>
    <cellStyle name="Standaard 12 2 3 7" xfId="8684"/>
    <cellStyle name="Standaard 12 2 3 7 2" xfId="8685"/>
    <cellStyle name="Standaard 12 2 3 8" xfId="8686"/>
    <cellStyle name="Standaard 12 2 3 9" xfId="8687"/>
    <cellStyle name="Standaard 12 2 4" xfId="8688"/>
    <cellStyle name="Standaard 12 2 4 2" xfId="8689"/>
    <cellStyle name="Standaard 12 2 4 2 2" xfId="8690"/>
    <cellStyle name="Standaard 12 2 4 2 2 2" xfId="8691"/>
    <cellStyle name="Standaard 12 2 4 2 2 2 2" xfId="8692"/>
    <cellStyle name="Standaard 12 2 4 2 2 2 2 2" xfId="8693"/>
    <cellStyle name="Standaard 12 2 4 2 2 2 2 2 2" xfId="8694"/>
    <cellStyle name="Standaard 12 2 4 2 2 2 2 3" xfId="8695"/>
    <cellStyle name="Standaard 12 2 4 2 2 2 3" xfId="8696"/>
    <cellStyle name="Standaard 12 2 4 2 2 2 3 2" xfId="8697"/>
    <cellStyle name="Standaard 12 2 4 2 2 2 4" xfId="8698"/>
    <cellStyle name="Standaard 12 2 4 2 2 3" xfId="8699"/>
    <cellStyle name="Standaard 12 2 4 2 2 3 2" xfId="8700"/>
    <cellStyle name="Standaard 12 2 4 2 2 3 2 2" xfId="8701"/>
    <cellStyle name="Standaard 12 2 4 2 2 3 3" xfId="8702"/>
    <cellStyle name="Standaard 12 2 4 2 2 4" xfId="8703"/>
    <cellStyle name="Standaard 12 2 4 2 2 4 2" xfId="8704"/>
    <cellStyle name="Standaard 12 2 4 2 2 5" xfId="8705"/>
    <cellStyle name="Standaard 12 2 4 2 2 6" xfId="8706"/>
    <cellStyle name="Standaard 12 2 4 2 3" xfId="8707"/>
    <cellStyle name="Standaard 12 2 4 2 3 2" xfId="8708"/>
    <cellStyle name="Standaard 12 2 4 2 3 2 2" xfId="8709"/>
    <cellStyle name="Standaard 12 2 4 2 3 2 2 2" xfId="8710"/>
    <cellStyle name="Standaard 12 2 4 2 3 2 3" xfId="8711"/>
    <cellStyle name="Standaard 12 2 4 2 3 3" xfId="8712"/>
    <cellStyle name="Standaard 12 2 4 2 3 3 2" xfId="8713"/>
    <cellStyle name="Standaard 12 2 4 2 3 4" xfId="8714"/>
    <cellStyle name="Standaard 12 2 4 2 4" xfId="8715"/>
    <cellStyle name="Standaard 12 2 4 2 4 2" xfId="8716"/>
    <cellStyle name="Standaard 12 2 4 2 4 2 2" xfId="8717"/>
    <cellStyle name="Standaard 12 2 4 2 4 3" xfId="8718"/>
    <cellStyle name="Standaard 12 2 4 2 5" xfId="8719"/>
    <cellStyle name="Standaard 12 2 4 2 5 2" xfId="8720"/>
    <cellStyle name="Standaard 12 2 4 2 6" xfId="8721"/>
    <cellStyle name="Standaard 12 2 4 2 7" xfId="8722"/>
    <cellStyle name="Standaard 12 2 4 3" xfId="8723"/>
    <cellStyle name="Standaard 12 2 4 3 2" xfId="8724"/>
    <cellStyle name="Standaard 12 2 4 3 2 2" xfId="8725"/>
    <cellStyle name="Standaard 12 2 4 3 2 2 2" xfId="8726"/>
    <cellStyle name="Standaard 12 2 4 3 2 2 2 2" xfId="8727"/>
    <cellStyle name="Standaard 12 2 4 3 2 2 3" xfId="8728"/>
    <cellStyle name="Standaard 12 2 4 3 2 3" xfId="8729"/>
    <cellStyle name="Standaard 12 2 4 3 2 3 2" xfId="8730"/>
    <cellStyle name="Standaard 12 2 4 3 2 4" xfId="8731"/>
    <cellStyle name="Standaard 12 2 4 3 3" xfId="8732"/>
    <cellStyle name="Standaard 12 2 4 3 3 2" xfId="8733"/>
    <cellStyle name="Standaard 12 2 4 3 3 2 2" xfId="8734"/>
    <cellStyle name="Standaard 12 2 4 3 3 3" xfId="8735"/>
    <cellStyle name="Standaard 12 2 4 3 4" xfId="8736"/>
    <cellStyle name="Standaard 12 2 4 3 4 2" xfId="8737"/>
    <cellStyle name="Standaard 12 2 4 3 5" xfId="8738"/>
    <cellStyle name="Standaard 12 2 4 3 6" xfId="8739"/>
    <cellStyle name="Standaard 12 2 4 4" xfId="8740"/>
    <cellStyle name="Standaard 12 2 4 4 2" xfId="8741"/>
    <cellStyle name="Standaard 12 2 4 4 2 2" xfId="8742"/>
    <cellStyle name="Standaard 12 2 4 4 2 2 2" xfId="8743"/>
    <cellStyle name="Standaard 12 2 4 4 2 3" xfId="8744"/>
    <cellStyle name="Standaard 12 2 4 4 3" xfId="8745"/>
    <cellStyle name="Standaard 12 2 4 4 3 2" xfId="8746"/>
    <cellStyle name="Standaard 12 2 4 4 4" xfId="8747"/>
    <cellStyle name="Standaard 12 2 4 5" xfId="8748"/>
    <cellStyle name="Standaard 12 2 4 5 2" xfId="8749"/>
    <cellStyle name="Standaard 12 2 4 5 2 2" xfId="8750"/>
    <cellStyle name="Standaard 12 2 4 5 3" xfId="8751"/>
    <cellStyle name="Standaard 12 2 4 6" xfId="8752"/>
    <cellStyle name="Standaard 12 2 4 6 2" xfId="8753"/>
    <cellStyle name="Standaard 12 2 4 7" xfId="8754"/>
    <cellStyle name="Standaard 12 2 4 8" xfId="8755"/>
    <cellStyle name="Standaard 12 2 5" xfId="8756"/>
    <cellStyle name="Standaard 12 2 5 2" xfId="8757"/>
    <cellStyle name="Standaard 12 2 5 2 2" xfId="8758"/>
    <cellStyle name="Standaard 12 2 5 2 2 2" xfId="8759"/>
    <cellStyle name="Standaard 12 2 5 2 2 2 2" xfId="8760"/>
    <cellStyle name="Standaard 12 2 5 2 2 2 2 2" xfId="8761"/>
    <cellStyle name="Standaard 12 2 5 2 2 2 2 2 2" xfId="8762"/>
    <cellStyle name="Standaard 12 2 5 2 2 2 2 3" xfId="8763"/>
    <cellStyle name="Standaard 12 2 5 2 2 2 3" xfId="8764"/>
    <cellStyle name="Standaard 12 2 5 2 2 2 3 2" xfId="8765"/>
    <cellStyle name="Standaard 12 2 5 2 2 2 4" xfId="8766"/>
    <cellStyle name="Standaard 12 2 5 2 2 3" xfId="8767"/>
    <cellStyle name="Standaard 12 2 5 2 2 3 2" xfId="8768"/>
    <cellStyle name="Standaard 12 2 5 2 2 3 2 2" xfId="8769"/>
    <cellStyle name="Standaard 12 2 5 2 2 3 3" xfId="8770"/>
    <cellStyle name="Standaard 12 2 5 2 2 4" xfId="8771"/>
    <cellStyle name="Standaard 12 2 5 2 2 4 2" xfId="8772"/>
    <cellStyle name="Standaard 12 2 5 2 2 5" xfId="8773"/>
    <cellStyle name="Standaard 12 2 5 2 2 6" xfId="8774"/>
    <cellStyle name="Standaard 12 2 5 2 3" xfId="8775"/>
    <cellStyle name="Standaard 12 2 5 2 3 2" xfId="8776"/>
    <cellStyle name="Standaard 12 2 5 2 3 2 2" xfId="8777"/>
    <cellStyle name="Standaard 12 2 5 2 3 2 2 2" xfId="8778"/>
    <cellStyle name="Standaard 12 2 5 2 3 2 3" xfId="8779"/>
    <cellStyle name="Standaard 12 2 5 2 3 3" xfId="8780"/>
    <cellStyle name="Standaard 12 2 5 2 3 3 2" xfId="8781"/>
    <cellStyle name="Standaard 12 2 5 2 3 4" xfId="8782"/>
    <cellStyle name="Standaard 12 2 5 2 4" xfId="8783"/>
    <cellStyle name="Standaard 12 2 5 2 4 2" xfId="8784"/>
    <cellStyle name="Standaard 12 2 5 2 4 2 2" xfId="8785"/>
    <cellStyle name="Standaard 12 2 5 2 4 3" xfId="8786"/>
    <cellStyle name="Standaard 12 2 5 2 5" xfId="8787"/>
    <cellStyle name="Standaard 12 2 5 2 5 2" xfId="8788"/>
    <cellStyle name="Standaard 12 2 5 2 6" xfId="8789"/>
    <cellStyle name="Standaard 12 2 5 2 7" xfId="8790"/>
    <cellStyle name="Standaard 12 2 5 3" xfId="8791"/>
    <cellStyle name="Standaard 12 2 5 3 2" xfId="8792"/>
    <cellStyle name="Standaard 12 2 5 3 2 2" xfId="8793"/>
    <cellStyle name="Standaard 12 2 5 3 2 2 2" xfId="8794"/>
    <cellStyle name="Standaard 12 2 5 3 2 2 2 2" xfId="8795"/>
    <cellStyle name="Standaard 12 2 5 3 2 2 3" xfId="8796"/>
    <cellStyle name="Standaard 12 2 5 3 2 3" xfId="8797"/>
    <cellStyle name="Standaard 12 2 5 3 2 3 2" xfId="8798"/>
    <cellStyle name="Standaard 12 2 5 3 2 4" xfId="8799"/>
    <cellStyle name="Standaard 12 2 5 3 3" xfId="8800"/>
    <cellStyle name="Standaard 12 2 5 3 3 2" xfId="8801"/>
    <cellStyle name="Standaard 12 2 5 3 3 2 2" xfId="8802"/>
    <cellStyle name="Standaard 12 2 5 3 3 3" xfId="8803"/>
    <cellStyle name="Standaard 12 2 5 3 4" xfId="8804"/>
    <cellStyle name="Standaard 12 2 5 3 4 2" xfId="8805"/>
    <cellStyle name="Standaard 12 2 5 3 5" xfId="8806"/>
    <cellStyle name="Standaard 12 2 5 3 6" xfId="8807"/>
    <cellStyle name="Standaard 12 2 5 4" xfId="8808"/>
    <cellStyle name="Standaard 12 2 5 4 2" xfId="8809"/>
    <cellStyle name="Standaard 12 2 5 4 2 2" xfId="8810"/>
    <cellStyle name="Standaard 12 2 5 4 2 2 2" xfId="8811"/>
    <cellStyle name="Standaard 12 2 5 4 2 3" xfId="8812"/>
    <cellStyle name="Standaard 12 2 5 4 3" xfId="8813"/>
    <cellStyle name="Standaard 12 2 5 4 3 2" xfId="8814"/>
    <cellStyle name="Standaard 12 2 5 4 4" xfId="8815"/>
    <cellStyle name="Standaard 12 2 5 5" xfId="8816"/>
    <cellStyle name="Standaard 12 2 5 5 2" xfId="8817"/>
    <cellStyle name="Standaard 12 2 5 5 2 2" xfId="8818"/>
    <cellStyle name="Standaard 12 2 5 5 3" xfId="8819"/>
    <cellStyle name="Standaard 12 2 5 6" xfId="8820"/>
    <cellStyle name="Standaard 12 2 5 6 2" xfId="8821"/>
    <cellStyle name="Standaard 12 2 5 7" xfId="8822"/>
    <cellStyle name="Standaard 12 2 5 8" xfId="8823"/>
    <cellStyle name="Standaard 12 2 6" xfId="8824"/>
    <cellStyle name="Standaard 12 2 6 2" xfId="8825"/>
    <cellStyle name="Standaard 12 2 6 2 2" xfId="8826"/>
    <cellStyle name="Standaard 12 2 6 2 2 2" xfId="8827"/>
    <cellStyle name="Standaard 12 2 6 2 2 2 2" xfId="8828"/>
    <cellStyle name="Standaard 12 2 6 2 2 2 2 2" xfId="8829"/>
    <cellStyle name="Standaard 12 2 6 2 2 2 3" xfId="8830"/>
    <cellStyle name="Standaard 12 2 6 2 2 3" xfId="8831"/>
    <cellStyle name="Standaard 12 2 6 2 2 3 2" xfId="8832"/>
    <cellStyle name="Standaard 12 2 6 2 2 4" xfId="8833"/>
    <cellStyle name="Standaard 12 2 6 2 3" xfId="8834"/>
    <cellStyle name="Standaard 12 2 6 2 3 2" xfId="8835"/>
    <cellStyle name="Standaard 12 2 6 2 3 2 2" xfId="8836"/>
    <cellStyle name="Standaard 12 2 6 2 3 3" xfId="8837"/>
    <cellStyle name="Standaard 12 2 6 2 4" xfId="8838"/>
    <cellStyle name="Standaard 12 2 6 2 4 2" xfId="8839"/>
    <cellStyle name="Standaard 12 2 6 2 5" xfId="8840"/>
    <cellStyle name="Standaard 12 2 6 2 6" xfId="8841"/>
    <cellStyle name="Standaard 12 2 6 3" xfId="8842"/>
    <cellStyle name="Standaard 12 2 6 3 2" xfId="8843"/>
    <cellStyle name="Standaard 12 2 6 3 2 2" xfId="8844"/>
    <cellStyle name="Standaard 12 2 6 3 2 2 2" xfId="8845"/>
    <cellStyle name="Standaard 12 2 6 3 2 3" xfId="8846"/>
    <cellStyle name="Standaard 12 2 6 3 3" xfId="8847"/>
    <cellStyle name="Standaard 12 2 6 3 3 2" xfId="8848"/>
    <cellStyle name="Standaard 12 2 6 3 4" xfId="8849"/>
    <cellStyle name="Standaard 12 2 6 4" xfId="8850"/>
    <cellStyle name="Standaard 12 2 6 4 2" xfId="8851"/>
    <cellStyle name="Standaard 12 2 6 4 2 2" xfId="8852"/>
    <cellStyle name="Standaard 12 2 6 4 3" xfId="8853"/>
    <cellStyle name="Standaard 12 2 6 5" xfId="8854"/>
    <cellStyle name="Standaard 12 2 6 5 2" xfId="8855"/>
    <cellStyle name="Standaard 12 2 6 6" xfId="8856"/>
    <cellStyle name="Standaard 12 2 6 7" xfId="8857"/>
    <cellStyle name="Standaard 12 2 7" xfId="8858"/>
    <cellStyle name="Standaard 12 2 7 2" xfId="8859"/>
    <cellStyle name="Standaard 12 2 7 2 2" xfId="8860"/>
    <cellStyle name="Standaard 12 2 7 2 2 2" xfId="8861"/>
    <cellStyle name="Standaard 12 2 7 2 2 2 2" xfId="8862"/>
    <cellStyle name="Standaard 12 2 7 2 2 3" xfId="8863"/>
    <cellStyle name="Standaard 12 2 7 2 3" xfId="8864"/>
    <cellStyle name="Standaard 12 2 7 2 3 2" xfId="8865"/>
    <cellStyle name="Standaard 12 2 7 2 4" xfId="8866"/>
    <cellStyle name="Standaard 12 2 7 3" xfId="8867"/>
    <cellStyle name="Standaard 12 2 7 3 2" xfId="8868"/>
    <cellStyle name="Standaard 12 2 7 3 2 2" xfId="8869"/>
    <cellStyle name="Standaard 12 2 7 3 3" xfId="8870"/>
    <cellStyle name="Standaard 12 2 7 4" xfId="8871"/>
    <cellStyle name="Standaard 12 2 7 4 2" xfId="8872"/>
    <cellStyle name="Standaard 12 2 7 5" xfId="8873"/>
    <cellStyle name="Standaard 12 2 7 6" xfId="8874"/>
    <cellStyle name="Standaard 12 2 8" xfId="8875"/>
    <cellStyle name="Standaard 12 2 8 2" xfId="8876"/>
    <cellStyle name="Standaard 12 2 8 2 2" xfId="8877"/>
    <cellStyle name="Standaard 12 2 8 2 2 2" xfId="8878"/>
    <cellStyle name="Standaard 12 2 8 2 3" xfId="8879"/>
    <cellStyle name="Standaard 12 2 8 3" xfId="8880"/>
    <cellStyle name="Standaard 12 2 8 3 2" xfId="8881"/>
    <cellStyle name="Standaard 12 2 8 4" xfId="8882"/>
    <cellStyle name="Standaard 12 2 9" xfId="8883"/>
    <cellStyle name="Standaard 12 2 9 2" xfId="8884"/>
    <cellStyle name="Standaard 12 2 9 2 2" xfId="8885"/>
    <cellStyle name="Standaard 12 2 9 3" xfId="8886"/>
    <cellStyle name="Standaard 12 3" xfId="8887"/>
    <cellStyle name="Standaard 12 3 10" xfId="8888"/>
    <cellStyle name="Standaard 12 3 11" xfId="8889"/>
    <cellStyle name="Standaard 12 3 2" xfId="8890"/>
    <cellStyle name="Standaard 12 3 2 2" xfId="8891"/>
    <cellStyle name="Standaard 12 3 2 2 2" xfId="8892"/>
    <cellStyle name="Standaard 12 3 2 2 2 2" xfId="8893"/>
    <cellStyle name="Standaard 12 3 2 2 2 2 2" xfId="8894"/>
    <cellStyle name="Standaard 12 3 2 2 2 2 2 2" xfId="8895"/>
    <cellStyle name="Standaard 12 3 2 2 2 2 2 2 2" xfId="8896"/>
    <cellStyle name="Standaard 12 3 2 2 2 2 2 2 2 2" xfId="8897"/>
    <cellStyle name="Standaard 12 3 2 2 2 2 2 2 3" xfId="8898"/>
    <cellStyle name="Standaard 12 3 2 2 2 2 2 3" xfId="8899"/>
    <cellStyle name="Standaard 12 3 2 2 2 2 2 3 2" xfId="8900"/>
    <cellStyle name="Standaard 12 3 2 2 2 2 2 4" xfId="8901"/>
    <cellStyle name="Standaard 12 3 2 2 2 2 3" xfId="8902"/>
    <cellStyle name="Standaard 12 3 2 2 2 2 3 2" xfId="8903"/>
    <cellStyle name="Standaard 12 3 2 2 2 2 3 2 2" xfId="8904"/>
    <cellStyle name="Standaard 12 3 2 2 2 2 3 3" xfId="8905"/>
    <cellStyle name="Standaard 12 3 2 2 2 2 4" xfId="8906"/>
    <cellStyle name="Standaard 12 3 2 2 2 2 4 2" xfId="8907"/>
    <cellStyle name="Standaard 12 3 2 2 2 2 5" xfId="8908"/>
    <cellStyle name="Standaard 12 3 2 2 2 2 6" xfId="8909"/>
    <cellStyle name="Standaard 12 3 2 2 2 3" xfId="8910"/>
    <cellStyle name="Standaard 12 3 2 2 2 3 2" xfId="8911"/>
    <cellStyle name="Standaard 12 3 2 2 2 3 2 2" xfId="8912"/>
    <cellStyle name="Standaard 12 3 2 2 2 3 2 2 2" xfId="8913"/>
    <cellStyle name="Standaard 12 3 2 2 2 3 2 3" xfId="8914"/>
    <cellStyle name="Standaard 12 3 2 2 2 3 3" xfId="8915"/>
    <cellStyle name="Standaard 12 3 2 2 2 3 3 2" xfId="8916"/>
    <cellStyle name="Standaard 12 3 2 2 2 3 4" xfId="8917"/>
    <cellStyle name="Standaard 12 3 2 2 2 4" xfId="8918"/>
    <cellStyle name="Standaard 12 3 2 2 2 4 2" xfId="8919"/>
    <cellStyle name="Standaard 12 3 2 2 2 4 2 2" xfId="8920"/>
    <cellStyle name="Standaard 12 3 2 2 2 4 3" xfId="8921"/>
    <cellStyle name="Standaard 12 3 2 2 2 5" xfId="8922"/>
    <cellStyle name="Standaard 12 3 2 2 2 5 2" xfId="8923"/>
    <cellStyle name="Standaard 12 3 2 2 2 6" xfId="8924"/>
    <cellStyle name="Standaard 12 3 2 2 2 7" xfId="8925"/>
    <cellStyle name="Standaard 12 3 2 2 3" xfId="8926"/>
    <cellStyle name="Standaard 12 3 2 2 3 2" xfId="8927"/>
    <cellStyle name="Standaard 12 3 2 2 3 2 2" xfId="8928"/>
    <cellStyle name="Standaard 12 3 2 2 3 2 2 2" xfId="8929"/>
    <cellStyle name="Standaard 12 3 2 2 3 2 2 2 2" xfId="8930"/>
    <cellStyle name="Standaard 12 3 2 2 3 2 2 3" xfId="8931"/>
    <cellStyle name="Standaard 12 3 2 2 3 2 3" xfId="8932"/>
    <cellStyle name="Standaard 12 3 2 2 3 2 3 2" xfId="8933"/>
    <cellStyle name="Standaard 12 3 2 2 3 2 4" xfId="8934"/>
    <cellStyle name="Standaard 12 3 2 2 3 3" xfId="8935"/>
    <cellStyle name="Standaard 12 3 2 2 3 3 2" xfId="8936"/>
    <cellStyle name="Standaard 12 3 2 2 3 3 2 2" xfId="8937"/>
    <cellStyle name="Standaard 12 3 2 2 3 3 3" xfId="8938"/>
    <cellStyle name="Standaard 12 3 2 2 3 4" xfId="8939"/>
    <cellStyle name="Standaard 12 3 2 2 3 4 2" xfId="8940"/>
    <cellStyle name="Standaard 12 3 2 2 3 5" xfId="8941"/>
    <cellStyle name="Standaard 12 3 2 2 3 6" xfId="8942"/>
    <cellStyle name="Standaard 12 3 2 2 4" xfId="8943"/>
    <cellStyle name="Standaard 12 3 2 2 4 2" xfId="8944"/>
    <cellStyle name="Standaard 12 3 2 2 4 2 2" xfId="8945"/>
    <cellStyle name="Standaard 12 3 2 2 4 2 2 2" xfId="8946"/>
    <cellStyle name="Standaard 12 3 2 2 4 2 3" xfId="8947"/>
    <cellStyle name="Standaard 12 3 2 2 4 3" xfId="8948"/>
    <cellStyle name="Standaard 12 3 2 2 4 3 2" xfId="8949"/>
    <cellStyle name="Standaard 12 3 2 2 4 4" xfId="8950"/>
    <cellStyle name="Standaard 12 3 2 2 5" xfId="8951"/>
    <cellStyle name="Standaard 12 3 2 2 5 2" xfId="8952"/>
    <cellStyle name="Standaard 12 3 2 2 5 2 2" xfId="8953"/>
    <cellStyle name="Standaard 12 3 2 2 5 3" xfId="8954"/>
    <cellStyle name="Standaard 12 3 2 2 6" xfId="8955"/>
    <cellStyle name="Standaard 12 3 2 2 6 2" xfId="8956"/>
    <cellStyle name="Standaard 12 3 2 2 7" xfId="8957"/>
    <cellStyle name="Standaard 12 3 2 2 8" xfId="8958"/>
    <cellStyle name="Standaard 12 3 2 3" xfId="8959"/>
    <cellStyle name="Standaard 12 3 2 3 2" xfId="8960"/>
    <cellStyle name="Standaard 12 3 2 3 2 2" xfId="8961"/>
    <cellStyle name="Standaard 12 3 2 3 2 2 2" xfId="8962"/>
    <cellStyle name="Standaard 12 3 2 3 2 2 2 2" xfId="8963"/>
    <cellStyle name="Standaard 12 3 2 3 2 2 2 2 2" xfId="8964"/>
    <cellStyle name="Standaard 12 3 2 3 2 2 2 3" xfId="8965"/>
    <cellStyle name="Standaard 12 3 2 3 2 2 3" xfId="8966"/>
    <cellStyle name="Standaard 12 3 2 3 2 2 3 2" xfId="8967"/>
    <cellStyle name="Standaard 12 3 2 3 2 2 4" xfId="8968"/>
    <cellStyle name="Standaard 12 3 2 3 2 3" xfId="8969"/>
    <cellStyle name="Standaard 12 3 2 3 2 3 2" xfId="8970"/>
    <cellStyle name="Standaard 12 3 2 3 2 3 2 2" xfId="8971"/>
    <cellStyle name="Standaard 12 3 2 3 2 3 3" xfId="8972"/>
    <cellStyle name="Standaard 12 3 2 3 2 4" xfId="8973"/>
    <cellStyle name="Standaard 12 3 2 3 2 4 2" xfId="8974"/>
    <cellStyle name="Standaard 12 3 2 3 2 5" xfId="8975"/>
    <cellStyle name="Standaard 12 3 2 3 2 6" xfId="8976"/>
    <cellStyle name="Standaard 12 3 2 3 3" xfId="8977"/>
    <cellStyle name="Standaard 12 3 2 3 3 2" xfId="8978"/>
    <cellStyle name="Standaard 12 3 2 3 3 2 2" xfId="8979"/>
    <cellStyle name="Standaard 12 3 2 3 3 2 2 2" xfId="8980"/>
    <cellStyle name="Standaard 12 3 2 3 3 2 3" xfId="8981"/>
    <cellStyle name="Standaard 12 3 2 3 3 3" xfId="8982"/>
    <cellStyle name="Standaard 12 3 2 3 3 3 2" xfId="8983"/>
    <cellStyle name="Standaard 12 3 2 3 3 4" xfId="8984"/>
    <cellStyle name="Standaard 12 3 2 3 4" xfId="8985"/>
    <cellStyle name="Standaard 12 3 2 3 4 2" xfId="8986"/>
    <cellStyle name="Standaard 12 3 2 3 4 2 2" xfId="8987"/>
    <cellStyle name="Standaard 12 3 2 3 4 3" xfId="8988"/>
    <cellStyle name="Standaard 12 3 2 3 5" xfId="8989"/>
    <cellStyle name="Standaard 12 3 2 3 5 2" xfId="8990"/>
    <cellStyle name="Standaard 12 3 2 3 6" xfId="8991"/>
    <cellStyle name="Standaard 12 3 2 3 7" xfId="8992"/>
    <cellStyle name="Standaard 12 3 2 4" xfId="8993"/>
    <cellStyle name="Standaard 12 3 2 4 2" xfId="8994"/>
    <cellStyle name="Standaard 12 3 2 4 2 2" xfId="8995"/>
    <cellStyle name="Standaard 12 3 2 4 2 2 2" xfId="8996"/>
    <cellStyle name="Standaard 12 3 2 4 2 2 2 2" xfId="8997"/>
    <cellStyle name="Standaard 12 3 2 4 2 2 3" xfId="8998"/>
    <cellStyle name="Standaard 12 3 2 4 2 3" xfId="8999"/>
    <cellStyle name="Standaard 12 3 2 4 2 3 2" xfId="9000"/>
    <cellStyle name="Standaard 12 3 2 4 2 4" xfId="9001"/>
    <cellStyle name="Standaard 12 3 2 4 3" xfId="9002"/>
    <cellStyle name="Standaard 12 3 2 4 3 2" xfId="9003"/>
    <cellStyle name="Standaard 12 3 2 4 3 2 2" xfId="9004"/>
    <cellStyle name="Standaard 12 3 2 4 3 3" xfId="9005"/>
    <cellStyle name="Standaard 12 3 2 4 4" xfId="9006"/>
    <cellStyle name="Standaard 12 3 2 4 4 2" xfId="9007"/>
    <cellStyle name="Standaard 12 3 2 4 5" xfId="9008"/>
    <cellStyle name="Standaard 12 3 2 4 6" xfId="9009"/>
    <cellStyle name="Standaard 12 3 2 5" xfId="9010"/>
    <cellStyle name="Standaard 12 3 2 5 2" xfId="9011"/>
    <cellStyle name="Standaard 12 3 2 5 2 2" xfId="9012"/>
    <cellStyle name="Standaard 12 3 2 5 2 2 2" xfId="9013"/>
    <cellStyle name="Standaard 12 3 2 5 2 3" xfId="9014"/>
    <cellStyle name="Standaard 12 3 2 5 3" xfId="9015"/>
    <cellStyle name="Standaard 12 3 2 5 3 2" xfId="9016"/>
    <cellStyle name="Standaard 12 3 2 5 4" xfId="9017"/>
    <cellStyle name="Standaard 12 3 2 6" xfId="9018"/>
    <cellStyle name="Standaard 12 3 2 6 2" xfId="9019"/>
    <cellStyle name="Standaard 12 3 2 6 2 2" xfId="9020"/>
    <cellStyle name="Standaard 12 3 2 6 3" xfId="9021"/>
    <cellStyle name="Standaard 12 3 2 7" xfId="9022"/>
    <cellStyle name="Standaard 12 3 2 7 2" xfId="9023"/>
    <cellStyle name="Standaard 12 3 2 8" xfId="9024"/>
    <cellStyle name="Standaard 12 3 2 9" xfId="9025"/>
    <cellStyle name="Standaard 12 3 3" xfId="9026"/>
    <cellStyle name="Standaard 12 3 3 2" xfId="9027"/>
    <cellStyle name="Standaard 12 3 3 2 2" xfId="9028"/>
    <cellStyle name="Standaard 12 3 3 2 2 2" xfId="9029"/>
    <cellStyle name="Standaard 12 3 3 2 2 2 2" xfId="9030"/>
    <cellStyle name="Standaard 12 3 3 2 2 2 2 2" xfId="9031"/>
    <cellStyle name="Standaard 12 3 3 2 2 2 2 2 2" xfId="9032"/>
    <cellStyle name="Standaard 12 3 3 2 2 2 2 3" xfId="9033"/>
    <cellStyle name="Standaard 12 3 3 2 2 2 3" xfId="9034"/>
    <cellStyle name="Standaard 12 3 3 2 2 2 3 2" xfId="9035"/>
    <cellStyle name="Standaard 12 3 3 2 2 2 4" xfId="9036"/>
    <cellStyle name="Standaard 12 3 3 2 2 3" xfId="9037"/>
    <cellStyle name="Standaard 12 3 3 2 2 3 2" xfId="9038"/>
    <cellStyle name="Standaard 12 3 3 2 2 3 2 2" xfId="9039"/>
    <cellStyle name="Standaard 12 3 3 2 2 3 3" xfId="9040"/>
    <cellStyle name="Standaard 12 3 3 2 2 4" xfId="9041"/>
    <cellStyle name="Standaard 12 3 3 2 2 4 2" xfId="9042"/>
    <cellStyle name="Standaard 12 3 3 2 2 5" xfId="9043"/>
    <cellStyle name="Standaard 12 3 3 2 2 6" xfId="9044"/>
    <cellStyle name="Standaard 12 3 3 2 3" xfId="9045"/>
    <cellStyle name="Standaard 12 3 3 2 3 2" xfId="9046"/>
    <cellStyle name="Standaard 12 3 3 2 3 2 2" xfId="9047"/>
    <cellStyle name="Standaard 12 3 3 2 3 2 2 2" xfId="9048"/>
    <cellStyle name="Standaard 12 3 3 2 3 2 3" xfId="9049"/>
    <cellStyle name="Standaard 12 3 3 2 3 3" xfId="9050"/>
    <cellStyle name="Standaard 12 3 3 2 3 3 2" xfId="9051"/>
    <cellStyle name="Standaard 12 3 3 2 3 4" xfId="9052"/>
    <cellStyle name="Standaard 12 3 3 2 4" xfId="9053"/>
    <cellStyle name="Standaard 12 3 3 2 4 2" xfId="9054"/>
    <cellStyle name="Standaard 12 3 3 2 4 2 2" xfId="9055"/>
    <cellStyle name="Standaard 12 3 3 2 4 3" xfId="9056"/>
    <cellStyle name="Standaard 12 3 3 2 5" xfId="9057"/>
    <cellStyle name="Standaard 12 3 3 2 5 2" xfId="9058"/>
    <cellStyle name="Standaard 12 3 3 2 6" xfId="9059"/>
    <cellStyle name="Standaard 12 3 3 2 7" xfId="9060"/>
    <cellStyle name="Standaard 12 3 3 3" xfId="9061"/>
    <cellStyle name="Standaard 12 3 3 3 2" xfId="9062"/>
    <cellStyle name="Standaard 12 3 3 3 2 2" xfId="9063"/>
    <cellStyle name="Standaard 12 3 3 3 2 2 2" xfId="9064"/>
    <cellStyle name="Standaard 12 3 3 3 2 2 2 2" xfId="9065"/>
    <cellStyle name="Standaard 12 3 3 3 2 2 3" xfId="9066"/>
    <cellStyle name="Standaard 12 3 3 3 2 3" xfId="9067"/>
    <cellStyle name="Standaard 12 3 3 3 2 3 2" xfId="9068"/>
    <cellStyle name="Standaard 12 3 3 3 2 4" xfId="9069"/>
    <cellStyle name="Standaard 12 3 3 3 3" xfId="9070"/>
    <cellStyle name="Standaard 12 3 3 3 3 2" xfId="9071"/>
    <cellStyle name="Standaard 12 3 3 3 3 2 2" xfId="9072"/>
    <cellStyle name="Standaard 12 3 3 3 3 3" xfId="9073"/>
    <cellStyle name="Standaard 12 3 3 3 4" xfId="9074"/>
    <cellStyle name="Standaard 12 3 3 3 4 2" xfId="9075"/>
    <cellStyle name="Standaard 12 3 3 3 5" xfId="9076"/>
    <cellStyle name="Standaard 12 3 3 3 6" xfId="9077"/>
    <cellStyle name="Standaard 12 3 3 4" xfId="9078"/>
    <cellStyle name="Standaard 12 3 3 4 2" xfId="9079"/>
    <cellStyle name="Standaard 12 3 3 4 2 2" xfId="9080"/>
    <cellStyle name="Standaard 12 3 3 4 2 2 2" xfId="9081"/>
    <cellStyle name="Standaard 12 3 3 4 2 3" xfId="9082"/>
    <cellStyle name="Standaard 12 3 3 4 3" xfId="9083"/>
    <cellStyle name="Standaard 12 3 3 4 3 2" xfId="9084"/>
    <cellStyle name="Standaard 12 3 3 4 4" xfId="9085"/>
    <cellStyle name="Standaard 12 3 3 5" xfId="9086"/>
    <cellStyle name="Standaard 12 3 3 5 2" xfId="9087"/>
    <cellStyle name="Standaard 12 3 3 5 2 2" xfId="9088"/>
    <cellStyle name="Standaard 12 3 3 5 3" xfId="9089"/>
    <cellStyle name="Standaard 12 3 3 6" xfId="9090"/>
    <cellStyle name="Standaard 12 3 3 6 2" xfId="9091"/>
    <cellStyle name="Standaard 12 3 3 7" xfId="9092"/>
    <cellStyle name="Standaard 12 3 3 8" xfId="9093"/>
    <cellStyle name="Standaard 12 3 4" xfId="9094"/>
    <cellStyle name="Standaard 12 3 4 2" xfId="9095"/>
    <cellStyle name="Standaard 12 3 4 2 2" xfId="9096"/>
    <cellStyle name="Standaard 12 3 4 2 2 2" xfId="9097"/>
    <cellStyle name="Standaard 12 3 4 2 2 2 2" xfId="9098"/>
    <cellStyle name="Standaard 12 3 4 2 2 2 2 2" xfId="9099"/>
    <cellStyle name="Standaard 12 3 4 2 2 2 2 2 2" xfId="9100"/>
    <cellStyle name="Standaard 12 3 4 2 2 2 2 3" xfId="9101"/>
    <cellStyle name="Standaard 12 3 4 2 2 2 3" xfId="9102"/>
    <cellStyle name="Standaard 12 3 4 2 2 2 3 2" xfId="9103"/>
    <cellStyle name="Standaard 12 3 4 2 2 2 4" xfId="9104"/>
    <cellStyle name="Standaard 12 3 4 2 2 3" xfId="9105"/>
    <cellStyle name="Standaard 12 3 4 2 2 3 2" xfId="9106"/>
    <cellStyle name="Standaard 12 3 4 2 2 3 2 2" xfId="9107"/>
    <cellStyle name="Standaard 12 3 4 2 2 3 3" xfId="9108"/>
    <cellStyle name="Standaard 12 3 4 2 2 4" xfId="9109"/>
    <cellStyle name="Standaard 12 3 4 2 2 4 2" xfId="9110"/>
    <cellStyle name="Standaard 12 3 4 2 2 5" xfId="9111"/>
    <cellStyle name="Standaard 12 3 4 2 2 6" xfId="9112"/>
    <cellStyle name="Standaard 12 3 4 2 3" xfId="9113"/>
    <cellStyle name="Standaard 12 3 4 2 3 2" xfId="9114"/>
    <cellStyle name="Standaard 12 3 4 2 3 2 2" xfId="9115"/>
    <cellStyle name="Standaard 12 3 4 2 3 2 2 2" xfId="9116"/>
    <cellStyle name="Standaard 12 3 4 2 3 2 3" xfId="9117"/>
    <cellStyle name="Standaard 12 3 4 2 3 3" xfId="9118"/>
    <cellStyle name="Standaard 12 3 4 2 3 3 2" xfId="9119"/>
    <cellStyle name="Standaard 12 3 4 2 3 4" xfId="9120"/>
    <cellStyle name="Standaard 12 3 4 2 4" xfId="9121"/>
    <cellStyle name="Standaard 12 3 4 2 4 2" xfId="9122"/>
    <cellStyle name="Standaard 12 3 4 2 4 2 2" xfId="9123"/>
    <cellStyle name="Standaard 12 3 4 2 4 3" xfId="9124"/>
    <cellStyle name="Standaard 12 3 4 2 5" xfId="9125"/>
    <cellStyle name="Standaard 12 3 4 2 5 2" xfId="9126"/>
    <cellStyle name="Standaard 12 3 4 2 6" xfId="9127"/>
    <cellStyle name="Standaard 12 3 4 2 7" xfId="9128"/>
    <cellStyle name="Standaard 12 3 4 3" xfId="9129"/>
    <cellStyle name="Standaard 12 3 4 3 2" xfId="9130"/>
    <cellStyle name="Standaard 12 3 4 3 2 2" xfId="9131"/>
    <cellStyle name="Standaard 12 3 4 3 2 2 2" xfId="9132"/>
    <cellStyle name="Standaard 12 3 4 3 2 2 2 2" xfId="9133"/>
    <cellStyle name="Standaard 12 3 4 3 2 2 3" xfId="9134"/>
    <cellStyle name="Standaard 12 3 4 3 2 3" xfId="9135"/>
    <cellStyle name="Standaard 12 3 4 3 2 3 2" xfId="9136"/>
    <cellStyle name="Standaard 12 3 4 3 2 4" xfId="9137"/>
    <cellStyle name="Standaard 12 3 4 3 3" xfId="9138"/>
    <cellStyle name="Standaard 12 3 4 3 3 2" xfId="9139"/>
    <cellStyle name="Standaard 12 3 4 3 3 2 2" xfId="9140"/>
    <cellStyle name="Standaard 12 3 4 3 3 3" xfId="9141"/>
    <cellStyle name="Standaard 12 3 4 3 4" xfId="9142"/>
    <cellStyle name="Standaard 12 3 4 3 4 2" xfId="9143"/>
    <cellStyle name="Standaard 12 3 4 3 5" xfId="9144"/>
    <cellStyle name="Standaard 12 3 4 3 6" xfId="9145"/>
    <cellStyle name="Standaard 12 3 4 4" xfId="9146"/>
    <cellStyle name="Standaard 12 3 4 4 2" xfId="9147"/>
    <cellStyle name="Standaard 12 3 4 4 2 2" xfId="9148"/>
    <cellStyle name="Standaard 12 3 4 4 2 2 2" xfId="9149"/>
    <cellStyle name="Standaard 12 3 4 4 2 3" xfId="9150"/>
    <cellStyle name="Standaard 12 3 4 4 3" xfId="9151"/>
    <cellStyle name="Standaard 12 3 4 4 3 2" xfId="9152"/>
    <cellStyle name="Standaard 12 3 4 4 4" xfId="9153"/>
    <cellStyle name="Standaard 12 3 4 5" xfId="9154"/>
    <cellStyle name="Standaard 12 3 4 5 2" xfId="9155"/>
    <cellStyle name="Standaard 12 3 4 5 2 2" xfId="9156"/>
    <cellStyle name="Standaard 12 3 4 5 3" xfId="9157"/>
    <cellStyle name="Standaard 12 3 4 6" xfId="9158"/>
    <cellStyle name="Standaard 12 3 4 6 2" xfId="9159"/>
    <cellStyle name="Standaard 12 3 4 7" xfId="9160"/>
    <cellStyle name="Standaard 12 3 4 8" xfId="9161"/>
    <cellStyle name="Standaard 12 3 5" xfId="9162"/>
    <cellStyle name="Standaard 12 3 5 2" xfId="9163"/>
    <cellStyle name="Standaard 12 3 5 2 2" xfId="9164"/>
    <cellStyle name="Standaard 12 3 5 2 2 2" xfId="9165"/>
    <cellStyle name="Standaard 12 3 5 2 2 2 2" xfId="9166"/>
    <cellStyle name="Standaard 12 3 5 2 2 2 2 2" xfId="9167"/>
    <cellStyle name="Standaard 12 3 5 2 2 2 3" xfId="9168"/>
    <cellStyle name="Standaard 12 3 5 2 2 3" xfId="9169"/>
    <cellStyle name="Standaard 12 3 5 2 2 3 2" xfId="9170"/>
    <cellStyle name="Standaard 12 3 5 2 2 4" xfId="9171"/>
    <cellStyle name="Standaard 12 3 5 2 3" xfId="9172"/>
    <cellStyle name="Standaard 12 3 5 2 3 2" xfId="9173"/>
    <cellStyle name="Standaard 12 3 5 2 3 2 2" xfId="9174"/>
    <cellStyle name="Standaard 12 3 5 2 3 3" xfId="9175"/>
    <cellStyle name="Standaard 12 3 5 2 4" xfId="9176"/>
    <cellStyle name="Standaard 12 3 5 2 4 2" xfId="9177"/>
    <cellStyle name="Standaard 12 3 5 2 5" xfId="9178"/>
    <cellStyle name="Standaard 12 3 5 2 6" xfId="9179"/>
    <cellStyle name="Standaard 12 3 5 3" xfId="9180"/>
    <cellStyle name="Standaard 12 3 5 3 2" xfId="9181"/>
    <cellStyle name="Standaard 12 3 5 3 2 2" xfId="9182"/>
    <cellStyle name="Standaard 12 3 5 3 2 2 2" xfId="9183"/>
    <cellStyle name="Standaard 12 3 5 3 2 3" xfId="9184"/>
    <cellStyle name="Standaard 12 3 5 3 3" xfId="9185"/>
    <cellStyle name="Standaard 12 3 5 3 3 2" xfId="9186"/>
    <cellStyle name="Standaard 12 3 5 3 4" xfId="9187"/>
    <cellStyle name="Standaard 12 3 5 4" xfId="9188"/>
    <cellStyle name="Standaard 12 3 5 4 2" xfId="9189"/>
    <cellStyle name="Standaard 12 3 5 4 2 2" xfId="9190"/>
    <cellStyle name="Standaard 12 3 5 4 3" xfId="9191"/>
    <cellStyle name="Standaard 12 3 5 5" xfId="9192"/>
    <cellStyle name="Standaard 12 3 5 5 2" xfId="9193"/>
    <cellStyle name="Standaard 12 3 5 6" xfId="9194"/>
    <cellStyle name="Standaard 12 3 5 7" xfId="9195"/>
    <cellStyle name="Standaard 12 3 6" xfId="9196"/>
    <cellStyle name="Standaard 12 3 6 2" xfId="9197"/>
    <cellStyle name="Standaard 12 3 6 2 2" xfId="9198"/>
    <cellStyle name="Standaard 12 3 6 2 2 2" xfId="9199"/>
    <cellStyle name="Standaard 12 3 6 2 2 2 2" xfId="9200"/>
    <cellStyle name="Standaard 12 3 6 2 2 3" xfId="9201"/>
    <cellStyle name="Standaard 12 3 6 2 3" xfId="9202"/>
    <cellStyle name="Standaard 12 3 6 2 3 2" xfId="9203"/>
    <cellStyle name="Standaard 12 3 6 2 4" xfId="9204"/>
    <cellStyle name="Standaard 12 3 6 3" xfId="9205"/>
    <cellStyle name="Standaard 12 3 6 3 2" xfId="9206"/>
    <cellStyle name="Standaard 12 3 6 3 2 2" xfId="9207"/>
    <cellStyle name="Standaard 12 3 6 3 3" xfId="9208"/>
    <cellStyle name="Standaard 12 3 6 4" xfId="9209"/>
    <cellStyle name="Standaard 12 3 6 4 2" xfId="9210"/>
    <cellStyle name="Standaard 12 3 6 5" xfId="9211"/>
    <cellStyle name="Standaard 12 3 6 6" xfId="9212"/>
    <cellStyle name="Standaard 12 3 7" xfId="9213"/>
    <cellStyle name="Standaard 12 3 7 2" xfId="9214"/>
    <cellStyle name="Standaard 12 3 7 2 2" xfId="9215"/>
    <cellStyle name="Standaard 12 3 7 2 2 2" xfId="9216"/>
    <cellStyle name="Standaard 12 3 7 2 3" xfId="9217"/>
    <cellStyle name="Standaard 12 3 7 3" xfId="9218"/>
    <cellStyle name="Standaard 12 3 7 3 2" xfId="9219"/>
    <cellStyle name="Standaard 12 3 7 4" xfId="9220"/>
    <cellStyle name="Standaard 12 3 8" xfId="9221"/>
    <cellStyle name="Standaard 12 3 8 2" xfId="9222"/>
    <cellStyle name="Standaard 12 3 8 2 2" xfId="9223"/>
    <cellStyle name="Standaard 12 3 8 3" xfId="9224"/>
    <cellStyle name="Standaard 12 3 9" xfId="9225"/>
    <cellStyle name="Standaard 12 3 9 2" xfId="9226"/>
    <cellStyle name="Standaard 12 4" xfId="9227"/>
    <cellStyle name="Standaard 12 4 2" xfId="9228"/>
    <cellStyle name="Standaard 12 4 2 2" xfId="9229"/>
    <cellStyle name="Standaard 12 4 2 2 2" xfId="9230"/>
    <cellStyle name="Standaard 12 4 2 2 2 2" xfId="9231"/>
    <cellStyle name="Standaard 12 4 2 2 2 2 2" xfId="9232"/>
    <cellStyle name="Standaard 12 4 2 2 2 2 2 2" xfId="9233"/>
    <cellStyle name="Standaard 12 4 2 2 2 2 2 2 2" xfId="9234"/>
    <cellStyle name="Standaard 12 4 2 2 2 2 2 3" xfId="9235"/>
    <cellStyle name="Standaard 12 4 2 2 2 2 3" xfId="9236"/>
    <cellStyle name="Standaard 12 4 2 2 2 2 3 2" xfId="9237"/>
    <cellStyle name="Standaard 12 4 2 2 2 2 4" xfId="9238"/>
    <cellStyle name="Standaard 12 4 2 2 2 3" xfId="9239"/>
    <cellStyle name="Standaard 12 4 2 2 2 3 2" xfId="9240"/>
    <cellStyle name="Standaard 12 4 2 2 2 3 2 2" xfId="9241"/>
    <cellStyle name="Standaard 12 4 2 2 2 3 3" xfId="9242"/>
    <cellStyle name="Standaard 12 4 2 2 2 4" xfId="9243"/>
    <cellStyle name="Standaard 12 4 2 2 2 4 2" xfId="9244"/>
    <cellStyle name="Standaard 12 4 2 2 2 5" xfId="9245"/>
    <cellStyle name="Standaard 12 4 2 2 2 6" xfId="9246"/>
    <cellStyle name="Standaard 12 4 2 2 3" xfId="9247"/>
    <cellStyle name="Standaard 12 4 2 2 3 2" xfId="9248"/>
    <cellStyle name="Standaard 12 4 2 2 3 2 2" xfId="9249"/>
    <cellStyle name="Standaard 12 4 2 2 3 2 2 2" xfId="9250"/>
    <cellStyle name="Standaard 12 4 2 2 3 2 3" xfId="9251"/>
    <cellStyle name="Standaard 12 4 2 2 3 3" xfId="9252"/>
    <cellStyle name="Standaard 12 4 2 2 3 3 2" xfId="9253"/>
    <cellStyle name="Standaard 12 4 2 2 3 4" xfId="9254"/>
    <cellStyle name="Standaard 12 4 2 2 4" xfId="9255"/>
    <cellStyle name="Standaard 12 4 2 2 4 2" xfId="9256"/>
    <cellStyle name="Standaard 12 4 2 2 4 2 2" xfId="9257"/>
    <cellStyle name="Standaard 12 4 2 2 4 3" xfId="9258"/>
    <cellStyle name="Standaard 12 4 2 2 5" xfId="9259"/>
    <cellStyle name="Standaard 12 4 2 2 5 2" xfId="9260"/>
    <cellStyle name="Standaard 12 4 2 2 6" xfId="9261"/>
    <cellStyle name="Standaard 12 4 2 2 7" xfId="9262"/>
    <cellStyle name="Standaard 12 4 2 3" xfId="9263"/>
    <cellStyle name="Standaard 12 4 2 3 2" xfId="9264"/>
    <cellStyle name="Standaard 12 4 2 3 2 2" xfId="9265"/>
    <cellStyle name="Standaard 12 4 2 3 2 2 2" xfId="9266"/>
    <cellStyle name="Standaard 12 4 2 3 2 2 2 2" xfId="9267"/>
    <cellStyle name="Standaard 12 4 2 3 2 2 3" xfId="9268"/>
    <cellStyle name="Standaard 12 4 2 3 2 3" xfId="9269"/>
    <cellStyle name="Standaard 12 4 2 3 2 3 2" xfId="9270"/>
    <cellStyle name="Standaard 12 4 2 3 2 4" xfId="9271"/>
    <cellStyle name="Standaard 12 4 2 3 3" xfId="9272"/>
    <cellStyle name="Standaard 12 4 2 3 3 2" xfId="9273"/>
    <cellStyle name="Standaard 12 4 2 3 3 2 2" xfId="9274"/>
    <cellStyle name="Standaard 12 4 2 3 3 3" xfId="9275"/>
    <cellStyle name="Standaard 12 4 2 3 4" xfId="9276"/>
    <cellStyle name="Standaard 12 4 2 3 4 2" xfId="9277"/>
    <cellStyle name="Standaard 12 4 2 3 5" xfId="9278"/>
    <cellStyle name="Standaard 12 4 2 3 6" xfId="9279"/>
    <cellStyle name="Standaard 12 4 2 4" xfId="9280"/>
    <cellStyle name="Standaard 12 4 2 4 2" xfId="9281"/>
    <cellStyle name="Standaard 12 4 2 4 2 2" xfId="9282"/>
    <cellStyle name="Standaard 12 4 2 4 2 2 2" xfId="9283"/>
    <cellStyle name="Standaard 12 4 2 4 2 3" xfId="9284"/>
    <cellStyle name="Standaard 12 4 2 4 3" xfId="9285"/>
    <cellStyle name="Standaard 12 4 2 4 3 2" xfId="9286"/>
    <cellStyle name="Standaard 12 4 2 4 4" xfId="9287"/>
    <cellStyle name="Standaard 12 4 2 5" xfId="9288"/>
    <cellStyle name="Standaard 12 4 2 5 2" xfId="9289"/>
    <cellStyle name="Standaard 12 4 2 5 2 2" xfId="9290"/>
    <cellStyle name="Standaard 12 4 2 5 3" xfId="9291"/>
    <cellStyle name="Standaard 12 4 2 6" xfId="9292"/>
    <cellStyle name="Standaard 12 4 2 6 2" xfId="9293"/>
    <cellStyle name="Standaard 12 4 2 7" xfId="9294"/>
    <cellStyle name="Standaard 12 4 2 8" xfId="9295"/>
    <cellStyle name="Standaard 12 4 3" xfId="9296"/>
    <cellStyle name="Standaard 12 4 3 2" xfId="9297"/>
    <cellStyle name="Standaard 12 4 3 2 2" xfId="9298"/>
    <cellStyle name="Standaard 12 4 3 2 2 2" xfId="9299"/>
    <cellStyle name="Standaard 12 4 3 2 2 2 2" xfId="9300"/>
    <cellStyle name="Standaard 12 4 3 2 2 2 2 2" xfId="9301"/>
    <cellStyle name="Standaard 12 4 3 2 2 2 3" xfId="9302"/>
    <cellStyle name="Standaard 12 4 3 2 2 3" xfId="9303"/>
    <cellStyle name="Standaard 12 4 3 2 2 3 2" xfId="9304"/>
    <cellStyle name="Standaard 12 4 3 2 2 4" xfId="9305"/>
    <cellStyle name="Standaard 12 4 3 2 3" xfId="9306"/>
    <cellStyle name="Standaard 12 4 3 2 3 2" xfId="9307"/>
    <cellStyle name="Standaard 12 4 3 2 3 2 2" xfId="9308"/>
    <cellStyle name="Standaard 12 4 3 2 3 3" xfId="9309"/>
    <cellStyle name="Standaard 12 4 3 2 4" xfId="9310"/>
    <cellStyle name="Standaard 12 4 3 2 4 2" xfId="9311"/>
    <cellStyle name="Standaard 12 4 3 2 5" xfId="9312"/>
    <cellStyle name="Standaard 12 4 3 2 6" xfId="9313"/>
    <cellStyle name="Standaard 12 4 3 3" xfId="9314"/>
    <cellStyle name="Standaard 12 4 3 3 2" xfId="9315"/>
    <cellStyle name="Standaard 12 4 3 3 2 2" xfId="9316"/>
    <cellStyle name="Standaard 12 4 3 3 2 2 2" xfId="9317"/>
    <cellStyle name="Standaard 12 4 3 3 2 3" xfId="9318"/>
    <cellStyle name="Standaard 12 4 3 3 3" xfId="9319"/>
    <cellStyle name="Standaard 12 4 3 3 3 2" xfId="9320"/>
    <cellStyle name="Standaard 12 4 3 3 4" xfId="9321"/>
    <cellStyle name="Standaard 12 4 3 4" xfId="9322"/>
    <cellStyle name="Standaard 12 4 3 4 2" xfId="9323"/>
    <cellStyle name="Standaard 12 4 3 4 2 2" xfId="9324"/>
    <cellStyle name="Standaard 12 4 3 4 3" xfId="9325"/>
    <cellStyle name="Standaard 12 4 3 5" xfId="9326"/>
    <cellStyle name="Standaard 12 4 3 5 2" xfId="9327"/>
    <cellStyle name="Standaard 12 4 3 6" xfId="9328"/>
    <cellStyle name="Standaard 12 4 3 7" xfId="9329"/>
    <cellStyle name="Standaard 12 4 4" xfId="9330"/>
    <cellStyle name="Standaard 12 4 4 2" xfId="9331"/>
    <cellStyle name="Standaard 12 4 4 2 2" xfId="9332"/>
    <cellStyle name="Standaard 12 4 4 2 2 2" xfId="9333"/>
    <cellStyle name="Standaard 12 4 4 2 2 2 2" xfId="9334"/>
    <cellStyle name="Standaard 12 4 4 2 2 3" xfId="9335"/>
    <cellStyle name="Standaard 12 4 4 2 3" xfId="9336"/>
    <cellStyle name="Standaard 12 4 4 2 3 2" xfId="9337"/>
    <cellStyle name="Standaard 12 4 4 2 4" xfId="9338"/>
    <cellStyle name="Standaard 12 4 4 3" xfId="9339"/>
    <cellStyle name="Standaard 12 4 4 3 2" xfId="9340"/>
    <cellStyle name="Standaard 12 4 4 3 2 2" xfId="9341"/>
    <cellStyle name="Standaard 12 4 4 3 3" xfId="9342"/>
    <cellStyle name="Standaard 12 4 4 4" xfId="9343"/>
    <cellStyle name="Standaard 12 4 4 4 2" xfId="9344"/>
    <cellStyle name="Standaard 12 4 4 5" xfId="9345"/>
    <cellStyle name="Standaard 12 4 4 6" xfId="9346"/>
    <cellStyle name="Standaard 12 4 5" xfId="9347"/>
    <cellStyle name="Standaard 12 4 5 2" xfId="9348"/>
    <cellStyle name="Standaard 12 4 5 2 2" xfId="9349"/>
    <cellStyle name="Standaard 12 4 5 2 2 2" xfId="9350"/>
    <cellStyle name="Standaard 12 4 5 2 3" xfId="9351"/>
    <cellStyle name="Standaard 12 4 5 3" xfId="9352"/>
    <cellStyle name="Standaard 12 4 5 3 2" xfId="9353"/>
    <cellStyle name="Standaard 12 4 5 4" xfId="9354"/>
    <cellStyle name="Standaard 12 4 6" xfId="9355"/>
    <cellStyle name="Standaard 12 4 6 2" xfId="9356"/>
    <cellStyle name="Standaard 12 4 6 2 2" xfId="9357"/>
    <cellStyle name="Standaard 12 4 6 3" xfId="9358"/>
    <cellStyle name="Standaard 12 4 7" xfId="9359"/>
    <cellStyle name="Standaard 12 4 7 2" xfId="9360"/>
    <cellStyle name="Standaard 12 4 8" xfId="9361"/>
    <cellStyle name="Standaard 12 4 9" xfId="9362"/>
    <cellStyle name="Standaard 12 5" xfId="9363"/>
    <cellStyle name="Standaard 12 5 2" xfId="9364"/>
    <cellStyle name="Standaard 12 5 2 2" xfId="9365"/>
    <cellStyle name="Standaard 12 5 2 2 2" xfId="9366"/>
    <cellStyle name="Standaard 12 5 2 2 2 2" xfId="9367"/>
    <cellStyle name="Standaard 12 5 2 2 2 2 2" xfId="9368"/>
    <cellStyle name="Standaard 12 5 2 2 2 2 2 2" xfId="9369"/>
    <cellStyle name="Standaard 12 5 2 2 2 2 3" xfId="9370"/>
    <cellStyle name="Standaard 12 5 2 2 2 3" xfId="9371"/>
    <cellStyle name="Standaard 12 5 2 2 2 3 2" xfId="9372"/>
    <cellStyle name="Standaard 12 5 2 2 2 4" xfId="9373"/>
    <cellStyle name="Standaard 12 5 2 2 3" xfId="9374"/>
    <cellStyle name="Standaard 12 5 2 2 3 2" xfId="9375"/>
    <cellStyle name="Standaard 12 5 2 2 3 2 2" xfId="9376"/>
    <cellStyle name="Standaard 12 5 2 2 3 3" xfId="9377"/>
    <cellStyle name="Standaard 12 5 2 2 4" xfId="9378"/>
    <cellStyle name="Standaard 12 5 2 2 4 2" xfId="9379"/>
    <cellStyle name="Standaard 12 5 2 2 5" xfId="9380"/>
    <cellStyle name="Standaard 12 5 2 2 6" xfId="9381"/>
    <cellStyle name="Standaard 12 5 2 3" xfId="9382"/>
    <cellStyle name="Standaard 12 5 2 3 2" xfId="9383"/>
    <cellStyle name="Standaard 12 5 2 3 2 2" xfId="9384"/>
    <cellStyle name="Standaard 12 5 2 3 2 2 2" xfId="9385"/>
    <cellStyle name="Standaard 12 5 2 3 2 3" xfId="9386"/>
    <cellStyle name="Standaard 12 5 2 3 3" xfId="9387"/>
    <cellStyle name="Standaard 12 5 2 3 3 2" xfId="9388"/>
    <cellStyle name="Standaard 12 5 2 3 4" xfId="9389"/>
    <cellStyle name="Standaard 12 5 2 4" xfId="9390"/>
    <cellStyle name="Standaard 12 5 2 4 2" xfId="9391"/>
    <cellStyle name="Standaard 12 5 2 4 2 2" xfId="9392"/>
    <cellStyle name="Standaard 12 5 2 4 3" xfId="9393"/>
    <cellStyle name="Standaard 12 5 2 5" xfId="9394"/>
    <cellStyle name="Standaard 12 5 2 5 2" xfId="9395"/>
    <cellStyle name="Standaard 12 5 2 6" xfId="9396"/>
    <cellStyle name="Standaard 12 5 2 7" xfId="9397"/>
    <cellStyle name="Standaard 12 5 3" xfId="9398"/>
    <cellStyle name="Standaard 12 5 3 2" xfId="9399"/>
    <cellStyle name="Standaard 12 5 3 2 2" xfId="9400"/>
    <cellStyle name="Standaard 12 5 3 2 2 2" xfId="9401"/>
    <cellStyle name="Standaard 12 5 3 2 2 2 2" xfId="9402"/>
    <cellStyle name="Standaard 12 5 3 2 2 3" xfId="9403"/>
    <cellStyle name="Standaard 12 5 3 2 3" xfId="9404"/>
    <cellStyle name="Standaard 12 5 3 2 3 2" xfId="9405"/>
    <cellStyle name="Standaard 12 5 3 2 4" xfId="9406"/>
    <cellStyle name="Standaard 12 5 3 3" xfId="9407"/>
    <cellStyle name="Standaard 12 5 3 3 2" xfId="9408"/>
    <cellStyle name="Standaard 12 5 3 3 2 2" xfId="9409"/>
    <cellStyle name="Standaard 12 5 3 3 3" xfId="9410"/>
    <cellStyle name="Standaard 12 5 3 4" xfId="9411"/>
    <cellStyle name="Standaard 12 5 3 4 2" xfId="9412"/>
    <cellStyle name="Standaard 12 5 3 5" xfId="9413"/>
    <cellStyle name="Standaard 12 5 3 6" xfId="9414"/>
    <cellStyle name="Standaard 12 5 4" xfId="9415"/>
    <cellStyle name="Standaard 12 5 4 2" xfId="9416"/>
    <cellStyle name="Standaard 12 5 4 2 2" xfId="9417"/>
    <cellStyle name="Standaard 12 5 4 2 2 2" xfId="9418"/>
    <cellStyle name="Standaard 12 5 4 2 3" xfId="9419"/>
    <cellStyle name="Standaard 12 5 4 3" xfId="9420"/>
    <cellStyle name="Standaard 12 5 4 3 2" xfId="9421"/>
    <cellStyle name="Standaard 12 5 4 4" xfId="9422"/>
    <cellStyle name="Standaard 12 5 5" xfId="9423"/>
    <cellStyle name="Standaard 12 5 5 2" xfId="9424"/>
    <cellStyle name="Standaard 12 5 5 2 2" xfId="9425"/>
    <cellStyle name="Standaard 12 5 5 3" xfId="9426"/>
    <cellStyle name="Standaard 12 5 6" xfId="9427"/>
    <cellStyle name="Standaard 12 5 6 2" xfId="9428"/>
    <cellStyle name="Standaard 12 5 7" xfId="9429"/>
    <cellStyle name="Standaard 12 5 8" xfId="9430"/>
    <cellStyle name="Standaard 12 6" xfId="9431"/>
    <cellStyle name="Standaard 12 6 2" xfId="9432"/>
    <cellStyle name="Standaard 12 6 2 2" xfId="9433"/>
    <cellStyle name="Standaard 12 6 2 2 2" xfId="9434"/>
    <cellStyle name="Standaard 12 6 2 2 2 2" xfId="9435"/>
    <cellStyle name="Standaard 12 6 2 2 2 2 2" xfId="9436"/>
    <cellStyle name="Standaard 12 6 2 2 2 2 2 2" xfId="9437"/>
    <cellStyle name="Standaard 12 6 2 2 2 2 3" xfId="9438"/>
    <cellStyle name="Standaard 12 6 2 2 2 3" xfId="9439"/>
    <cellStyle name="Standaard 12 6 2 2 2 3 2" xfId="9440"/>
    <cellStyle name="Standaard 12 6 2 2 2 4" xfId="9441"/>
    <cellStyle name="Standaard 12 6 2 2 3" xfId="9442"/>
    <cellStyle name="Standaard 12 6 2 2 3 2" xfId="9443"/>
    <cellStyle name="Standaard 12 6 2 2 3 2 2" xfId="9444"/>
    <cellStyle name="Standaard 12 6 2 2 3 3" xfId="9445"/>
    <cellStyle name="Standaard 12 6 2 2 4" xfId="9446"/>
    <cellStyle name="Standaard 12 6 2 2 4 2" xfId="9447"/>
    <cellStyle name="Standaard 12 6 2 2 5" xfId="9448"/>
    <cellStyle name="Standaard 12 6 2 2 6" xfId="9449"/>
    <cellStyle name="Standaard 12 6 2 3" xfId="9450"/>
    <cellStyle name="Standaard 12 6 2 3 2" xfId="9451"/>
    <cellStyle name="Standaard 12 6 2 3 2 2" xfId="9452"/>
    <cellStyle name="Standaard 12 6 2 3 2 2 2" xfId="9453"/>
    <cellStyle name="Standaard 12 6 2 3 2 3" xfId="9454"/>
    <cellStyle name="Standaard 12 6 2 3 3" xfId="9455"/>
    <cellStyle name="Standaard 12 6 2 3 3 2" xfId="9456"/>
    <cellStyle name="Standaard 12 6 2 3 4" xfId="9457"/>
    <cellStyle name="Standaard 12 6 2 4" xfId="9458"/>
    <cellStyle name="Standaard 12 6 2 4 2" xfId="9459"/>
    <cellStyle name="Standaard 12 6 2 4 2 2" xfId="9460"/>
    <cellStyle name="Standaard 12 6 2 4 3" xfId="9461"/>
    <cellStyle name="Standaard 12 6 2 5" xfId="9462"/>
    <cellStyle name="Standaard 12 6 2 5 2" xfId="9463"/>
    <cellStyle name="Standaard 12 6 2 6" xfId="9464"/>
    <cellStyle name="Standaard 12 6 2 7" xfId="9465"/>
    <cellStyle name="Standaard 12 6 3" xfId="9466"/>
    <cellStyle name="Standaard 12 6 3 2" xfId="9467"/>
    <cellStyle name="Standaard 12 6 3 2 2" xfId="9468"/>
    <cellStyle name="Standaard 12 6 3 2 2 2" xfId="9469"/>
    <cellStyle name="Standaard 12 6 3 2 2 2 2" xfId="9470"/>
    <cellStyle name="Standaard 12 6 3 2 2 3" xfId="9471"/>
    <cellStyle name="Standaard 12 6 3 2 3" xfId="9472"/>
    <cellStyle name="Standaard 12 6 3 2 3 2" xfId="9473"/>
    <cellStyle name="Standaard 12 6 3 2 4" xfId="9474"/>
    <cellStyle name="Standaard 12 6 3 3" xfId="9475"/>
    <cellStyle name="Standaard 12 6 3 3 2" xfId="9476"/>
    <cellStyle name="Standaard 12 6 3 3 2 2" xfId="9477"/>
    <cellStyle name="Standaard 12 6 3 3 3" xfId="9478"/>
    <cellStyle name="Standaard 12 6 3 4" xfId="9479"/>
    <cellStyle name="Standaard 12 6 3 4 2" xfId="9480"/>
    <cellStyle name="Standaard 12 6 3 5" xfId="9481"/>
    <cellStyle name="Standaard 12 6 3 6" xfId="9482"/>
    <cellStyle name="Standaard 12 6 4" xfId="9483"/>
    <cellStyle name="Standaard 12 6 4 2" xfId="9484"/>
    <cellStyle name="Standaard 12 6 4 2 2" xfId="9485"/>
    <cellStyle name="Standaard 12 6 4 2 2 2" xfId="9486"/>
    <cellStyle name="Standaard 12 6 4 2 3" xfId="9487"/>
    <cellStyle name="Standaard 12 6 4 3" xfId="9488"/>
    <cellStyle name="Standaard 12 6 4 3 2" xfId="9489"/>
    <cellStyle name="Standaard 12 6 4 4" xfId="9490"/>
    <cellStyle name="Standaard 12 6 5" xfId="9491"/>
    <cellStyle name="Standaard 12 6 5 2" xfId="9492"/>
    <cellStyle name="Standaard 12 6 5 2 2" xfId="9493"/>
    <cellStyle name="Standaard 12 6 5 3" xfId="9494"/>
    <cellStyle name="Standaard 12 6 6" xfId="9495"/>
    <cellStyle name="Standaard 12 6 6 2" xfId="9496"/>
    <cellStyle name="Standaard 12 6 7" xfId="9497"/>
    <cellStyle name="Standaard 12 6 8" xfId="9498"/>
    <cellStyle name="Standaard 12 7" xfId="9499"/>
    <cellStyle name="Standaard 12 7 2" xfId="9500"/>
    <cellStyle name="Standaard 12 7 2 2" xfId="9501"/>
    <cellStyle name="Standaard 12 7 2 2 2" xfId="9502"/>
    <cellStyle name="Standaard 12 7 2 2 2 2" xfId="9503"/>
    <cellStyle name="Standaard 12 7 2 2 2 2 2" xfId="9504"/>
    <cellStyle name="Standaard 12 7 2 2 2 3" xfId="9505"/>
    <cellStyle name="Standaard 12 7 2 2 3" xfId="9506"/>
    <cellStyle name="Standaard 12 7 2 2 3 2" xfId="9507"/>
    <cellStyle name="Standaard 12 7 2 2 4" xfId="9508"/>
    <cellStyle name="Standaard 12 7 2 3" xfId="9509"/>
    <cellStyle name="Standaard 12 7 2 3 2" xfId="9510"/>
    <cellStyle name="Standaard 12 7 2 3 2 2" xfId="9511"/>
    <cellStyle name="Standaard 12 7 2 3 3" xfId="9512"/>
    <cellStyle name="Standaard 12 7 2 4" xfId="9513"/>
    <cellStyle name="Standaard 12 7 2 4 2" xfId="9514"/>
    <cellStyle name="Standaard 12 7 2 5" xfId="9515"/>
    <cellStyle name="Standaard 12 7 2 6" xfId="9516"/>
    <cellStyle name="Standaard 12 7 3" xfId="9517"/>
    <cellStyle name="Standaard 12 7 3 2" xfId="9518"/>
    <cellStyle name="Standaard 12 7 3 2 2" xfId="9519"/>
    <cellStyle name="Standaard 12 7 3 2 2 2" xfId="9520"/>
    <cellStyle name="Standaard 12 7 3 2 3" xfId="9521"/>
    <cellStyle name="Standaard 12 7 3 3" xfId="9522"/>
    <cellStyle name="Standaard 12 7 3 3 2" xfId="9523"/>
    <cellStyle name="Standaard 12 7 3 4" xfId="9524"/>
    <cellStyle name="Standaard 12 7 4" xfId="9525"/>
    <cellStyle name="Standaard 12 7 4 2" xfId="9526"/>
    <cellStyle name="Standaard 12 7 4 2 2" xfId="9527"/>
    <cellStyle name="Standaard 12 7 4 3" xfId="9528"/>
    <cellStyle name="Standaard 12 7 5" xfId="9529"/>
    <cellStyle name="Standaard 12 7 5 2" xfId="9530"/>
    <cellStyle name="Standaard 12 7 6" xfId="9531"/>
    <cellStyle name="Standaard 12 7 7" xfId="9532"/>
    <cellStyle name="Standaard 12 8" xfId="9533"/>
    <cellStyle name="Standaard 12 8 2" xfId="9534"/>
    <cellStyle name="Standaard 12 8 2 2" xfId="9535"/>
    <cellStyle name="Standaard 12 8 2 2 2" xfId="9536"/>
    <cellStyle name="Standaard 12 8 2 2 2 2" xfId="9537"/>
    <cellStyle name="Standaard 12 8 2 2 3" xfId="9538"/>
    <cellStyle name="Standaard 12 8 2 3" xfId="9539"/>
    <cellStyle name="Standaard 12 8 2 3 2" xfId="9540"/>
    <cellStyle name="Standaard 12 8 2 4" xfId="9541"/>
    <cellStyle name="Standaard 12 8 3" xfId="9542"/>
    <cellStyle name="Standaard 12 8 3 2" xfId="9543"/>
    <cellStyle name="Standaard 12 8 3 2 2" xfId="9544"/>
    <cellStyle name="Standaard 12 8 3 3" xfId="9545"/>
    <cellStyle name="Standaard 12 8 4" xfId="9546"/>
    <cellStyle name="Standaard 12 8 4 2" xfId="9547"/>
    <cellStyle name="Standaard 12 8 5" xfId="9548"/>
    <cellStyle name="Standaard 12 8 6" xfId="9549"/>
    <cellStyle name="Standaard 12 9" xfId="9550"/>
    <cellStyle name="Standaard 12 9 2" xfId="9551"/>
    <cellStyle name="Standaard 12 9 2 2" xfId="9552"/>
    <cellStyle name="Standaard 12 9 2 2 2" xfId="9553"/>
    <cellStyle name="Standaard 12 9 2 3" xfId="9554"/>
    <cellStyle name="Standaard 12 9 3" xfId="9555"/>
    <cellStyle name="Standaard 12 9 3 2" xfId="9556"/>
    <cellStyle name="Standaard 12 9 4" xfId="9557"/>
    <cellStyle name="Standaard 13" xfId="9558"/>
    <cellStyle name="Standaard 13 10" xfId="9559"/>
    <cellStyle name="Standaard 13 10 2" xfId="9560"/>
    <cellStyle name="Standaard 13 10 2 2" xfId="9561"/>
    <cellStyle name="Standaard 13 10 3" xfId="9562"/>
    <cellStyle name="Standaard 13 11" xfId="9563"/>
    <cellStyle name="Standaard 13 11 2" xfId="9564"/>
    <cellStyle name="Standaard 13 12" xfId="9565"/>
    <cellStyle name="Standaard 13 13" xfId="9566"/>
    <cellStyle name="Standaard 13 2" xfId="9567"/>
    <cellStyle name="Standaard 13 2 10" xfId="9568"/>
    <cellStyle name="Standaard 13 2 10 2" xfId="9569"/>
    <cellStyle name="Standaard 13 2 11" xfId="9570"/>
    <cellStyle name="Standaard 13 2 12" xfId="9571"/>
    <cellStyle name="Standaard 13 2 2" xfId="9572"/>
    <cellStyle name="Standaard 13 2 2 10" xfId="9573"/>
    <cellStyle name="Standaard 13 2 2 11" xfId="9574"/>
    <cellStyle name="Standaard 13 2 2 2" xfId="9575"/>
    <cellStyle name="Standaard 13 2 2 2 2" xfId="9576"/>
    <cellStyle name="Standaard 13 2 2 2 2 2" xfId="9577"/>
    <cellStyle name="Standaard 13 2 2 2 2 2 2" xfId="9578"/>
    <cellStyle name="Standaard 13 2 2 2 2 2 2 2" xfId="9579"/>
    <cellStyle name="Standaard 13 2 2 2 2 2 2 2 2" xfId="9580"/>
    <cellStyle name="Standaard 13 2 2 2 2 2 2 2 2 2" xfId="9581"/>
    <cellStyle name="Standaard 13 2 2 2 2 2 2 2 2 2 2" xfId="9582"/>
    <cellStyle name="Standaard 13 2 2 2 2 2 2 2 2 3" xfId="9583"/>
    <cellStyle name="Standaard 13 2 2 2 2 2 2 2 3" xfId="9584"/>
    <cellStyle name="Standaard 13 2 2 2 2 2 2 2 3 2" xfId="9585"/>
    <cellStyle name="Standaard 13 2 2 2 2 2 2 2 4" xfId="9586"/>
    <cellStyle name="Standaard 13 2 2 2 2 2 2 3" xfId="9587"/>
    <cellStyle name="Standaard 13 2 2 2 2 2 2 3 2" xfId="9588"/>
    <cellStyle name="Standaard 13 2 2 2 2 2 2 3 2 2" xfId="9589"/>
    <cellStyle name="Standaard 13 2 2 2 2 2 2 3 3" xfId="9590"/>
    <cellStyle name="Standaard 13 2 2 2 2 2 2 4" xfId="9591"/>
    <cellStyle name="Standaard 13 2 2 2 2 2 2 4 2" xfId="9592"/>
    <cellStyle name="Standaard 13 2 2 2 2 2 2 5" xfId="9593"/>
    <cellStyle name="Standaard 13 2 2 2 2 2 2 6" xfId="9594"/>
    <cellStyle name="Standaard 13 2 2 2 2 2 3" xfId="9595"/>
    <cellStyle name="Standaard 13 2 2 2 2 2 3 2" xfId="9596"/>
    <cellStyle name="Standaard 13 2 2 2 2 2 3 2 2" xfId="9597"/>
    <cellStyle name="Standaard 13 2 2 2 2 2 3 2 2 2" xfId="9598"/>
    <cellStyle name="Standaard 13 2 2 2 2 2 3 2 3" xfId="9599"/>
    <cellStyle name="Standaard 13 2 2 2 2 2 3 3" xfId="9600"/>
    <cellStyle name="Standaard 13 2 2 2 2 2 3 3 2" xfId="9601"/>
    <cellStyle name="Standaard 13 2 2 2 2 2 3 4" xfId="9602"/>
    <cellStyle name="Standaard 13 2 2 2 2 2 4" xfId="9603"/>
    <cellStyle name="Standaard 13 2 2 2 2 2 4 2" xfId="9604"/>
    <cellStyle name="Standaard 13 2 2 2 2 2 4 2 2" xfId="9605"/>
    <cellStyle name="Standaard 13 2 2 2 2 2 4 3" xfId="9606"/>
    <cellStyle name="Standaard 13 2 2 2 2 2 5" xfId="9607"/>
    <cellStyle name="Standaard 13 2 2 2 2 2 5 2" xfId="9608"/>
    <cellStyle name="Standaard 13 2 2 2 2 2 6" xfId="9609"/>
    <cellStyle name="Standaard 13 2 2 2 2 2 7" xfId="9610"/>
    <cellStyle name="Standaard 13 2 2 2 2 3" xfId="9611"/>
    <cellStyle name="Standaard 13 2 2 2 2 3 2" xfId="9612"/>
    <cellStyle name="Standaard 13 2 2 2 2 3 2 2" xfId="9613"/>
    <cellStyle name="Standaard 13 2 2 2 2 3 2 2 2" xfId="9614"/>
    <cellStyle name="Standaard 13 2 2 2 2 3 2 2 2 2" xfId="9615"/>
    <cellStyle name="Standaard 13 2 2 2 2 3 2 2 3" xfId="9616"/>
    <cellStyle name="Standaard 13 2 2 2 2 3 2 3" xfId="9617"/>
    <cellStyle name="Standaard 13 2 2 2 2 3 2 3 2" xfId="9618"/>
    <cellStyle name="Standaard 13 2 2 2 2 3 2 4" xfId="9619"/>
    <cellStyle name="Standaard 13 2 2 2 2 3 3" xfId="9620"/>
    <cellStyle name="Standaard 13 2 2 2 2 3 3 2" xfId="9621"/>
    <cellStyle name="Standaard 13 2 2 2 2 3 3 2 2" xfId="9622"/>
    <cellStyle name="Standaard 13 2 2 2 2 3 3 3" xfId="9623"/>
    <cellStyle name="Standaard 13 2 2 2 2 3 4" xfId="9624"/>
    <cellStyle name="Standaard 13 2 2 2 2 3 4 2" xfId="9625"/>
    <cellStyle name="Standaard 13 2 2 2 2 3 5" xfId="9626"/>
    <cellStyle name="Standaard 13 2 2 2 2 3 6" xfId="9627"/>
    <cellStyle name="Standaard 13 2 2 2 2 4" xfId="9628"/>
    <cellStyle name="Standaard 13 2 2 2 2 4 2" xfId="9629"/>
    <cellStyle name="Standaard 13 2 2 2 2 4 2 2" xfId="9630"/>
    <cellStyle name="Standaard 13 2 2 2 2 4 2 2 2" xfId="9631"/>
    <cellStyle name="Standaard 13 2 2 2 2 4 2 3" xfId="9632"/>
    <cellStyle name="Standaard 13 2 2 2 2 4 3" xfId="9633"/>
    <cellStyle name="Standaard 13 2 2 2 2 4 3 2" xfId="9634"/>
    <cellStyle name="Standaard 13 2 2 2 2 4 4" xfId="9635"/>
    <cellStyle name="Standaard 13 2 2 2 2 5" xfId="9636"/>
    <cellStyle name="Standaard 13 2 2 2 2 5 2" xfId="9637"/>
    <cellStyle name="Standaard 13 2 2 2 2 5 2 2" xfId="9638"/>
    <cellStyle name="Standaard 13 2 2 2 2 5 3" xfId="9639"/>
    <cellStyle name="Standaard 13 2 2 2 2 6" xfId="9640"/>
    <cellStyle name="Standaard 13 2 2 2 2 6 2" xfId="9641"/>
    <cellStyle name="Standaard 13 2 2 2 2 7" xfId="9642"/>
    <cellStyle name="Standaard 13 2 2 2 2 8" xfId="9643"/>
    <cellStyle name="Standaard 13 2 2 2 3" xfId="9644"/>
    <cellStyle name="Standaard 13 2 2 2 3 2" xfId="9645"/>
    <cellStyle name="Standaard 13 2 2 2 3 2 2" xfId="9646"/>
    <cellStyle name="Standaard 13 2 2 2 3 2 2 2" xfId="9647"/>
    <cellStyle name="Standaard 13 2 2 2 3 2 2 2 2" xfId="9648"/>
    <cellStyle name="Standaard 13 2 2 2 3 2 2 2 2 2" xfId="9649"/>
    <cellStyle name="Standaard 13 2 2 2 3 2 2 2 3" xfId="9650"/>
    <cellStyle name="Standaard 13 2 2 2 3 2 2 3" xfId="9651"/>
    <cellStyle name="Standaard 13 2 2 2 3 2 2 3 2" xfId="9652"/>
    <cellStyle name="Standaard 13 2 2 2 3 2 2 4" xfId="9653"/>
    <cellStyle name="Standaard 13 2 2 2 3 2 3" xfId="9654"/>
    <cellStyle name="Standaard 13 2 2 2 3 2 3 2" xfId="9655"/>
    <cellStyle name="Standaard 13 2 2 2 3 2 3 2 2" xfId="9656"/>
    <cellStyle name="Standaard 13 2 2 2 3 2 3 3" xfId="9657"/>
    <cellStyle name="Standaard 13 2 2 2 3 2 4" xfId="9658"/>
    <cellStyle name="Standaard 13 2 2 2 3 2 4 2" xfId="9659"/>
    <cellStyle name="Standaard 13 2 2 2 3 2 5" xfId="9660"/>
    <cellStyle name="Standaard 13 2 2 2 3 2 6" xfId="9661"/>
    <cellStyle name="Standaard 13 2 2 2 3 3" xfId="9662"/>
    <cellStyle name="Standaard 13 2 2 2 3 3 2" xfId="9663"/>
    <cellStyle name="Standaard 13 2 2 2 3 3 2 2" xfId="9664"/>
    <cellStyle name="Standaard 13 2 2 2 3 3 2 2 2" xfId="9665"/>
    <cellStyle name="Standaard 13 2 2 2 3 3 2 3" xfId="9666"/>
    <cellStyle name="Standaard 13 2 2 2 3 3 3" xfId="9667"/>
    <cellStyle name="Standaard 13 2 2 2 3 3 3 2" xfId="9668"/>
    <cellStyle name="Standaard 13 2 2 2 3 3 4" xfId="9669"/>
    <cellStyle name="Standaard 13 2 2 2 3 4" xfId="9670"/>
    <cellStyle name="Standaard 13 2 2 2 3 4 2" xfId="9671"/>
    <cellStyle name="Standaard 13 2 2 2 3 4 2 2" xfId="9672"/>
    <cellStyle name="Standaard 13 2 2 2 3 4 3" xfId="9673"/>
    <cellStyle name="Standaard 13 2 2 2 3 5" xfId="9674"/>
    <cellStyle name="Standaard 13 2 2 2 3 5 2" xfId="9675"/>
    <cellStyle name="Standaard 13 2 2 2 3 6" xfId="9676"/>
    <cellStyle name="Standaard 13 2 2 2 3 7" xfId="9677"/>
    <cellStyle name="Standaard 13 2 2 2 4" xfId="9678"/>
    <cellStyle name="Standaard 13 2 2 2 4 2" xfId="9679"/>
    <cellStyle name="Standaard 13 2 2 2 4 2 2" xfId="9680"/>
    <cellStyle name="Standaard 13 2 2 2 4 2 2 2" xfId="9681"/>
    <cellStyle name="Standaard 13 2 2 2 4 2 2 2 2" xfId="9682"/>
    <cellStyle name="Standaard 13 2 2 2 4 2 2 3" xfId="9683"/>
    <cellStyle name="Standaard 13 2 2 2 4 2 3" xfId="9684"/>
    <cellStyle name="Standaard 13 2 2 2 4 2 3 2" xfId="9685"/>
    <cellStyle name="Standaard 13 2 2 2 4 2 4" xfId="9686"/>
    <cellStyle name="Standaard 13 2 2 2 4 3" xfId="9687"/>
    <cellStyle name="Standaard 13 2 2 2 4 3 2" xfId="9688"/>
    <cellStyle name="Standaard 13 2 2 2 4 3 2 2" xfId="9689"/>
    <cellStyle name="Standaard 13 2 2 2 4 3 3" xfId="9690"/>
    <cellStyle name="Standaard 13 2 2 2 4 4" xfId="9691"/>
    <cellStyle name="Standaard 13 2 2 2 4 4 2" xfId="9692"/>
    <cellStyle name="Standaard 13 2 2 2 4 5" xfId="9693"/>
    <cellStyle name="Standaard 13 2 2 2 4 6" xfId="9694"/>
    <cellStyle name="Standaard 13 2 2 2 5" xfId="9695"/>
    <cellStyle name="Standaard 13 2 2 2 5 2" xfId="9696"/>
    <cellStyle name="Standaard 13 2 2 2 5 2 2" xfId="9697"/>
    <cellStyle name="Standaard 13 2 2 2 5 2 2 2" xfId="9698"/>
    <cellStyle name="Standaard 13 2 2 2 5 2 3" xfId="9699"/>
    <cellStyle name="Standaard 13 2 2 2 5 3" xfId="9700"/>
    <cellStyle name="Standaard 13 2 2 2 5 3 2" xfId="9701"/>
    <cellStyle name="Standaard 13 2 2 2 5 4" xfId="9702"/>
    <cellStyle name="Standaard 13 2 2 2 6" xfId="9703"/>
    <cellStyle name="Standaard 13 2 2 2 6 2" xfId="9704"/>
    <cellStyle name="Standaard 13 2 2 2 6 2 2" xfId="9705"/>
    <cellStyle name="Standaard 13 2 2 2 6 3" xfId="9706"/>
    <cellStyle name="Standaard 13 2 2 2 7" xfId="9707"/>
    <cellStyle name="Standaard 13 2 2 2 7 2" xfId="9708"/>
    <cellStyle name="Standaard 13 2 2 2 8" xfId="9709"/>
    <cellStyle name="Standaard 13 2 2 2 9" xfId="9710"/>
    <cellStyle name="Standaard 13 2 2 3" xfId="9711"/>
    <cellStyle name="Standaard 13 2 2 3 2" xfId="9712"/>
    <cellStyle name="Standaard 13 2 2 3 2 2" xfId="9713"/>
    <cellStyle name="Standaard 13 2 2 3 2 2 2" xfId="9714"/>
    <cellStyle name="Standaard 13 2 2 3 2 2 2 2" xfId="9715"/>
    <cellStyle name="Standaard 13 2 2 3 2 2 2 2 2" xfId="9716"/>
    <cellStyle name="Standaard 13 2 2 3 2 2 2 2 2 2" xfId="9717"/>
    <cellStyle name="Standaard 13 2 2 3 2 2 2 2 3" xfId="9718"/>
    <cellStyle name="Standaard 13 2 2 3 2 2 2 3" xfId="9719"/>
    <cellStyle name="Standaard 13 2 2 3 2 2 2 3 2" xfId="9720"/>
    <cellStyle name="Standaard 13 2 2 3 2 2 2 4" xfId="9721"/>
    <cellStyle name="Standaard 13 2 2 3 2 2 3" xfId="9722"/>
    <cellStyle name="Standaard 13 2 2 3 2 2 3 2" xfId="9723"/>
    <cellStyle name="Standaard 13 2 2 3 2 2 3 2 2" xfId="9724"/>
    <cellStyle name="Standaard 13 2 2 3 2 2 3 3" xfId="9725"/>
    <cellStyle name="Standaard 13 2 2 3 2 2 4" xfId="9726"/>
    <cellStyle name="Standaard 13 2 2 3 2 2 4 2" xfId="9727"/>
    <cellStyle name="Standaard 13 2 2 3 2 2 5" xfId="9728"/>
    <cellStyle name="Standaard 13 2 2 3 2 2 6" xfId="9729"/>
    <cellStyle name="Standaard 13 2 2 3 2 3" xfId="9730"/>
    <cellStyle name="Standaard 13 2 2 3 2 3 2" xfId="9731"/>
    <cellStyle name="Standaard 13 2 2 3 2 3 2 2" xfId="9732"/>
    <cellStyle name="Standaard 13 2 2 3 2 3 2 2 2" xfId="9733"/>
    <cellStyle name="Standaard 13 2 2 3 2 3 2 3" xfId="9734"/>
    <cellStyle name="Standaard 13 2 2 3 2 3 3" xfId="9735"/>
    <cellStyle name="Standaard 13 2 2 3 2 3 3 2" xfId="9736"/>
    <cellStyle name="Standaard 13 2 2 3 2 3 4" xfId="9737"/>
    <cellStyle name="Standaard 13 2 2 3 2 4" xfId="9738"/>
    <cellStyle name="Standaard 13 2 2 3 2 4 2" xfId="9739"/>
    <cellStyle name="Standaard 13 2 2 3 2 4 2 2" xfId="9740"/>
    <cellStyle name="Standaard 13 2 2 3 2 4 3" xfId="9741"/>
    <cellStyle name="Standaard 13 2 2 3 2 5" xfId="9742"/>
    <cellStyle name="Standaard 13 2 2 3 2 5 2" xfId="9743"/>
    <cellStyle name="Standaard 13 2 2 3 2 6" xfId="9744"/>
    <cellStyle name="Standaard 13 2 2 3 2 7" xfId="9745"/>
    <cellStyle name="Standaard 13 2 2 3 3" xfId="9746"/>
    <cellStyle name="Standaard 13 2 2 3 3 2" xfId="9747"/>
    <cellStyle name="Standaard 13 2 2 3 3 2 2" xfId="9748"/>
    <cellStyle name="Standaard 13 2 2 3 3 2 2 2" xfId="9749"/>
    <cellStyle name="Standaard 13 2 2 3 3 2 2 2 2" xfId="9750"/>
    <cellStyle name="Standaard 13 2 2 3 3 2 2 3" xfId="9751"/>
    <cellStyle name="Standaard 13 2 2 3 3 2 3" xfId="9752"/>
    <cellStyle name="Standaard 13 2 2 3 3 2 3 2" xfId="9753"/>
    <cellStyle name="Standaard 13 2 2 3 3 2 4" xfId="9754"/>
    <cellStyle name="Standaard 13 2 2 3 3 3" xfId="9755"/>
    <cellStyle name="Standaard 13 2 2 3 3 3 2" xfId="9756"/>
    <cellStyle name="Standaard 13 2 2 3 3 3 2 2" xfId="9757"/>
    <cellStyle name="Standaard 13 2 2 3 3 3 3" xfId="9758"/>
    <cellStyle name="Standaard 13 2 2 3 3 4" xfId="9759"/>
    <cellStyle name="Standaard 13 2 2 3 3 4 2" xfId="9760"/>
    <cellStyle name="Standaard 13 2 2 3 3 5" xfId="9761"/>
    <cellStyle name="Standaard 13 2 2 3 3 6" xfId="9762"/>
    <cellStyle name="Standaard 13 2 2 3 4" xfId="9763"/>
    <cellStyle name="Standaard 13 2 2 3 4 2" xfId="9764"/>
    <cellStyle name="Standaard 13 2 2 3 4 2 2" xfId="9765"/>
    <cellStyle name="Standaard 13 2 2 3 4 2 2 2" xfId="9766"/>
    <cellStyle name="Standaard 13 2 2 3 4 2 3" xfId="9767"/>
    <cellStyle name="Standaard 13 2 2 3 4 3" xfId="9768"/>
    <cellStyle name="Standaard 13 2 2 3 4 3 2" xfId="9769"/>
    <cellStyle name="Standaard 13 2 2 3 4 4" xfId="9770"/>
    <cellStyle name="Standaard 13 2 2 3 5" xfId="9771"/>
    <cellStyle name="Standaard 13 2 2 3 5 2" xfId="9772"/>
    <cellStyle name="Standaard 13 2 2 3 5 2 2" xfId="9773"/>
    <cellStyle name="Standaard 13 2 2 3 5 3" xfId="9774"/>
    <cellStyle name="Standaard 13 2 2 3 6" xfId="9775"/>
    <cellStyle name="Standaard 13 2 2 3 6 2" xfId="9776"/>
    <cellStyle name="Standaard 13 2 2 3 7" xfId="9777"/>
    <cellStyle name="Standaard 13 2 2 3 8" xfId="9778"/>
    <cellStyle name="Standaard 13 2 2 4" xfId="9779"/>
    <cellStyle name="Standaard 13 2 2 4 2" xfId="9780"/>
    <cellStyle name="Standaard 13 2 2 4 2 2" xfId="9781"/>
    <cellStyle name="Standaard 13 2 2 4 2 2 2" xfId="9782"/>
    <cellStyle name="Standaard 13 2 2 4 2 2 2 2" xfId="9783"/>
    <cellStyle name="Standaard 13 2 2 4 2 2 2 2 2" xfId="9784"/>
    <cellStyle name="Standaard 13 2 2 4 2 2 2 2 2 2" xfId="9785"/>
    <cellStyle name="Standaard 13 2 2 4 2 2 2 2 3" xfId="9786"/>
    <cellStyle name="Standaard 13 2 2 4 2 2 2 3" xfId="9787"/>
    <cellStyle name="Standaard 13 2 2 4 2 2 2 3 2" xfId="9788"/>
    <cellStyle name="Standaard 13 2 2 4 2 2 2 4" xfId="9789"/>
    <cellStyle name="Standaard 13 2 2 4 2 2 3" xfId="9790"/>
    <cellStyle name="Standaard 13 2 2 4 2 2 3 2" xfId="9791"/>
    <cellStyle name="Standaard 13 2 2 4 2 2 3 2 2" xfId="9792"/>
    <cellStyle name="Standaard 13 2 2 4 2 2 3 3" xfId="9793"/>
    <cellStyle name="Standaard 13 2 2 4 2 2 4" xfId="9794"/>
    <cellStyle name="Standaard 13 2 2 4 2 2 4 2" xfId="9795"/>
    <cellStyle name="Standaard 13 2 2 4 2 2 5" xfId="9796"/>
    <cellStyle name="Standaard 13 2 2 4 2 2 6" xfId="9797"/>
    <cellStyle name="Standaard 13 2 2 4 2 3" xfId="9798"/>
    <cellStyle name="Standaard 13 2 2 4 2 3 2" xfId="9799"/>
    <cellStyle name="Standaard 13 2 2 4 2 3 2 2" xfId="9800"/>
    <cellStyle name="Standaard 13 2 2 4 2 3 2 2 2" xfId="9801"/>
    <cellStyle name="Standaard 13 2 2 4 2 3 2 3" xfId="9802"/>
    <cellStyle name="Standaard 13 2 2 4 2 3 3" xfId="9803"/>
    <cellStyle name="Standaard 13 2 2 4 2 3 3 2" xfId="9804"/>
    <cellStyle name="Standaard 13 2 2 4 2 3 4" xfId="9805"/>
    <cellStyle name="Standaard 13 2 2 4 2 4" xfId="9806"/>
    <cellStyle name="Standaard 13 2 2 4 2 4 2" xfId="9807"/>
    <cellStyle name="Standaard 13 2 2 4 2 4 2 2" xfId="9808"/>
    <cellStyle name="Standaard 13 2 2 4 2 4 3" xfId="9809"/>
    <cellStyle name="Standaard 13 2 2 4 2 5" xfId="9810"/>
    <cellStyle name="Standaard 13 2 2 4 2 5 2" xfId="9811"/>
    <cellStyle name="Standaard 13 2 2 4 2 6" xfId="9812"/>
    <cellStyle name="Standaard 13 2 2 4 2 7" xfId="9813"/>
    <cellStyle name="Standaard 13 2 2 4 3" xfId="9814"/>
    <cellStyle name="Standaard 13 2 2 4 3 2" xfId="9815"/>
    <cellStyle name="Standaard 13 2 2 4 3 2 2" xfId="9816"/>
    <cellStyle name="Standaard 13 2 2 4 3 2 2 2" xfId="9817"/>
    <cellStyle name="Standaard 13 2 2 4 3 2 2 2 2" xfId="9818"/>
    <cellStyle name="Standaard 13 2 2 4 3 2 2 3" xfId="9819"/>
    <cellStyle name="Standaard 13 2 2 4 3 2 3" xfId="9820"/>
    <cellStyle name="Standaard 13 2 2 4 3 2 3 2" xfId="9821"/>
    <cellStyle name="Standaard 13 2 2 4 3 2 4" xfId="9822"/>
    <cellStyle name="Standaard 13 2 2 4 3 3" xfId="9823"/>
    <cellStyle name="Standaard 13 2 2 4 3 3 2" xfId="9824"/>
    <cellStyle name="Standaard 13 2 2 4 3 3 2 2" xfId="9825"/>
    <cellStyle name="Standaard 13 2 2 4 3 3 3" xfId="9826"/>
    <cellStyle name="Standaard 13 2 2 4 3 4" xfId="9827"/>
    <cellStyle name="Standaard 13 2 2 4 3 4 2" xfId="9828"/>
    <cellStyle name="Standaard 13 2 2 4 3 5" xfId="9829"/>
    <cellStyle name="Standaard 13 2 2 4 3 6" xfId="9830"/>
    <cellStyle name="Standaard 13 2 2 4 4" xfId="9831"/>
    <cellStyle name="Standaard 13 2 2 4 4 2" xfId="9832"/>
    <cellStyle name="Standaard 13 2 2 4 4 2 2" xfId="9833"/>
    <cellStyle name="Standaard 13 2 2 4 4 2 2 2" xfId="9834"/>
    <cellStyle name="Standaard 13 2 2 4 4 2 3" xfId="9835"/>
    <cellStyle name="Standaard 13 2 2 4 4 3" xfId="9836"/>
    <cellStyle name="Standaard 13 2 2 4 4 3 2" xfId="9837"/>
    <cellStyle name="Standaard 13 2 2 4 4 4" xfId="9838"/>
    <cellStyle name="Standaard 13 2 2 4 5" xfId="9839"/>
    <cellStyle name="Standaard 13 2 2 4 5 2" xfId="9840"/>
    <cellStyle name="Standaard 13 2 2 4 5 2 2" xfId="9841"/>
    <cellStyle name="Standaard 13 2 2 4 5 3" xfId="9842"/>
    <cellStyle name="Standaard 13 2 2 4 6" xfId="9843"/>
    <cellStyle name="Standaard 13 2 2 4 6 2" xfId="9844"/>
    <cellStyle name="Standaard 13 2 2 4 7" xfId="9845"/>
    <cellStyle name="Standaard 13 2 2 4 8" xfId="9846"/>
    <cellStyle name="Standaard 13 2 2 5" xfId="9847"/>
    <cellStyle name="Standaard 13 2 2 5 2" xfId="9848"/>
    <cellStyle name="Standaard 13 2 2 5 2 2" xfId="9849"/>
    <cellStyle name="Standaard 13 2 2 5 2 2 2" xfId="9850"/>
    <cellStyle name="Standaard 13 2 2 5 2 2 2 2" xfId="9851"/>
    <cellStyle name="Standaard 13 2 2 5 2 2 2 2 2" xfId="9852"/>
    <cellStyle name="Standaard 13 2 2 5 2 2 2 3" xfId="9853"/>
    <cellStyle name="Standaard 13 2 2 5 2 2 3" xfId="9854"/>
    <cellStyle name="Standaard 13 2 2 5 2 2 3 2" xfId="9855"/>
    <cellStyle name="Standaard 13 2 2 5 2 2 4" xfId="9856"/>
    <cellStyle name="Standaard 13 2 2 5 2 3" xfId="9857"/>
    <cellStyle name="Standaard 13 2 2 5 2 3 2" xfId="9858"/>
    <cellStyle name="Standaard 13 2 2 5 2 3 2 2" xfId="9859"/>
    <cellStyle name="Standaard 13 2 2 5 2 3 3" xfId="9860"/>
    <cellStyle name="Standaard 13 2 2 5 2 4" xfId="9861"/>
    <cellStyle name="Standaard 13 2 2 5 2 4 2" xfId="9862"/>
    <cellStyle name="Standaard 13 2 2 5 2 5" xfId="9863"/>
    <cellStyle name="Standaard 13 2 2 5 2 6" xfId="9864"/>
    <cellStyle name="Standaard 13 2 2 5 3" xfId="9865"/>
    <cellStyle name="Standaard 13 2 2 5 3 2" xfId="9866"/>
    <cellStyle name="Standaard 13 2 2 5 3 2 2" xfId="9867"/>
    <cellStyle name="Standaard 13 2 2 5 3 2 2 2" xfId="9868"/>
    <cellStyle name="Standaard 13 2 2 5 3 2 3" xfId="9869"/>
    <cellStyle name="Standaard 13 2 2 5 3 3" xfId="9870"/>
    <cellStyle name="Standaard 13 2 2 5 3 3 2" xfId="9871"/>
    <cellStyle name="Standaard 13 2 2 5 3 4" xfId="9872"/>
    <cellStyle name="Standaard 13 2 2 5 4" xfId="9873"/>
    <cellStyle name="Standaard 13 2 2 5 4 2" xfId="9874"/>
    <cellStyle name="Standaard 13 2 2 5 4 2 2" xfId="9875"/>
    <cellStyle name="Standaard 13 2 2 5 4 3" xfId="9876"/>
    <cellStyle name="Standaard 13 2 2 5 5" xfId="9877"/>
    <cellStyle name="Standaard 13 2 2 5 5 2" xfId="9878"/>
    <cellStyle name="Standaard 13 2 2 5 6" xfId="9879"/>
    <cellStyle name="Standaard 13 2 2 5 7" xfId="9880"/>
    <cellStyle name="Standaard 13 2 2 6" xfId="9881"/>
    <cellStyle name="Standaard 13 2 2 6 2" xfId="9882"/>
    <cellStyle name="Standaard 13 2 2 6 2 2" xfId="9883"/>
    <cellStyle name="Standaard 13 2 2 6 2 2 2" xfId="9884"/>
    <cellStyle name="Standaard 13 2 2 6 2 2 2 2" xfId="9885"/>
    <cellStyle name="Standaard 13 2 2 6 2 2 3" xfId="9886"/>
    <cellStyle name="Standaard 13 2 2 6 2 3" xfId="9887"/>
    <cellStyle name="Standaard 13 2 2 6 2 3 2" xfId="9888"/>
    <cellStyle name="Standaard 13 2 2 6 2 4" xfId="9889"/>
    <cellStyle name="Standaard 13 2 2 6 3" xfId="9890"/>
    <cellStyle name="Standaard 13 2 2 6 3 2" xfId="9891"/>
    <cellStyle name="Standaard 13 2 2 6 3 2 2" xfId="9892"/>
    <cellStyle name="Standaard 13 2 2 6 3 3" xfId="9893"/>
    <cellStyle name="Standaard 13 2 2 6 4" xfId="9894"/>
    <cellStyle name="Standaard 13 2 2 6 4 2" xfId="9895"/>
    <cellStyle name="Standaard 13 2 2 6 5" xfId="9896"/>
    <cellStyle name="Standaard 13 2 2 6 6" xfId="9897"/>
    <cellStyle name="Standaard 13 2 2 7" xfId="9898"/>
    <cellStyle name="Standaard 13 2 2 7 2" xfId="9899"/>
    <cellStyle name="Standaard 13 2 2 7 2 2" xfId="9900"/>
    <cellStyle name="Standaard 13 2 2 7 2 2 2" xfId="9901"/>
    <cellStyle name="Standaard 13 2 2 7 2 3" xfId="9902"/>
    <cellStyle name="Standaard 13 2 2 7 3" xfId="9903"/>
    <cellStyle name="Standaard 13 2 2 7 3 2" xfId="9904"/>
    <cellStyle name="Standaard 13 2 2 7 4" xfId="9905"/>
    <cellStyle name="Standaard 13 2 2 8" xfId="9906"/>
    <cellStyle name="Standaard 13 2 2 8 2" xfId="9907"/>
    <cellStyle name="Standaard 13 2 2 8 2 2" xfId="9908"/>
    <cellStyle name="Standaard 13 2 2 8 3" xfId="9909"/>
    <cellStyle name="Standaard 13 2 2 9" xfId="9910"/>
    <cellStyle name="Standaard 13 2 2 9 2" xfId="9911"/>
    <cellStyle name="Standaard 13 2 3" xfId="9912"/>
    <cellStyle name="Standaard 13 2 3 2" xfId="9913"/>
    <cellStyle name="Standaard 13 2 3 2 2" xfId="9914"/>
    <cellStyle name="Standaard 13 2 3 2 2 2" xfId="9915"/>
    <cellStyle name="Standaard 13 2 3 2 2 2 2" xfId="9916"/>
    <cellStyle name="Standaard 13 2 3 2 2 2 2 2" xfId="9917"/>
    <cellStyle name="Standaard 13 2 3 2 2 2 2 2 2" xfId="9918"/>
    <cellStyle name="Standaard 13 2 3 2 2 2 2 2 2 2" xfId="9919"/>
    <cellStyle name="Standaard 13 2 3 2 2 2 2 2 3" xfId="9920"/>
    <cellStyle name="Standaard 13 2 3 2 2 2 2 3" xfId="9921"/>
    <cellStyle name="Standaard 13 2 3 2 2 2 2 3 2" xfId="9922"/>
    <cellStyle name="Standaard 13 2 3 2 2 2 2 4" xfId="9923"/>
    <cellStyle name="Standaard 13 2 3 2 2 2 3" xfId="9924"/>
    <cellStyle name="Standaard 13 2 3 2 2 2 3 2" xfId="9925"/>
    <cellStyle name="Standaard 13 2 3 2 2 2 3 2 2" xfId="9926"/>
    <cellStyle name="Standaard 13 2 3 2 2 2 3 3" xfId="9927"/>
    <cellStyle name="Standaard 13 2 3 2 2 2 4" xfId="9928"/>
    <cellStyle name="Standaard 13 2 3 2 2 2 4 2" xfId="9929"/>
    <cellStyle name="Standaard 13 2 3 2 2 2 5" xfId="9930"/>
    <cellStyle name="Standaard 13 2 3 2 2 2 6" xfId="9931"/>
    <cellStyle name="Standaard 13 2 3 2 2 3" xfId="9932"/>
    <cellStyle name="Standaard 13 2 3 2 2 3 2" xfId="9933"/>
    <cellStyle name="Standaard 13 2 3 2 2 3 2 2" xfId="9934"/>
    <cellStyle name="Standaard 13 2 3 2 2 3 2 2 2" xfId="9935"/>
    <cellStyle name="Standaard 13 2 3 2 2 3 2 3" xfId="9936"/>
    <cellStyle name="Standaard 13 2 3 2 2 3 3" xfId="9937"/>
    <cellStyle name="Standaard 13 2 3 2 2 3 3 2" xfId="9938"/>
    <cellStyle name="Standaard 13 2 3 2 2 3 4" xfId="9939"/>
    <cellStyle name="Standaard 13 2 3 2 2 4" xfId="9940"/>
    <cellStyle name="Standaard 13 2 3 2 2 4 2" xfId="9941"/>
    <cellStyle name="Standaard 13 2 3 2 2 4 2 2" xfId="9942"/>
    <cellStyle name="Standaard 13 2 3 2 2 4 3" xfId="9943"/>
    <cellStyle name="Standaard 13 2 3 2 2 5" xfId="9944"/>
    <cellStyle name="Standaard 13 2 3 2 2 5 2" xfId="9945"/>
    <cellStyle name="Standaard 13 2 3 2 2 6" xfId="9946"/>
    <cellStyle name="Standaard 13 2 3 2 2 7" xfId="9947"/>
    <cellStyle name="Standaard 13 2 3 2 3" xfId="9948"/>
    <cellStyle name="Standaard 13 2 3 2 3 2" xfId="9949"/>
    <cellStyle name="Standaard 13 2 3 2 3 2 2" xfId="9950"/>
    <cellStyle name="Standaard 13 2 3 2 3 2 2 2" xfId="9951"/>
    <cellStyle name="Standaard 13 2 3 2 3 2 2 2 2" xfId="9952"/>
    <cellStyle name="Standaard 13 2 3 2 3 2 2 3" xfId="9953"/>
    <cellStyle name="Standaard 13 2 3 2 3 2 3" xfId="9954"/>
    <cellStyle name="Standaard 13 2 3 2 3 2 3 2" xfId="9955"/>
    <cellStyle name="Standaard 13 2 3 2 3 2 4" xfId="9956"/>
    <cellStyle name="Standaard 13 2 3 2 3 3" xfId="9957"/>
    <cellStyle name="Standaard 13 2 3 2 3 3 2" xfId="9958"/>
    <cellStyle name="Standaard 13 2 3 2 3 3 2 2" xfId="9959"/>
    <cellStyle name="Standaard 13 2 3 2 3 3 3" xfId="9960"/>
    <cellStyle name="Standaard 13 2 3 2 3 4" xfId="9961"/>
    <cellStyle name="Standaard 13 2 3 2 3 4 2" xfId="9962"/>
    <cellStyle name="Standaard 13 2 3 2 3 5" xfId="9963"/>
    <cellStyle name="Standaard 13 2 3 2 3 6" xfId="9964"/>
    <cellStyle name="Standaard 13 2 3 2 4" xfId="9965"/>
    <cellStyle name="Standaard 13 2 3 2 4 2" xfId="9966"/>
    <cellStyle name="Standaard 13 2 3 2 4 2 2" xfId="9967"/>
    <cellStyle name="Standaard 13 2 3 2 4 2 2 2" xfId="9968"/>
    <cellStyle name="Standaard 13 2 3 2 4 2 3" xfId="9969"/>
    <cellStyle name="Standaard 13 2 3 2 4 3" xfId="9970"/>
    <cellStyle name="Standaard 13 2 3 2 4 3 2" xfId="9971"/>
    <cellStyle name="Standaard 13 2 3 2 4 4" xfId="9972"/>
    <cellStyle name="Standaard 13 2 3 2 5" xfId="9973"/>
    <cellStyle name="Standaard 13 2 3 2 5 2" xfId="9974"/>
    <cellStyle name="Standaard 13 2 3 2 5 2 2" xfId="9975"/>
    <cellStyle name="Standaard 13 2 3 2 5 3" xfId="9976"/>
    <cellStyle name="Standaard 13 2 3 2 6" xfId="9977"/>
    <cellStyle name="Standaard 13 2 3 2 6 2" xfId="9978"/>
    <cellStyle name="Standaard 13 2 3 2 7" xfId="9979"/>
    <cellStyle name="Standaard 13 2 3 2 8" xfId="9980"/>
    <cellStyle name="Standaard 13 2 3 3" xfId="9981"/>
    <cellStyle name="Standaard 13 2 3 3 2" xfId="9982"/>
    <cellStyle name="Standaard 13 2 3 3 2 2" xfId="9983"/>
    <cellStyle name="Standaard 13 2 3 3 2 2 2" xfId="9984"/>
    <cellStyle name="Standaard 13 2 3 3 2 2 2 2" xfId="9985"/>
    <cellStyle name="Standaard 13 2 3 3 2 2 2 2 2" xfId="9986"/>
    <cellStyle name="Standaard 13 2 3 3 2 2 2 3" xfId="9987"/>
    <cellStyle name="Standaard 13 2 3 3 2 2 3" xfId="9988"/>
    <cellStyle name="Standaard 13 2 3 3 2 2 3 2" xfId="9989"/>
    <cellStyle name="Standaard 13 2 3 3 2 2 4" xfId="9990"/>
    <cellStyle name="Standaard 13 2 3 3 2 3" xfId="9991"/>
    <cellStyle name="Standaard 13 2 3 3 2 3 2" xfId="9992"/>
    <cellStyle name="Standaard 13 2 3 3 2 3 2 2" xfId="9993"/>
    <cellStyle name="Standaard 13 2 3 3 2 3 3" xfId="9994"/>
    <cellStyle name="Standaard 13 2 3 3 2 4" xfId="9995"/>
    <cellStyle name="Standaard 13 2 3 3 2 4 2" xfId="9996"/>
    <cellStyle name="Standaard 13 2 3 3 2 5" xfId="9997"/>
    <cellStyle name="Standaard 13 2 3 3 2 6" xfId="9998"/>
    <cellStyle name="Standaard 13 2 3 3 3" xfId="9999"/>
    <cellStyle name="Standaard 13 2 3 3 3 2" xfId="10000"/>
    <cellStyle name="Standaard 13 2 3 3 3 2 2" xfId="10001"/>
    <cellStyle name="Standaard 13 2 3 3 3 2 2 2" xfId="10002"/>
    <cellStyle name="Standaard 13 2 3 3 3 2 3" xfId="10003"/>
    <cellStyle name="Standaard 13 2 3 3 3 3" xfId="10004"/>
    <cellStyle name="Standaard 13 2 3 3 3 3 2" xfId="10005"/>
    <cellStyle name="Standaard 13 2 3 3 3 4" xfId="10006"/>
    <cellStyle name="Standaard 13 2 3 3 4" xfId="10007"/>
    <cellStyle name="Standaard 13 2 3 3 4 2" xfId="10008"/>
    <cellStyle name="Standaard 13 2 3 3 4 2 2" xfId="10009"/>
    <cellStyle name="Standaard 13 2 3 3 4 3" xfId="10010"/>
    <cellStyle name="Standaard 13 2 3 3 5" xfId="10011"/>
    <cellStyle name="Standaard 13 2 3 3 5 2" xfId="10012"/>
    <cellStyle name="Standaard 13 2 3 3 6" xfId="10013"/>
    <cellStyle name="Standaard 13 2 3 3 7" xfId="10014"/>
    <cellStyle name="Standaard 13 2 3 4" xfId="10015"/>
    <cellStyle name="Standaard 13 2 3 4 2" xfId="10016"/>
    <cellStyle name="Standaard 13 2 3 4 2 2" xfId="10017"/>
    <cellStyle name="Standaard 13 2 3 4 2 2 2" xfId="10018"/>
    <cellStyle name="Standaard 13 2 3 4 2 2 2 2" xfId="10019"/>
    <cellStyle name="Standaard 13 2 3 4 2 2 3" xfId="10020"/>
    <cellStyle name="Standaard 13 2 3 4 2 3" xfId="10021"/>
    <cellStyle name="Standaard 13 2 3 4 2 3 2" xfId="10022"/>
    <cellStyle name="Standaard 13 2 3 4 2 4" xfId="10023"/>
    <cellStyle name="Standaard 13 2 3 4 3" xfId="10024"/>
    <cellStyle name="Standaard 13 2 3 4 3 2" xfId="10025"/>
    <cellStyle name="Standaard 13 2 3 4 3 2 2" xfId="10026"/>
    <cellStyle name="Standaard 13 2 3 4 3 3" xfId="10027"/>
    <cellStyle name="Standaard 13 2 3 4 4" xfId="10028"/>
    <cellStyle name="Standaard 13 2 3 4 4 2" xfId="10029"/>
    <cellStyle name="Standaard 13 2 3 4 5" xfId="10030"/>
    <cellStyle name="Standaard 13 2 3 4 6" xfId="10031"/>
    <cellStyle name="Standaard 13 2 3 5" xfId="10032"/>
    <cellStyle name="Standaard 13 2 3 5 2" xfId="10033"/>
    <cellStyle name="Standaard 13 2 3 5 2 2" xfId="10034"/>
    <cellStyle name="Standaard 13 2 3 5 2 2 2" xfId="10035"/>
    <cellStyle name="Standaard 13 2 3 5 2 3" xfId="10036"/>
    <cellStyle name="Standaard 13 2 3 5 3" xfId="10037"/>
    <cellStyle name="Standaard 13 2 3 5 3 2" xfId="10038"/>
    <cellStyle name="Standaard 13 2 3 5 4" xfId="10039"/>
    <cellStyle name="Standaard 13 2 3 6" xfId="10040"/>
    <cellStyle name="Standaard 13 2 3 6 2" xfId="10041"/>
    <cellStyle name="Standaard 13 2 3 6 2 2" xfId="10042"/>
    <cellStyle name="Standaard 13 2 3 6 3" xfId="10043"/>
    <cellStyle name="Standaard 13 2 3 7" xfId="10044"/>
    <cellStyle name="Standaard 13 2 3 7 2" xfId="10045"/>
    <cellStyle name="Standaard 13 2 3 8" xfId="10046"/>
    <cellStyle name="Standaard 13 2 3 9" xfId="10047"/>
    <cellStyle name="Standaard 13 2 4" xfId="10048"/>
    <cellStyle name="Standaard 13 2 4 2" xfId="10049"/>
    <cellStyle name="Standaard 13 2 4 2 2" xfId="10050"/>
    <cellStyle name="Standaard 13 2 4 2 2 2" xfId="10051"/>
    <cellStyle name="Standaard 13 2 4 2 2 2 2" xfId="10052"/>
    <cellStyle name="Standaard 13 2 4 2 2 2 2 2" xfId="10053"/>
    <cellStyle name="Standaard 13 2 4 2 2 2 2 2 2" xfId="10054"/>
    <cellStyle name="Standaard 13 2 4 2 2 2 2 3" xfId="10055"/>
    <cellStyle name="Standaard 13 2 4 2 2 2 3" xfId="10056"/>
    <cellStyle name="Standaard 13 2 4 2 2 2 3 2" xfId="10057"/>
    <cellStyle name="Standaard 13 2 4 2 2 2 4" xfId="10058"/>
    <cellStyle name="Standaard 13 2 4 2 2 3" xfId="10059"/>
    <cellStyle name="Standaard 13 2 4 2 2 3 2" xfId="10060"/>
    <cellStyle name="Standaard 13 2 4 2 2 3 2 2" xfId="10061"/>
    <cellStyle name="Standaard 13 2 4 2 2 3 3" xfId="10062"/>
    <cellStyle name="Standaard 13 2 4 2 2 4" xfId="10063"/>
    <cellStyle name="Standaard 13 2 4 2 2 4 2" xfId="10064"/>
    <cellStyle name="Standaard 13 2 4 2 2 5" xfId="10065"/>
    <cellStyle name="Standaard 13 2 4 2 2 6" xfId="10066"/>
    <cellStyle name="Standaard 13 2 4 2 3" xfId="10067"/>
    <cellStyle name="Standaard 13 2 4 2 3 2" xfId="10068"/>
    <cellStyle name="Standaard 13 2 4 2 3 2 2" xfId="10069"/>
    <cellStyle name="Standaard 13 2 4 2 3 2 2 2" xfId="10070"/>
    <cellStyle name="Standaard 13 2 4 2 3 2 3" xfId="10071"/>
    <cellStyle name="Standaard 13 2 4 2 3 3" xfId="10072"/>
    <cellStyle name="Standaard 13 2 4 2 3 3 2" xfId="10073"/>
    <cellStyle name="Standaard 13 2 4 2 3 4" xfId="10074"/>
    <cellStyle name="Standaard 13 2 4 2 4" xfId="10075"/>
    <cellStyle name="Standaard 13 2 4 2 4 2" xfId="10076"/>
    <cellStyle name="Standaard 13 2 4 2 4 2 2" xfId="10077"/>
    <cellStyle name="Standaard 13 2 4 2 4 3" xfId="10078"/>
    <cellStyle name="Standaard 13 2 4 2 5" xfId="10079"/>
    <cellStyle name="Standaard 13 2 4 2 5 2" xfId="10080"/>
    <cellStyle name="Standaard 13 2 4 2 6" xfId="10081"/>
    <cellStyle name="Standaard 13 2 4 2 7" xfId="10082"/>
    <cellStyle name="Standaard 13 2 4 3" xfId="10083"/>
    <cellStyle name="Standaard 13 2 4 3 2" xfId="10084"/>
    <cellStyle name="Standaard 13 2 4 3 2 2" xfId="10085"/>
    <cellStyle name="Standaard 13 2 4 3 2 2 2" xfId="10086"/>
    <cellStyle name="Standaard 13 2 4 3 2 2 2 2" xfId="10087"/>
    <cellStyle name="Standaard 13 2 4 3 2 2 3" xfId="10088"/>
    <cellStyle name="Standaard 13 2 4 3 2 3" xfId="10089"/>
    <cellStyle name="Standaard 13 2 4 3 2 3 2" xfId="10090"/>
    <cellStyle name="Standaard 13 2 4 3 2 4" xfId="10091"/>
    <cellStyle name="Standaard 13 2 4 3 3" xfId="10092"/>
    <cellStyle name="Standaard 13 2 4 3 3 2" xfId="10093"/>
    <cellStyle name="Standaard 13 2 4 3 3 2 2" xfId="10094"/>
    <cellStyle name="Standaard 13 2 4 3 3 3" xfId="10095"/>
    <cellStyle name="Standaard 13 2 4 3 4" xfId="10096"/>
    <cellStyle name="Standaard 13 2 4 3 4 2" xfId="10097"/>
    <cellStyle name="Standaard 13 2 4 3 5" xfId="10098"/>
    <cellStyle name="Standaard 13 2 4 3 6" xfId="10099"/>
    <cellStyle name="Standaard 13 2 4 4" xfId="10100"/>
    <cellStyle name="Standaard 13 2 4 4 2" xfId="10101"/>
    <cellStyle name="Standaard 13 2 4 4 2 2" xfId="10102"/>
    <cellStyle name="Standaard 13 2 4 4 2 2 2" xfId="10103"/>
    <cellStyle name="Standaard 13 2 4 4 2 3" xfId="10104"/>
    <cellStyle name="Standaard 13 2 4 4 3" xfId="10105"/>
    <cellStyle name="Standaard 13 2 4 4 3 2" xfId="10106"/>
    <cellStyle name="Standaard 13 2 4 4 4" xfId="10107"/>
    <cellStyle name="Standaard 13 2 4 5" xfId="10108"/>
    <cellStyle name="Standaard 13 2 4 5 2" xfId="10109"/>
    <cellStyle name="Standaard 13 2 4 5 2 2" xfId="10110"/>
    <cellStyle name="Standaard 13 2 4 5 3" xfId="10111"/>
    <cellStyle name="Standaard 13 2 4 6" xfId="10112"/>
    <cellStyle name="Standaard 13 2 4 6 2" xfId="10113"/>
    <cellStyle name="Standaard 13 2 4 7" xfId="10114"/>
    <cellStyle name="Standaard 13 2 4 8" xfId="10115"/>
    <cellStyle name="Standaard 13 2 5" xfId="10116"/>
    <cellStyle name="Standaard 13 2 5 2" xfId="10117"/>
    <cellStyle name="Standaard 13 2 5 2 2" xfId="10118"/>
    <cellStyle name="Standaard 13 2 5 2 2 2" xfId="10119"/>
    <cellStyle name="Standaard 13 2 5 2 2 2 2" xfId="10120"/>
    <cellStyle name="Standaard 13 2 5 2 2 2 2 2" xfId="10121"/>
    <cellStyle name="Standaard 13 2 5 2 2 2 2 2 2" xfId="10122"/>
    <cellStyle name="Standaard 13 2 5 2 2 2 2 3" xfId="10123"/>
    <cellStyle name="Standaard 13 2 5 2 2 2 3" xfId="10124"/>
    <cellStyle name="Standaard 13 2 5 2 2 2 3 2" xfId="10125"/>
    <cellStyle name="Standaard 13 2 5 2 2 2 4" xfId="10126"/>
    <cellStyle name="Standaard 13 2 5 2 2 3" xfId="10127"/>
    <cellStyle name="Standaard 13 2 5 2 2 3 2" xfId="10128"/>
    <cellStyle name="Standaard 13 2 5 2 2 3 2 2" xfId="10129"/>
    <cellStyle name="Standaard 13 2 5 2 2 3 3" xfId="10130"/>
    <cellStyle name="Standaard 13 2 5 2 2 4" xfId="10131"/>
    <cellStyle name="Standaard 13 2 5 2 2 4 2" xfId="10132"/>
    <cellStyle name="Standaard 13 2 5 2 2 5" xfId="10133"/>
    <cellStyle name="Standaard 13 2 5 2 2 6" xfId="10134"/>
    <cellStyle name="Standaard 13 2 5 2 3" xfId="10135"/>
    <cellStyle name="Standaard 13 2 5 2 3 2" xfId="10136"/>
    <cellStyle name="Standaard 13 2 5 2 3 2 2" xfId="10137"/>
    <cellStyle name="Standaard 13 2 5 2 3 2 2 2" xfId="10138"/>
    <cellStyle name="Standaard 13 2 5 2 3 2 3" xfId="10139"/>
    <cellStyle name="Standaard 13 2 5 2 3 3" xfId="10140"/>
    <cellStyle name="Standaard 13 2 5 2 3 3 2" xfId="10141"/>
    <cellStyle name="Standaard 13 2 5 2 3 4" xfId="10142"/>
    <cellStyle name="Standaard 13 2 5 2 4" xfId="10143"/>
    <cellStyle name="Standaard 13 2 5 2 4 2" xfId="10144"/>
    <cellStyle name="Standaard 13 2 5 2 4 2 2" xfId="10145"/>
    <cellStyle name="Standaard 13 2 5 2 4 3" xfId="10146"/>
    <cellStyle name="Standaard 13 2 5 2 5" xfId="10147"/>
    <cellStyle name="Standaard 13 2 5 2 5 2" xfId="10148"/>
    <cellStyle name="Standaard 13 2 5 2 6" xfId="10149"/>
    <cellStyle name="Standaard 13 2 5 2 7" xfId="10150"/>
    <cellStyle name="Standaard 13 2 5 3" xfId="10151"/>
    <cellStyle name="Standaard 13 2 5 3 2" xfId="10152"/>
    <cellStyle name="Standaard 13 2 5 3 2 2" xfId="10153"/>
    <cellStyle name="Standaard 13 2 5 3 2 2 2" xfId="10154"/>
    <cellStyle name="Standaard 13 2 5 3 2 2 2 2" xfId="10155"/>
    <cellStyle name="Standaard 13 2 5 3 2 2 3" xfId="10156"/>
    <cellStyle name="Standaard 13 2 5 3 2 3" xfId="10157"/>
    <cellStyle name="Standaard 13 2 5 3 2 3 2" xfId="10158"/>
    <cellStyle name="Standaard 13 2 5 3 2 4" xfId="10159"/>
    <cellStyle name="Standaard 13 2 5 3 3" xfId="10160"/>
    <cellStyle name="Standaard 13 2 5 3 3 2" xfId="10161"/>
    <cellStyle name="Standaard 13 2 5 3 3 2 2" xfId="10162"/>
    <cellStyle name="Standaard 13 2 5 3 3 3" xfId="10163"/>
    <cellStyle name="Standaard 13 2 5 3 4" xfId="10164"/>
    <cellStyle name="Standaard 13 2 5 3 4 2" xfId="10165"/>
    <cellStyle name="Standaard 13 2 5 3 5" xfId="10166"/>
    <cellStyle name="Standaard 13 2 5 3 6" xfId="10167"/>
    <cellStyle name="Standaard 13 2 5 4" xfId="10168"/>
    <cellStyle name="Standaard 13 2 5 4 2" xfId="10169"/>
    <cellStyle name="Standaard 13 2 5 4 2 2" xfId="10170"/>
    <cellStyle name="Standaard 13 2 5 4 2 2 2" xfId="10171"/>
    <cellStyle name="Standaard 13 2 5 4 2 3" xfId="10172"/>
    <cellStyle name="Standaard 13 2 5 4 3" xfId="10173"/>
    <cellStyle name="Standaard 13 2 5 4 3 2" xfId="10174"/>
    <cellStyle name="Standaard 13 2 5 4 4" xfId="10175"/>
    <cellStyle name="Standaard 13 2 5 5" xfId="10176"/>
    <cellStyle name="Standaard 13 2 5 5 2" xfId="10177"/>
    <cellStyle name="Standaard 13 2 5 5 2 2" xfId="10178"/>
    <cellStyle name="Standaard 13 2 5 5 3" xfId="10179"/>
    <cellStyle name="Standaard 13 2 5 6" xfId="10180"/>
    <cellStyle name="Standaard 13 2 5 6 2" xfId="10181"/>
    <cellStyle name="Standaard 13 2 5 7" xfId="10182"/>
    <cellStyle name="Standaard 13 2 5 8" xfId="10183"/>
    <cellStyle name="Standaard 13 2 6" xfId="10184"/>
    <cellStyle name="Standaard 13 2 6 2" xfId="10185"/>
    <cellStyle name="Standaard 13 2 6 2 2" xfId="10186"/>
    <cellStyle name="Standaard 13 2 6 2 2 2" xfId="10187"/>
    <cellStyle name="Standaard 13 2 6 2 2 2 2" xfId="10188"/>
    <cellStyle name="Standaard 13 2 6 2 2 2 2 2" xfId="10189"/>
    <cellStyle name="Standaard 13 2 6 2 2 2 3" xfId="10190"/>
    <cellStyle name="Standaard 13 2 6 2 2 3" xfId="10191"/>
    <cellStyle name="Standaard 13 2 6 2 2 3 2" xfId="10192"/>
    <cellStyle name="Standaard 13 2 6 2 2 4" xfId="10193"/>
    <cellStyle name="Standaard 13 2 6 2 3" xfId="10194"/>
    <cellStyle name="Standaard 13 2 6 2 3 2" xfId="10195"/>
    <cellStyle name="Standaard 13 2 6 2 3 2 2" xfId="10196"/>
    <cellStyle name="Standaard 13 2 6 2 3 3" xfId="10197"/>
    <cellStyle name="Standaard 13 2 6 2 4" xfId="10198"/>
    <cellStyle name="Standaard 13 2 6 2 4 2" xfId="10199"/>
    <cellStyle name="Standaard 13 2 6 2 5" xfId="10200"/>
    <cellStyle name="Standaard 13 2 6 2 6" xfId="10201"/>
    <cellStyle name="Standaard 13 2 6 3" xfId="10202"/>
    <cellStyle name="Standaard 13 2 6 3 2" xfId="10203"/>
    <cellStyle name="Standaard 13 2 6 3 2 2" xfId="10204"/>
    <cellStyle name="Standaard 13 2 6 3 2 2 2" xfId="10205"/>
    <cellStyle name="Standaard 13 2 6 3 2 3" xfId="10206"/>
    <cellStyle name="Standaard 13 2 6 3 3" xfId="10207"/>
    <cellStyle name="Standaard 13 2 6 3 3 2" xfId="10208"/>
    <cellStyle name="Standaard 13 2 6 3 4" xfId="10209"/>
    <cellStyle name="Standaard 13 2 6 4" xfId="10210"/>
    <cellStyle name="Standaard 13 2 6 4 2" xfId="10211"/>
    <cellStyle name="Standaard 13 2 6 4 2 2" xfId="10212"/>
    <cellStyle name="Standaard 13 2 6 4 3" xfId="10213"/>
    <cellStyle name="Standaard 13 2 6 5" xfId="10214"/>
    <cellStyle name="Standaard 13 2 6 5 2" xfId="10215"/>
    <cellStyle name="Standaard 13 2 6 6" xfId="10216"/>
    <cellStyle name="Standaard 13 2 6 7" xfId="10217"/>
    <cellStyle name="Standaard 13 2 7" xfId="10218"/>
    <cellStyle name="Standaard 13 2 7 2" xfId="10219"/>
    <cellStyle name="Standaard 13 2 7 2 2" xfId="10220"/>
    <cellStyle name="Standaard 13 2 7 2 2 2" xfId="10221"/>
    <cellStyle name="Standaard 13 2 7 2 2 2 2" xfId="10222"/>
    <cellStyle name="Standaard 13 2 7 2 2 3" xfId="10223"/>
    <cellStyle name="Standaard 13 2 7 2 3" xfId="10224"/>
    <cellStyle name="Standaard 13 2 7 2 3 2" xfId="10225"/>
    <cellStyle name="Standaard 13 2 7 2 4" xfId="10226"/>
    <cellStyle name="Standaard 13 2 7 3" xfId="10227"/>
    <cellStyle name="Standaard 13 2 7 3 2" xfId="10228"/>
    <cellStyle name="Standaard 13 2 7 3 2 2" xfId="10229"/>
    <cellStyle name="Standaard 13 2 7 3 3" xfId="10230"/>
    <cellStyle name="Standaard 13 2 7 4" xfId="10231"/>
    <cellStyle name="Standaard 13 2 7 4 2" xfId="10232"/>
    <cellStyle name="Standaard 13 2 7 5" xfId="10233"/>
    <cellStyle name="Standaard 13 2 7 6" xfId="10234"/>
    <cellStyle name="Standaard 13 2 8" xfId="10235"/>
    <cellStyle name="Standaard 13 2 8 2" xfId="10236"/>
    <cellStyle name="Standaard 13 2 8 2 2" xfId="10237"/>
    <cellStyle name="Standaard 13 2 8 2 2 2" xfId="10238"/>
    <cellStyle name="Standaard 13 2 8 2 3" xfId="10239"/>
    <cellStyle name="Standaard 13 2 8 3" xfId="10240"/>
    <cellStyle name="Standaard 13 2 8 3 2" xfId="10241"/>
    <cellStyle name="Standaard 13 2 8 4" xfId="10242"/>
    <cellStyle name="Standaard 13 2 9" xfId="10243"/>
    <cellStyle name="Standaard 13 2 9 2" xfId="10244"/>
    <cellStyle name="Standaard 13 2 9 2 2" xfId="10245"/>
    <cellStyle name="Standaard 13 2 9 3" xfId="10246"/>
    <cellStyle name="Standaard 13 3" xfId="10247"/>
    <cellStyle name="Standaard 13 3 10" xfId="10248"/>
    <cellStyle name="Standaard 13 3 11" xfId="10249"/>
    <cellStyle name="Standaard 13 3 2" xfId="10250"/>
    <cellStyle name="Standaard 13 3 2 2" xfId="10251"/>
    <cellStyle name="Standaard 13 3 2 2 2" xfId="10252"/>
    <cellStyle name="Standaard 13 3 2 2 2 2" xfId="10253"/>
    <cellStyle name="Standaard 13 3 2 2 2 2 2" xfId="10254"/>
    <cellStyle name="Standaard 13 3 2 2 2 2 2 2" xfId="10255"/>
    <cellStyle name="Standaard 13 3 2 2 2 2 2 2 2" xfId="10256"/>
    <cellStyle name="Standaard 13 3 2 2 2 2 2 2 2 2" xfId="10257"/>
    <cellStyle name="Standaard 13 3 2 2 2 2 2 2 3" xfId="10258"/>
    <cellStyle name="Standaard 13 3 2 2 2 2 2 3" xfId="10259"/>
    <cellStyle name="Standaard 13 3 2 2 2 2 2 3 2" xfId="10260"/>
    <cellStyle name="Standaard 13 3 2 2 2 2 2 4" xfId="10261"/>
    <cellStyle name="Standaard 13 3 2 2 2 2 3" xfId="10262"/>
    <cellStyle name="Standaard 13 3 2 2 2 2 3 2" xfId="10263"/>
    <cellStyle name="Standaard 13 3 2 2 2 2 3 2 2" xfId="10264"/>
    <cellStyle name="Standaard 13 3 2 2 2 2 3 3" xfId="10265"/>
    <cellStyle name="Standaard 13 3 2 2 2 2 4" xfId="10266"/>
    <cellStyle name="Standaard 13 3 2 2 2 2 4 2" xfId="10267"/>
    <cellStyle name="Standaard 13 3 2 2 2 2 5" xfId="10268"/>
    <cellStyle name="Standaard 13 3 2 2 2 2 6" xfId="10269"/>
    <cellStyle name="Standaard 13 3 2 2 2 3" xfId="10270"/>
    <cellStyle name="Standaard 13 3 2 2 2 3 2" xfId="10271"/>
    <cellStyle name="Standaard 13 3 2 2 2 3 2 2" xfId="10272"/>
    <cellStyle name="Standaard 13 3 2 2 2 3 2 2 2" xfId="10273"/>
    <cellStyle name="Standaard 13 3 2 2 2 3 2 3" xfId="10274"/>
    <cellStyle name="Standaard 13 3 2 2 2 3 3" xfId="10275"/>
    <cellStyle name="Standaard 13 3 2 2 2 3 3 2" xfId="10276"/>
    <cellStyle name="Standaard 13 3 2 2 2 3 4" xfId="10277"/>
    <cellStyle name="Standaard 13 3 2 2 2 4" xfId="10278"/>
    <cellStyle name="Standaard 13 3 2 2 2 4 2" xfId="10279"/>
    <cellStyle name="Standaard 13 3 2 2 2 4 2 2" xfId="10280"/>
    <cellStyle name="Standaard 13 3 2 2 2 4 3" xfId="10281"/>
    <cellStyle name="Standaard 13 3 2 2 2 5" xfId="10282"/>
    <cellStyle name="Standaard 13 3 2 2 2 5 2" xfId="10283"/>
    <cellStyle name="Standaard 13 3 2 2 2 6" xfId="10284"/>
    <cellStyle name="Standaard 13 3 2 2 2 7" xfId="10285"/>
    <cellStyle name="Standaard 13 3 2 2 3" xfId="10286"/>
    <cellStyle name="Standaard 13 3 2 2 3 2" xfId="10287"/>
    <cellStyle name="Standaard 13 3 2 2 3 2 2" xfId="10288"/>
    <cellStyle name="Standaard 13 3 2 2 3 2 2 2" xfId="10289"/>
    <cellStyle name="Standaard 13 3 2 2 3 2 2 2 2" xfId="10290"/>
    <cellStyle name="Standaard 13 3 2 2 3 2 2 3" xfId="10291"/>
    <cellStyle name="Standaard 13 3 2 2 3 2 3" xfId="10292"/>
    <cellStyle name="Standaard 13 3 2 2 3 2 3 2" xfId="10293"/>
    <cellStyle name="Standaard 13 3 2 2 3 2 4" xfId="10294"/>
    <cellStyle name="Standaard 13 3 2 2 3 3" xfId="10295"/>
    <cellStyle name="Standaard 13 3 2 2 3 3 2" xfId="10296"/>
    <cellStyle name="Standaard 13 3 2 2 3 3 2 2" xfId="10297"/>
    <cellStyle name="Standaard 13 3 2 2 3 3 3" xfId="10298"/>
    <cellStyle name="Standaard 13 3 2 2 3 4" xfId="10299"/>
    <cellStyle name="Standaard 13 3 2 2 3 4 2" xfId="10300"/>
    <cellStyle name="Standaard 13 3 2 2 3 5" xfId="10301"/>
    <cellStyle name="Standaard 13 3 2 2 3 6" xfId="10302"/>
    <cellStyle name="Standaard 13 3 2 2 4" xfId="10303"/>
    <cellStyle name="Standaard 13 3 2 2 4 2" xfId="10304"/>
    <cellStyle name="Standaard 13 3 2 2 4 2 2" xfId="10305"/>
    <cellStyle name="Standaard 13 3 2 2 4 2 2 2" xfId="10306"/>
    <cellStyle name="Standaard 13 3 2 2 4 2 3" xfId="10307"/>
    <cellStyle name="Standaard 13 3 2 2 4 3" xfId="10308"/>
    <cellStyle name="Standaard 13 3 2 2 4 3 2" xfId="10309"/>
    <cellStyle name="Standaard 13 3 2 2 4 4" xfId="10310"/>
    <cellStyle name="Standaard 13 3 2 2 5" xfId="10311"/>
    <cellStyle name="Standaard 13 3 2 2 5 2" xfId="10312"/>
    <cellStyle name="Standaard 13 3 2 2 5 2 2" xfId="10313"/>
    <cellStyle name="Standaard 13 3 2 2 5 3" xfId="10314"/>
    <cellStyle name="Standaard 13 3 2 2 6" xfId="10315"/>
    <cellStyle name="Standaard 13 3 2 2 6 2" xfId="10316"/>
    <cellStyle name="Standaard 13 3 2 2 7" xfId="10317"/>
    <cellStyle name="Standaard 13 3 2 2 8" xfId="10318"/>
    <cellStyle name="Standaard 13 3 2 3" xfId="10319"/>
    <cellStyle name="Standaard 13 3 2 3 2" xfId="10320"/>
    <cellStyle name="Standaard 13 3 2 3 2 2" xfId="10321"/>
    <cellStyle name="Standaard 13 3 2 3 2 2 2" xfId="10322"/>
    <cellStyle name="Standaard 13 3 2 3 2 2 2 2" xfId="10323"/>
    <cellStyle name="Standaard 13 3 2 3 2 2 2 2 2" xfId="10324"/>
    <cellStyle name="Standaard 13 3 2 3 2 2 2 3" xfId="10325"/>
    <cellStyle name="Standaard 13 3 2 3 2 2 3" xfId="10326"/>
    <cellStyle name="Standaard 13 3 2 3 2 2 3 2" xfId="10327"/>
    <cellStyle name="Standaard 13 3 2 3 2 2 4" xfId="10328"/>
    <cellStyle name="Standaard 13 3 2 3 2 3" xfId="10329"/>
    <cellStyle name="Standaard 13 3 2 3 2 3 2" xfId="10330"/>
    <cellStyle name="Standaard 13 3 2 3 2 3 2 2" xfId="10331"/>
    <cellStyle name="Standaard 13 3 2 3 2 3 3" xfId="10332"/>
    <cellStyle name="Standaard 13 3 2 3 2 4" xfId="10333"/>
    <cellStyle name="Standaard 13 3 2 3 2 4 2" xfId="10334"/>
    <cellStyle name="Standaard 13 3 2 3 2 5" xfId="10335"/>
    <cellStyle name="Standaard 13 3 2 3 2 6" xfId="10336"/>
    <cellStyle name="Standaard 13 3 2 3 3" xfId="10337"/>
    <cellStyle name="Standaard 13 3 2 3 3 2" xfId="10338"/>
    <cellStyle name="Standaard 13 3 2 3 3 2 2" xfId="10339"/>
    <cellStyle name="Standaard 13 3 2 3 3 2 2 2" xfId="10340"/>
    <cellStyle name="Standaard 13 3 2 3 3 2 3" xfId="10341"/>
    <cellStyle name="Standaard 13 3 2 3 3 3" xfId="10342"/>
    <cellStyle name="Standaard 13 3 2 3 3 3 2" xfId="10343"/>
    <cellStyle name="Standaard 13 3 2 3 3 4" xfId="10344"/>
    <cellStyle name="Standaard 13 3 2 3 4" xfId="10345"/>
    <cellStyle name="Standaard 13 3 2 3 4 2" xfId="10346"/>
    <cellStyle name="Standaard 13 3 2 3 4 2 2" xfId="10347"/>
    <cellStyle name="Standaard 13 3 2 3 4 3" xfId="10348"/>
    <cellStyle name="Standaard 13 3 2 3 5" xfId="10349"/>
    <cellStyle name="Standaard 13 3 2 3 5 2" xfId="10350"/>
    <cellStyle name="Standaard 13 3 2 3 6" xfId="10351"/>
    <cellStyle name="Standaard 13 3 2 3 7" xfId="10352"/>
    <cellStyle name="Standaard 13 3 2 4" xfId="10353"/>
    <cellStyle name="Standaard 13 3 2 4 2" xfId="10354"/>
    <cellStyle name="Standaard 13 3 2 4 2 2" xfId="10355"/>
    <cellStyle name="Standaard 13 3 2 4 2 2 2" xfId="10356"/>
    <cellStyle name="Standaard 13 3 2 4 2 2 2 2" xfId="10357"/>
    <cellStyle name="Standaard 13 3 2 4 2 2 3" xfId="10358"/>
    <cellStyle name="Standaard 13 3 2 4 2 3" xfId="10359"/>
    <cellStyle name="Standaard 13 3 2 4 2 3 2" xfId="10360"/>
    <cellStyle name="Standaard 13 3 2 4 2 4" xfId="10361"/>
    <cellStyle name="Standaard 13 3 2 4 3" xfId="10362"/>
    <cellStyle name="Standaard 13 3 2 4 3 2" xfId="10363"/>
    <cellStyle name="Standaard 13 3 2 4 3 2 2" xfId="10364"/>
    <cellStyle name="Standaard 13 3 2 4 3 3" xfId="10365"/>
    <cellStyle name="Standaard 13 3 2 4 4" xfId="10366"/>
    <cellStyle name="Standaard 13 3 2 4 4 2" xfId="10367"/>
    <cellStyle name="Standaard 13 3 2 4 5" xfId="10368"/>
    <cellStyle name="Standaard 13 3 2 4 6" xfId="10369"/>
    <cellStyle name="Standaard 13 3 2 5" xfId="10370"/>
    <cellStyle name="Standaard 13 3 2 5 2" xfId="10371"/>
    <cellStyle name="Standaard 13 3 2 5 2 2" xfId="10372"/>
    <cellStyle name="Standaard 13 3 2 5 2 2 2" xfId="10373"/>
    <cellStyle name="Standaard 13 3 2 5 2 3" xfId="10374"/>
    <cellStyle name="Standaard 13 3 2 5 3" xfId="10375"/>
    <cellStyle name="Standaard 13 3 2 5 3 2" xfId="10376"/>
    <cellStyle name="Standaard 13 3 2 5 4" xfId="10377"/>
    <cellStyle name="Standaard 13 3 2 6" xfId="10378"/>
    <cellStyle name="Standaard 13 3 2 6 2" xfId="10379"/>
    <cellStyle name="Standaard 13 3 2 6 2 2" xfId="10380"/>
    <cellStyle name="Standaard 13 3 2 6 3" xfId="10381"/>
    <cellStyle name="Standaard 13 3 2 7" xfId="10382"/>
    <cellStyle name="Standaard 13 3 2 7 2" xfId="10383"/>
    <cellStyle name="Standaard 13 3 2 8" xfId="10384"/>
    <cellStyle name="Standaard 13 3 2 9" xfId="10385"/>
    <cellStyle name="Standaard 13 3 3" xfId="10386"/>
    <cellStyle name="Standaard 13 3 3 2" xfId="10387"/>
    <cellStyle name="Standaard 13 3 3 2 2" xfId="10388"/>
    <cellStyle name="Standaard 13 3 3 2 2 2" xfId="10389"/>
    <cellStyle name="Standaard 13 3 3 2 2 2 2" xfId="10390"/>
    <cellStyle name="Standaard 13 3 3 2 2 2 2 2" xfId="10391"/>
    <cellStyle name="Standaard 13 3 3 2 2 2 2 2 2" xfId="10392"/>
    <cellStyle name="Standaard 13 3 3 2 2 2 2 3" xfId="10393"/>
    <cellStyle name="Standaard 13 3 3 2 2 2 3" xfId="10394"/>
    <cellStyle name="Standaard 13 3 3 2 2 2 3 2" xfId="10395"/>
    <cellStyle name="Standaard 13 3 3 2 2 2 4" xfId="10396"/>
    <cellStyle name="Standaard 13 3 3 2 2 3" xfId="10397"/>
    <cellStyle name="Standaard 13 3 3 2 2 3 2" xfId="10398"/>
    <cellStyle name="Standaard 13 3 3 2 2 3 2 2" xfId="10399"/>
    <cellStyle name="Standaard 13 3 3 2 2 3 3" xfId="10400"/>
    <cellStyle name="Standaard 13 3 3 2 2 4" xfId="10401"/>
    <cellStyle name="Standaard 13 3 3 2 2 4 2" xfId="10402"/>
    <cellStyle name="Standaard 13 3 3 2 2 5" xfId="10403"/>
    <cellStyle name="Standaard 13 3 3 2 2 6" xfId="10404"/>
    <cellStyle name="Standaard 13 3 3 2 3" xfId="10405"/>
    <cellStyle name="Standaard 13 3 3 2 3 2" xfId="10406"/>
    <cellStyle name="Standaard 13 3 3 2 3 2 2" xfId="10407"/>
    <cellStyle name="Standaard 13 3 3 2 3 2 2 2" xfId="10408"/>
    <cellStyle name="Standaard 13 3 3 2 3 2 3" xfId="10409"/>
    <cellStyle name="Standaard 13 3 3 2 3 3" xfId="10410"/>
    <cellStyle name="Standaard 13 3 3 2 3 3 2" xfId="10411"/>
    <cellStyle name="Standaard 13 3 3 2 3 4" xfId="10412"/>
    <cellStyle name="Standaard 13 3 3 2 4" xfId="10413"/>
    <cellStyle name="Standaard 13 3 3 2 4 2" xfId="10414"/>
    <cellStyle name="Standaard 13 3 3 2 4 2 2" xfId="10415"/>
    <cellStyle name="Standaard 13 3 3 2 4 3" xfId="10416"/>
    <cellStyle name="Standaard 13 3 3 2 5" xfId="10417"/>
    <cellStyle name="Standaard 13 3 3 2 5 2" xfId="10418"/>
    <cellStyle name="Standaard 13 3 3 2 6" xfId="10419"/>
    <cellStyle name="Standaard 13 3 3 2 7" xfId="10420"/>
    <cellStyle name="Standaard 13 3 3 3" xfId="10421"/>
    <cellStyle name="Standaard 13 3 3 3 2" xfId="10422"/>
    <cellStyle name="Standaard 13 3 3 3 2 2" xfId="10423"/>
    <cellStyle name="Standaard 13 3 3 3 2 2 2" xfId="10424"/>
    <cellStyle name="Standaard 13 3 3 3 2 2 2 2" xfId="10425"/>
    <cellStyle name="Standaard 13 3 3 3 2 2 3" xfId="10426"/>
    <cellStyle name="Standaard 13 3 3 3 2 3" xfId="10427"/>
    <cellStyle name="Standaard 13 3 3 3 2 3 2" xfId="10428"/>
    <cellStyle name="Standaard 13 3 3 3 2 4" xfId="10429"/>
    <cellStyle name="Standaard 13 3 3 3 3" xfId="10430"/>
    <cellStyle name="Standaard 13 3 3 3 3 2" xfId="10431"/>
    <cellStyle name="Standaard 13 3 3 3 3 2 2" xfId="10432"/>
    <cellStyle name="Standaard 13 3 3 3 3 3" xfId="10433"/>
    <cellStyle name="Standaard 13 3 3 3 4" xfId="10434"/>
    <cellStyle name="Standaard 13 3 3 3 4 2" xfId="10435"/>
    <cellStyle name="Standaard 13 3 3 3 5" xfId="10436"/>
    <cellStyle name="Standaard 13 3 3 3 6" xfId="10437"/>
    <cellStyle name="Standaard 13 3 3 4" xfId="10438"/>
    <cellStyle name="Standaard 13 3 3 4 2" xfId="10439"/>
    <cellStyle name="Standaard 13 3 3 4 2 2" xfId="10440"/>
    <cellStyle name="Standaard 13 3 3 4 2 2 2" xfId="10441"/>
    <cellStyle name="Standaard 13 3 3 4 2 3" xfId="10442"/>
    <cellStyle name="Standaard 13 3 3 4 3" xfId="10443"/>
    <cellStyle name="Standaard 13 3 3 4 3 2" xfId="10444"/>
    <cellStyle name="Standaard 13 3 3 4 4" xfId="10445"/>
    <cellStyle name="Standaard 13 3 3 5" xfId="10446"/>
    <cellStyle name="Standaard 13 3 3 5 2" xfId="10447"/>
    <cellStyle name="Standaard 13 3 3 5 2 2" xfId="10448"/>
    <cellStyle name="Standaard 13 3 3 5 3" xfId="10449"/>
    <cellStyle name="Standaard 13 3 3 6" xfId="10450"/>
    <cellStyle name="Standaard 13 3 3 6 2" xfId="10451"/>
    <cellStyle name="Standaard 13 3 3 7" xfId="10452"/>
    <cellStyle name="Standaard 13 3 3 8" xfId="10453"/>
    <cellStyle name="Standaard 13 3 4" xfId="10454"/>
    <cellStyle name="Standaard 13 3 4 2" xfId="10455"/>
    <cellStyle name="Standaard 13 3 4 2 2" xfId="10456"/>
    <cellStyle name="Standaard 13 3 4 2 2 2" xfId="10457"/>
    <cellStyle name="Standaard 13 3 4 2 2 2 2" xfId="10458"/>
    <cellStyle name="Standaard 13 3 4 2 2 2 2 2" xfId="10459"/>
    <cellStyle name="Standaard 13 3 4 2 2 2 2 2 2" xfId="10460"/>
    <cellStyle name="Standaard 13 3 4 2 2 2 2 3" xfId="10461"/>
    <cellStyle name="Standaard 13 3 4 2 2 2 3" xfId="10462"/>
    <cellStyle name="Standaard 13 3 4 2 2 2 3 2" xfId="10463"/>
    <cellStyle name="Standaard 13 3 4 2 2 2 4" xfId="10464"/>
    <cellStyle name="Standaard 13 3 4 2 2 3" xfId="10465"/>
    <cellStyle name="Standaard 13 3 4 2 2 3 2" xfId="10466"/>
    <cellStyle name="Standaard 13 3 4 2 2 3 2 2" xfId="10467"/>
    <cellStyle name="Standaard 13 3 4 2 2 3 3" xfId="10468"/>
    <cellStyle name="Standaard 13 3 4 2 2 4" xfId="10469"/>
    <cellStyle name="Standaard 13 3 4 2 2 4 2" xfId="10470"/>
    <cellStyle name="Standaard 13 3 4 2 2 5" xfId="10471"/>
    <cellStyle name="Standaard 13 3 4 2 2 6" xfId="10472"/>
    <cellStyle name="Standaard 13 3 4 2 3" xfId="10473"/>
    <cellStyle name="Standaard 13 3 4 2 3 2" xfId="10474"/>
    <cellStyle name="Standaard 13 3 4 2 3 2 2" xfId="10475"/>
    <cellStyle name="Standaard 13 3 4 2 3 2 2 2" xfId="10476"/>
    <cellStyle name="Standaard 13 3 4 2 3 2 3" xfId="10477"/>
    <cellStyle name="Standaard 13 3 4 2 3 3" xfId="10478"/>
    <cellStyle name="Standaard 13 3 4 2 3 3 2" xfId="10479"/>
    <cellStyle name="Standaard 13 3 4 2 3 4" xfId="10480"/>
    <cellStyle name="Standaard 13 3 4 2 4" xfId="10481"/>
    <cellStyle name="Standaard 13 3 4 2 4 2" xfId="10482"/>
    <cellStyle name="Standaard 13 3 4 2 4 2 2" xfId="10483"/>
    <cellStyle name="Standaard 13 3 4 2 4 3" xfId="10484"/>
    <cellStyle name="Standaard 13 3 4 2 5" xfId="10485"/>
    <cellStyle name="Standaard 13 3 4 2 5 2" xfId="10486"/>
    <cellStyle name="Standaard 13 3 4 2 6" xfId="10487"/>
    <cellStyle name="Standaard 13 3 4 2 7" xfId="10488"/>
    <cellStyle name="Standaard 13 3 4 3" xfId="10489"/>
    <cellStyle name="Standaard 13 3 4 3 2" xfId="10490"/>
    <cellStyle name="Standaard 13 3 4 3 2 2" xfId="10491"/>
    <cellStyle name="Standaard 13 3 4 3 2 2 2" xfId="10492"/>
    <cellStyle name="Standaard 13 3 4 3 2 2 2 2" xfId="10493"/>
    <cellStyle name="Standaard 13 3 4 3 2 2 3" xfId="10494"/>
    <cellStyle name="Standaard 13 3 4 3 2 3" xfId="10495"/>
    <cellStyle name="Standaard 13 3 4 3 2 3 2" xfId="10496"/>
    <cellStyle name="Standaard 13 3 4 3 2 4" xfId="10497"/>
    <cellStyle name="Standaard 13 3 4 3 3" xfId="10498"/>
    <cellStyle name="Standaard 13 3 4 3 3 2" xfId="10499"/>
    <cellStyle name="Standaard 13 3 4 3 3 2 2" xfId="10500"/>
    <cellStyle name="Standaard 13 3 4 3 3 3" xfId="10501"/>
    <cellStyle name="Standaard 13 3 4 3 4" xfId="10502"/>
    <cellStyle name="Standaard 13 3 4 3 4 2" xfId="10503"/>
    <cellStyle name="Standaard 13 3 4 3 5" xfId="10504"/>
    <cellStyle name="Standaard 13 3 4 3 6" xfId="10505"/>
    <cellStyle name="Standaard 13 3 4 4" xfId="10506"/>
    <cellStyle name="Standaard 13 3 4 4 2" xfId="10507"/>
    <cellStyle name="Standaard 13 3 4 4 2 2" xfId="10508"/>
    <cellStyle name="Standaard 13 3 4 4 2 2 2" xfId="10509"/>
    <cellStyle name="Standaard 13 3 4 4 2 3" xfId="10510"/>
    <cellStyle name="Standaard 13 3 4 4 3" xfId="10511"/>
    <cellStyle name="Standaard 13 3 4 4 3 2" xfId="10512"/>
    <cellStyle name="Standaard 13 3 4 4 4" xfId="10513"/>
    <cellStyle name="Standaard 13 3 4 5" xfId="10514"/>
    <cellStyle name="Standaard 13 3 4 5 2" xfId="10515"/>
    <cellStyle name="Standaard 13 3 4 5 2 2" xfId="10516"/>
    <cellStyle name="Standaard 13 3 4 5 3" xfId="10517"/>
    <cellStyle name="Standaard 13 3 4 6" xfId="10518"/>
    <cellStyle name="Standaard 13 3 4 6 2" xfId="10519"/>
    <cellStyle name="Standaard 13 3 4 7" xfId="10520"/>
    <cellStyle name="Standaard 13 3 4 8" xfId="10521"/>
    <cellStyle name="Standaard 13 3 5" xfId="10522"/>
    <cellStyle name="Standaard 13 3 5 2" xfId="10523"/>
    <cellStyle name="Standaard 13 3 5 2 2" xfId="10524"/>
    <cellStyle name="Standaard 13 3 5 2 2 2" xfId="10525"/>
    <cellStyle name="Standaard 13 3 5 2 2 2 2" xfId="10526"/>
    <cellStyle name="Standaard 13 3 5 2 2 2 2 2" xfId="10527"/>
    <cellStyle name="Standaard 13 3 5 2 2 2 3" xfId="10528"/>
    <cellStyle name="Standaard 13 3 5 2 2 3" xfId="10529"/>
    <cellStyle name="Standaard 13 3 5 2 2 3 2" xfId="10530"/>
    <cellStyle name="Standaard 13 3 5 2 2 4" xfId="10531"/>
    <cellStyle name="Standaard 13 3 5 2 3" xfId="10532"/>
    <cellStyle name="Standaard 13 3 5 2 3 2" xfId="10533"/>
    <cellStyle name="Standaard 13 3 5 2 3 2 2" xfId="10534"/>
    <cellStyle name="Standaard 13 3 5 2 3 3" xfId="10535"/>
    <cellStyle name="Standaard 13 3 5 2 4" xfId="10536"/>
    <cellStyle name="Standaard 13 3 5 2 4 2" xfId="10537"/>
    <cellStyle name="Standaard 13 3 5 2 5" xfId="10538"/>
    <cellStyle name="Standaard 13 3 5 2 6" xfId="10539"/>
    <cellStyle name="Standaard 13 3 5 3" xfId="10540"/>
    <cellStyle name="Standaard 13 3 5 3 2" xfId="10541"/>
    <cellStyle name="Standaard 13 3 5 3 2 2" xfId="10542"/>
    <cellStyle name="Standaard 13 3 5 3 2 2 2" xfId="10543"/>
    <cellStyle name="Standaard 13 3 5 3 2 3" xfId="10544"/>
    <cellStyle name="Standaard 13 3 5 3 3" xfId="10545"/>
    <cellStyle name="Standaard 13 3 5 3 3 2" xfId="10546"/>
    <cellStyle name="Standaard 13 3 5 3 4" xfId="10547"/>
    <cellStyle name="Standaard 13 3 5 4" xfId="10548"/>
    <cellStyle name="Standaard 13 3 5 4 2" xfId="10549"/>
    <cellStyle name="Standaard 13 3 5 4 2 2" xfId="10550"/>
    <cellStyle name="Standaard 13 3 5 4 3" xfId="10551"/>
    <cellStyle name="Standaard 13 3 5 5" xfId="10552"/>
    <cellStyle name="Standaard 13 3 5 5 2" xfId="10553"/>
    <cellStyle name="Standaard 13 3 5 6" xfId="10554"/>
    <cellStyle name="Standaard 13 3 5 7" xfId="10555"/>
    <cellStyle name="Standaard 13 3 6" xfId="10556"/>
    <cellStyle name="Standaard 13 3 6 2" xfId="10557"/>
    <cellStyle name="Standaard 13 3 6 2 2" xfId="10558"/>
    <cellStyle name="Standaard 13 3 6 2 2 2" xfId="10559"/>
    <cellStyle name="Standaard 13 3 6 2 2 2 2" xfId="10560"/>
    <cellStyle name="Standaard 13 3 6 2 2 3" xfId="10561"/>
    <cellStyle name="Standaard 13 3 6 2 3" xfId="10562"/>
    <cellStyle name="Standaard 13 3 6 2 3 2" xfId="10563"/>
    <cellStyle name="Standaard 13 3 6 2 4" xfId="10564"/>
    <cellStyle name="Standaard 13 3 6 3" xfId="10565"/>
    <cellStyle name="Standaard 13 3 6 3 2" xfId="10566"/>
    <cellStyle name="Standaard 13 3 6 3 2 2" xfId="10567"/>
    <cellStyle name="Standaard 13 3 6 3 3" xfId="10568"/>
    <cellStyle name="Standaard 13 3 6 4" xfId="10569"/>
    <cellStyle name="Standaard 13 3 6 4 2" xfId="10570"/>
    <cellStyle name="Standaard 13 3 6 5" xfId="10571"/>
    <cellStyle name="Standaard 13 3 6 6" xfId="10572"/>
    <cellStyle name="Standaard 13 3 7" xfId="10573"/>
    <cellStyle name="Standaard 13 3 7 2" xfId="10574"/>
    <cellStyle name="Standaard 13 3 7 2 2" xfId="10575"/>
    <cellStyle name="Standaard 13 3 7 2 2 2" xfId="10576"/>
    <cellStyle name="Standaard 13 3 7 2 3" xfId="10577"/>
    <cellStyle name="Standaard 13 3 7 3" xfId="10578"/>
    <cellStyle name="Standaard 13 3 7 3 2" xfId="10579"/>
    <cellStyle name="Standaard 13 3 7 4" xfId="10580"/>
    <cellStyle name="Standaard 13 3 8" xfId="10581"/>
    <cellStyle name="Standaard 13 3 8 2" xfId="10582"/>
    <cellStyle name="Standaard 13 3 8 2 2" xfId="10583"/>
    <cellStyle name="Standaard 13 3 8 3" xfId="10584"/>
    <cellStyle name="Standaard 13 3 9" xfId="10585"/>
    <cellStyle name="Standaard 13 3 9 2" xfId="10586"/>
    <cellStyle name="Standaard 13 4" xfId="10587"/>
    <cellStyle name="Standaard 13 4 2" xfId="10588"/>
    <cellStyle name="Standaard 13 4 2 2" xfId="10589"/>
    <cellStyle name="Standaard 13 4 2 2 2" xfId="10590"/>
    <cellStyle name="Standaard 13 4 2 2 2 2" xfId="10591"/>
    <cellStyle name="Standaard 13 4 2 2 2 2 2" xfId="10592"/>
    <cellStyle name="Standaard 13 4 2 2 2 2 2 2" xfId="10593"/>
    <cellStyle name="Standaard 13 4 2 2 2 2 2 2 2" xfId="10594"/>
    <cellStyle name="Standaard 13 4 2 2 2 2 2 3" xfId="10595"/>
    <cellStyle name="Standaard 13 4 2 2 2 2 3" xfId="10596"/>
    <cellStyle name="Standaard 13 4 2 2 2 2 3 2" xfId="10597"/>
    <cellStyle name="Standaard 13 4 2 2 2 2 4" xfId="10598"/>
    <cellStyle name="Standaard 13 4 2 2 2 3" xfId="10599"/>
    <cellStyle name="Standaard 13 4 2 2 2 3 2" xfId="10600"/>
    <cellStyle name="Standaard 13 4 2 2 2 3 2 2" xfId="10601"/>
    <cellStyle name="Standaard 13 4 2 2 2 3 3" xfId="10602"/>
    <cellStyle name="Standaard 13 4 2 2 2 4" xfId="10603"/>
    <cellStyle name="Standaard 13 4 2 2 2 4 2" xfId="10604"/>
    <cellStyle name="Standaard 13 4 2 2 2 5" xfId="10605"/>
    <cellStyle name="Standaard 13 4 2 2 2 6" xfId="10606"/>
    <cellStyle name="Standaard 13 4 2 2 3" xfId="10607"/>
    <cellStyle name="Standaard 13 4 2 2 3 2" xfId="10608"/>
    <cellStyle name="Standaard 13 4 2 2 3 2 2" xfId="10609"/>
    <cellStyle name="Standaard 13 4 2 2 3 2 2 2" xfId="10610"/>
    <cellStyle name="Standaard 13 4 2 2 3 2 3" xfId="10611"/>
    <cellStyle name="Standaard 13 4 2 2 3 3" xfId="10612"/>
    <cellStyle name="Standaard 13 4 2 2 3 3 2" xfId="10613"/>
    <cellStyle name="Standaard 13 4 2 2 3 4" xfId="10614"/>
    <cellStyle name="Standaard 13 4 2 2 4" xfId="10615"/>
    <cellStyle name="Standaard 13 4 2 2 4 2" xfId="10616"/>
    <cellStyle name="Standaard 13 4 2 2 4 2 2" xfId="10617"/>
    <cellStyle name="Standaard 13 4 2 2 4 3" xfId="10618"/>
    <cellStyle name="Standaard 13 4 2 2 5" xfId="10619"/>
    <cellStyle name="Standaard 13 4 2 2 5 2" xfId="10620"/>
    <cellStyle name="Standaard 13 4 2 2 6" xfId="10621"/>
    <cellStyle name="Standaard 13 4 2 2 7" xfId="10622"/>
    <cellStyle name="Standaard 13 4 2 3" xfId="10623"/>
    <cellStyle name="Standaard 13 4 2 3 2" xfId="10624"/>
    <cellStyle name="Standaard 13 4 2 3 2 2" xfId="10625"/>
    <cellStyle name="Standaard 13 4 2 3 2 2 2" xfId="10626"/>
    <cellStyle name="Standaard 13 4 2 3 2 2 2 2" xfId="10627"/>
    <cellStyle name="Standaard 13 4 2 3 2 2 3" xfId="10628"/>
    <cellStyle name="Standaard 13 4 2 3 2 3" xfId="10629"/>
    <cellStyle name="Standaard 13 4 2 3 2 3 2" xfId="10630"/>
    <cellStyle name="Standaard 13 4 2 3 2 4" xfId="10631"/>
    <cellStyle name="Standaard 13 4 2 3 3" xfId="10632"/>
    <cellStyle name="Standaard 13 4 2 3 3 2" xfId="10633"/>
    <cellStyle name="Standaard 13 4 2 3 3 2 2" xfId="10634"/>
    <cellStyle name="Standaard 13 4 2 3 3 3" xfId="10635"/>
    <cellStyle name="Standaard 13 4 2 3 4" xfId="10636"/>
    <cellStyle name="Standaard 13 4 2 3 4 2" xfId="10637"/>
    <cellStyle name="Standaard 13 4 2 3 5" xfId="10638"/>
    <cellStyle name="Standaard 13 4 2 3 6" xfId="10639"/>
    <cellStyle name="Standaard 13 4 2 4" xfId="10640"/>
    <cellStyle name="Standaard 13 4 2 4 2" xfId="10641"/>
    <cellStyle name="Standaard 13 4 2 4 2 2" xfId="10642"/>
    <cellStyle name="Standaard 13 4 2 4 2 2 2" xfId="10643"/>
    <cellStyle name="Standaard 13 4 2 4 2 3" xfId="10644"/>
    <cellStyle name="Standaard 13 4 2 4 3" xfId="10645"/>
    <cellStyle name="Standaard 13 4 2 4 3 2" xfId="10646"/>
    <cellStyle name="Standaard 13 4 2 4 4" xfId="10647"/>
    <cellStyle name="Standaard 13 4 2 5" xfId="10648"/>
    <cellStyle name="Standaard 13 4 2 5 2" xfId="10649"/>
    <cellStyle name="Standaard 13 4 2 5 2 2" xfId="10650"/>
    <cellStyle name="Standaard 13 4 2 5 3" xfId="10651"/>
    <cellStyle name="Standaard 13 4 2 6" xfId="10652"/>
    <cellStyle name="Standaard 13 4 2 6 2" xfId="10653"/>
    <cellStyle name="Standaard 13 4 2 7" xfId="10654"/>
    <cellStyle name="Standaard 13 4 2 8" xfId="10655"/>
    <cellStyle name="Standaard 13 4 3" xfId="10656"/>
    <cellStyle name="Standaard 13 4 3 2" xfId="10657"/>
    <cellStyle name="Standaard 13 4 3 2 2" xfId="10658"/>
    <cellStyle name="Standaard 13 4 3 2 2 2" xfId="10659"/>
    <cellStyle name="Standaard 13 4 3 2 2 2 2" xfId="10660"/>
    <cellStyle name="Standaard 13 4 3 2 2 2 2 2" xfId="10661"/>
    <cellStyle name="Standaard 13 4 3 2 2 2 3" xfId="10662"/>
    <cellStyle name="Standaard 13 4 3 2 2 3" xfId="10663"/>
    <cellStyle name="Standaard 13 4 3 2 2 3 2" xfId="10664"/>
    <cellStyle name="Standaard 13 4 3 2 2 4" xfId="10665"/>
    <cellStyle name="Standaard 13 4 3 2 3" xfId="10666"/>
    <cellStyle name="Standaard 13 4 3 2 3 2" xfId="10667"/>
    <cellStyle name="Standaard 13 4 3 2 3 2 2" xfId="10668"/>
    <cellStyle name="Standaard 13 4 3 2 3 3" xfId="10669"/>
    <cellStyle name="Standaard 13 4 3 2 4" xfId="10670"/>
    <cellStyle name="Standaard 13 4 3 2 4 2" xfId="10671"/>
    <cellStyle name="Standaard 13 4 3 2 5" xfId="10672"/>
    <cellStyle name="Standaard 13 4 3 2 6" xfId="10673"/>
    <cellStyle name="Standaard 13 4 3 3" xfId="10674"/>
    <cellStyle name="Standaard 13 4 3 3 2" xfId="10675"/>
    <cellStyle name="Standaard 13 4 3 3 2 2" xfId="10676"/>
    <cellStyle name="Standaard 13 4 3 3 2 2 2" xfId="10677"/>
    <cellStyle name="Standaard 13 4 3 3 2 3" xfId="10678"/>
    <cellStyle name="Standaard 13 4 3 3 3" xfId="10679"/>
    <cellStyle name="Standaard 13 4 3 3 3 2" xfId="10680"/>
    <cellStyle name="Standaard 13 4 3 3 4" xfId="10681"/>
    <cellStyle name="Standaard 13 4 3 4" xfId="10682"/>
    <cellStyle name="Standaard 13 4 3 4 2" xfId="10683"/>
    <cellStyle name="Standaard 13 4 3 4 2 2" xfId="10684"/>
    <cellStyle name="Standaard 13 4 3 4 3" xfId="10685"/>
    <cellStyle name="Standaard 13 4 3 5" xfId="10686"/>
    <cellStyle name="Standaard 13 4 3 5 2" xfId="10687"/>
    <cellStyle name="Standaard 13 4 3 6" xfId="10688"/>
    <cellStyle name="Standaard 13 4 3 7" xfId="10689"/>
    <cellStyle name="Standaard 13 4 4" xfId="10690"/>
    <cellStyle name="Standaard 13 4 4 2" xfId="10691"/>
    <cellStyle name="Standaard 13 4 4 2 2" xfId="10692"/>
    <cellStyle name="Standaard 13 4 4 2 2 2" xfId="10693"/>
    <cellStyle name="Standaard 13 4 4 2 2 2 2" xfId="10694"/>
    <cellStyle name="Standaard 13 4 4 2 2 3" xfId="10695"/>
    <cellStyle name="Standaard 13 4 4 2 3" xfId="10696"/>
    <cellStyle name="Standaard 13 4 4 2 3 2" xfId="10697"/>
    <cellStyle name="Standaard 13 4 4 2 4" xfId="10698"/>
    <cellStyle name="Standaard 13 4 4 3" xfId="10699"/>
    <cellStyle name="Standaard 13 4 4 3 2" xfId="10700"/>
    <cellStyle name="Standaard 13 4 4 3 2 2" xfId="10701"/>
    <cellStyle name="Standaard 13 4 4 3 3" xfId="10702"/>
    <cellStyle name="Standaard 13 4 4 4" xfId="10703"/>
    <cellStyle name="Standaard 13 4 4 4 2" xfId="10704"/>
    <cellStyle name="Standaard 13 4 4 5" xfId="10705"/>
    <cellStyle name="Standaard 13 4 4 6" xfId="10706"/>
    <cellStyle name="Standaard 13 4 5" xfId="10707"/>
    <cellStyle name="Standaard 13 4 5 2" xfId="10708"/>
    <cellStyle name="Standaard 13 4 5 2 2" xfId="10709"/>
    <cellStyle name="Standaard 13 4 5 2 2 2" xfId="10710"/>
    <cellStyle name="Standaard 13 4 5 2 3" xfId="10711"/>
    <cellStyle name="Standaard 13 4 5 3" xfId="10712"/>
    <cellStyle name="Standaard 13 4 5 3 2" xfId="10713"/>
    <cellStyle name="Standaard 13 4 5 4" xfId="10714"/>
    <cellStyle name="Standaard 13 4 6" xfId="10715"/>
    <cellStyle name="Standaard 13 4 6 2" xfId="10716"/>
    <cellStyle name="Standaard 13 4 6 2 2" xfId="10717"/>
    <cellStyle name="Standaard 13 4 6 3" xfId="10718"/>
    <cellStyle name="Standaard 13 4 7" xfId="10719"/>
    <cellStyle name="Standaard 13 4 7 2" xfId="10720"/>
    <cellStyle name="Standaard 13 4 8" xfId="10721"/>
    <cellStyle name="Standaard 13 4 9" xfId="10722"/>
    <cellStyle name="Standaard 13 5" xfId="10723"/>
    <cellStyle name="Standaard 13 5 2" xfId="10724"/>
    <cellStyle name="Standaard 13 5 2 2" xfId="10725"/>
    <cellStyle name="Standaard 13 5 2 2 2" xfId="10726"/>
    <cellStyle name="Standaard 13 5 2 2 2 2" xfId="10727"/>
    <cellStyle name="Standaard 13 5 2 2 2 2 2" xfId="10728"/>
    <cellStyle name="Standaard 13 5 2 2 2 2 2 2" xfId="10729"/>
    <cellStyle name="Standaard 13 5 2 2 2 2 3" xfId="10730"/>
    <cellStyle name="Standaard 13 5 2 2 2 3" xfId="10731"/>
    <cellStyle name="Standaard 13 5 2 2 2 3 2" xfId="10732"/>
    <cellStyle name="Standaard 13 5 2 2 2 4" xfId="10733"/>
    <cellStyle name="Standaard 13 5 2 2 3" xfId="10734"/>
    <cellStyle name="Standaard 13 5 2 2 3 2" xfId="10735"/>
    <cellStyle name="Standaard 13 5 2 2 3 2 2" xfId="10736"/>
    <cellStyle name="Standaard 13 5 2 2 3 3" xfId="10737"/>
    <cellStyle name="Standaard 13 5 2 2 4" xfId="10738"/>
    <cellStyle name="Standaard 13 5 2 2 4 2" xfId="10739"/>
    <cellStyle name="Standaard 13 5 2 2 5" xfId="10740"/>
    <cellStyle name="Standaard 13 5 2 2 6" xfId="10741"/>
    <cellStyle name="Standaard 13 5 2 3" xfId="10742"/>
    <cellStyle name="Standaard 13 5 2 3 2" xfId="10743"/>
    <cellStyle name="Standaard 13 5 2 3 2 2" xfId="10744"/>
    <cellStyle name="Standaard 13 5 2 3 2 2 2" xfId="10745"/>
    <cellStyle name="Standaard 13 5 2 3 2 3" xfId="10746"/>
    <cellStyle name="Standaard 13 5 2 3 3" xfId="10747"/>
    <cellStyle name="Standaard 13 5 2 3 3 2" xfId="10748"/>
    <cellStyle name="Standaard 13 5 2 3 4" xfId="10749"/>
    <cellStyle name="Standaard 13 5 2 4" xfId="10750"/>
    <cellStyle name="Standaard 13 5 2 4 2" xfId="10751"/>
    <cellStyle name="Standaard 13 5 2 4 2 2" xfId="10752"/>
    <cellStyle name="Standaard 13 5 2 4 3" xfId="10753"/>
    <cellStyle name="Standaard 13 5 2 5" xfId="10754"/>
    <cellStyle name="Standaard 13 5 2 5 2" xfId="10755"/>
    <cellStyle name="Standaard 13 5 2 6" xfId="10756"/>
    <cellStyle name="Standaard 13 5 2 7" xfId="10757"/>
    <cellStyle name="Standaard 13 5 3" xfId="10758"/>
    <cellStyle name="Standaard 13 5 3 2" xfId="10759"/>
    <cellStyle name="Standaard 13 5 3 2 2" xfId="10760"/>
    <cellStyle name="Standaard 13 5 3 2 2 2" xfId="10761"/>
    <cellStyle name="Standaard 13 5 3 2 2 2 2" xfId="10762"/>
    <cellStyle name="Standaard 13 5 3 2 2 3" xfId="10763"/>
    <cellStyle name="Standaard 13 5 3 2 3" xfId="10764"/>
    <cellStyle name="Standaard 13 5 3 2 3 2" xfId="10765"/>
    <cellStyle name="Standaard 13 5 3 2 4" xfId="10766"/>
    <cellStyle name="Standaard 13 5 3 3" xfId="10767"/>
    <cellStyle name="Standaard 13 5 3 3 2" xfId="10768"/>
    <cellStyle name="Standaard 13 5 3 3 2 2" xfId="10769"/>
    <cellStyle name="Standaard 13 5 3 3 3" xfId="10770"/>
    <cellStyle name="Standaard 13 5 3 4" xfId="10771"/>
    <cellStyle name="Standaard 13 5 3 4 2" xfId="10772"/>
    <cellStyle name="Standaard 13 5 3 5" xfId="10773"/>
    <cellStyle name="Standaard 13 5 3 6" xfId="10774"/>
    <cellStyle name="Standaard 13 5 4" xfId="10775"/>
    <cellStyle name="Standaard 13 5 4 2" xfId="10776"/>
    <cellStyle name="Standaard 13 5 4 2 2" xfId="10777"/>
    <cellStyle name="Standaard 13 5 4 2 2 2" xfId="10778"/>
    <cellStyle name="Standaard 13 5 4 2 3" xfId="10779"/>
    <cellStyle name="Standaard 13 5 4 3" xfId="10780"/>
    <cellStyle name="Standaard 13 5 4 3 2" xfId="10781"/>
    <cellStyle name="Standaard 13 5 4 4" xfId="10782"/>
    <cellStyle name="Standaard 13 5 5" xfId="10783"/>
    <cellStyle name="Standaard 13 5 5 2" xfId="10784"/>
    <cellStyle name="Standaard 13 5 5 2 2" xfId="10785"/>
    <cellStyle name="Standaard 13 5 5 3" xfId="10786"/>
    <cellStyle name="Standaard 13 5 6" xfId="10787"/>
    <cellStyle name="Standaard 13 5 6 2" xfId="10788"/>
    <cellStyle name="Standaard 13 5 7" xfId="10789"/>
    <cellStyle name="Standaard 13 5 8" xfId="10790"/>
    <cellStyle name="Standaard 13 6" xfId="10791"/>
    <cellStyle name="Standaard 13 6 2" xfId="10792"/>
    <cellStyle name="Standaard 13 6 2 2" xfId="10793"/>
    <cellStyle name="Standaard 13 6 2 2 2" xfId="10794"/>
    <cellStyle name="Standaard 13 6 2 2 2 2" xfId="10795"/>
    <cellStyle name="Standaard 13 6 2 2 2 2 2" xfId="10796"/>
    <cellStyle name="Standaard 13 6 2 2 2 2 2 2" xfId="10797"/>
    <cellStyle name="Standaard 13 6 2 2 2 2 3" xfId="10798"/>
    <cellStyle name="Standaard 13 6 2 2 2 3" xfId="10799"/>
    <cellStyle name="Standaard 13 6 2 2 2 3 2" xfId="10800"/>
    <cellStyle name="Standaard 13 6 2 2 2 4" xfId="10801"/>
    <cellStyle name="Standaard 13 6 2 2 3" xfId="10802"/>
    <cellStyle name="Standaard 13 6 2 2 3 2" xfId="10803"/>
    <cellStyle name="Standaard 13 6 2 2 3 2 2" xfId="10804"/>
    <cellStyle name="Standaard 13 6 2 2 3 3" xfId="10805"/>
    <cellStyle name="Standaard 13 6 2 2 4" xfId="10806"/>
    <cellStyle name="Standaard 13 6 2 2 4 2" xfId="10807"/>
    <cellStyle name="Standaard 13 6 2 2 5" xfId="10808"/>
    <cellStyle name="Standaard 13 6 2 2 6" xfId="10809"/>
    <cellStyle name="Standaard 13 6 2 3" xfId="10810"/>
    <cellStyle name="Standaard 13 6 2 3 2" xfId="10811"/>
    <cellStyle name="Standaard 13 6 2 3 2 2" xfId="10812"/>
    <cellStyle name="Standaard 13 6 2 3 2 2 2" xfId="10813"/>
    <cellStyle name="Standaard 13 6 2 3 2 3" xfId="10814"/>
    <cellStyle name="Standaard 13 6 2 3 3" xfId="10815"/>
    <cellStyle name="Standaard 13 6 2 3 3 2" xfId="10816"/>
    <cellStyle name="Standaard 13 6 2 3 4" xfId="10817"/>
    <cellStyle name="Standaard 13 6 2 4" xfId="10818"/>
    <cellStyle name="Standaard 13 6 2 4 2" xfId="10819"/>
    <cellStyle name="Standaard 13 6 2 4 2 2" xfId="10820"/>
    <cellStyle name="Standaard 13 6 2 4 3" xfId="10821"/>
    <cellStyle name="Standaard 13 6 2 5" xfId="10822"/>
    <cellStyle name="Standaard 13 6 2 5 2" xfId="10823"/>
    <cellStyle name="Standaard 13 6 2 6" xfId="10824"/>
    <cellStyle name="Standaard 13 6 2 7" xfId="10825"/>
    <cellStyle name="Standaard 13 6 3" xfId="10826"/>
    <cellStyle name="Standaard 13 6 3 2" xfId="10827"/>
    <cellStyle name="Standaard 13 6 3 2 2" xfId="10828"/>
    <cellStyle name="Standaard 13 6 3 2 2 2" xfId="10829"/>
    <cellStyle name="Standaard 13 6 3 2 2 2 2" xfId="10830"/>
    <cellStyle name="Standaard 13 6 3 2 2 3" xfId="10831"/>
    <cellStyle name="Standaard 13 6 3 2 3" xfId="10832"/>
    <cellStyle name="Standaard 13 6 3 2 3 2" xfId="10833"/>
    <cellStyle name="Standaard 13 6 3 2 4" xfId="10834"/>
    <cellStyle name="Standaard 13 6 3 3" xfId="10835"/>
    <cellStyle name="Standaard 13 6 3 3 2" xfId="10836"/>
    <cellStyle name="Standaard 13 6 3 3 2 2" xfId="10837"/>
    <cellStyle name="Standaard 13 6 3 3 3" xfId="10838"/>
    <cellStyle name="Standaard 13 6 3 4" xfId="10839"/>
    <cellStyle name="Standaard 13 6 3 4 2" xfId="10840"/>
    <cellStyle name="Standaard 13 6 3 5" xfId="10841"/>
    <cellStyle name="Standaard 13 6 3 6" xfId="10842"/>
    <cellStyle name="Standaard 13 6 4" xfId="10843"/>
    <cellStyle name="Standaard 13 6 4 2" xfId="10844"/>
    <cellStyle name="Standaard 13 6 4 2 2" xfId="10845"/>
    <cellStyle name="Standaard 13 6 4 2 2 2" xfId="10846"/>
    <cellStyle name="Standaard 13 6 4 2 3" xfId="10847"/>
    <cellStyle name="Standaard 13 6 4 3" xfId="10848"/>
    <cellStyle name="Standaard 13 6 4 3 2" xfId="10849"/>
    <cellStyle name="Standaard 13 6 4 4" xfId="10850"/>
    <cellStyle name="Standaard 13 6 5" xfId="10851"/>
    <cellStyle name="Standaard 13 6 5 2" xfId="10852"/>
    <cellStyle name="Standaard 13 6 5 2 2" xfId="10853"/>
    <cellStyle name="Standaard 13 6 5 3" xfId="10854"/>
    <cellStyle name="Standaard 13 6 6" xfId="10855"/>
    <cellStyle name="Standaard 13 6 6 2" xfId="10856"/>
    <cellStyle name="Standaard 13 6 7" xfId="10857"/>
    <cellStyle name="Standaard 13 6 8" xfId="10858"/>
    <cellStyle name="Standaard 13 7" xfId="10859"/>
    <cellStyle name="Standaard 13 7 2" xfId="10860"/>
    <cellStyle name="Standaard 13 7 2 2" xfId="10861"/>
    <cellStyle name="Standaard 13 7 2 2 2" xfId="10862"/>
    <cellStyle name="Standaard 13 7 2 2 2 2" xfId="10863"/>
    <cellStyle name="Standaard 13 7 2 2 2 2 2" xfId="10864"/>
    <cellStyle name="Standaard 13 7 2 2 2 3" xfId="10865"/>
    <cellStyle name="Standaard 13 7 2 2 3" xfId="10866"/>
    <cellStyle name="Standaard 13 7 2 2 3 2" xfId="10867"/>
    <cellStyle name="Standaard 13 7 2 2 4" xfId="10868"/>
    <cellStyle name="Standaard 13 7 2 3" xfId="10869"/>
    <cellStyle name="Standaard 13 7 2 3 2" xfId="10870"/>
    <cellStyle name="Standaard 13 7 2 3 2 2" xfId="10871"/>
    <cellStyle name="Standaard 13 7 2 3 3" xfId="10872"/>
    <cellStyle name="Standaard 13 7 2 4" xfId="10873"/>
    <cellStyle name="Standaard 13 7 2 4 2" xfId="10874"/>
    <cellStyle name="Standaard 13 7 2 5" xfId="10875"/>
    <cellStyle name="Standaard 13 7 2 6" xfId="10876"/>
    <cellStyle name="Standaard 13 7 3" xfId="10877"/>
    <cellStyle name="Standaard 13 7 3 2" xfId="10878"/>
    <cellStyle name="Standaard 13 7 3 2 2" xfId="10879"/>
    <cellStyle name="Standaard 13 7 3 2 2 2" xfId="10880"/>
    <cellStyle name="Standaard 13 7 3 2 3" xfId="10881"/>
    <cellStyle name="Standaard 13 7 3 3" xfId="10882"/>
    <cellStyle name="Standaard 13 7 3 3 2" xfId="10883"/>
    <cellStyle name="Standaard 13 7 3 4" xfId="10884"/>
    <cellStyle name="Standaard 13 7 4" xfId="10885"/>
    <cellStyle name="Standaard 13 7 4 2" xfId="10886"/>
    <cellStyle name="Standaard 13 7 4 2 2" xfId="10887"/>
    <cellStyle name="Standaard 13 7 4 3" xfId="10888"/>
    <cellStyle name="Standaard 13 7 5" xfId="10889"/>
    <cellStyle name="Standaard 13 7 5 2" xfId="10890"/>
    <cellStyle name="Standaard 13 7 6" xfId="10891"/>
    <cellStyle name="Standaard 13 7 7" xfId="10892"/>
    <cellStyle name="Standaard 13 8" xfId="10893"/>
    <cellStyle name="Standaard 13 8 2" xfId="10894"/>
    <cellStyle name="Standaard 13 8 2 2" xfId="10895"/>
    <cellStyle name="Standaard 13 8 2 2 2" xfId="10896"/>
    <cellStyle name="Standaard 13 8 2 2 2 2" xfId="10897"/>
    <cellStyle name="Standaard 13 8 2 2 3" xfId="10898"/>
    <cellStyle name="Standaard 13 8 2 3" xfId="10899"/>
    <cellStyle name="Standaard 13 8 2 3 2" xfId="10900"/>
    <cellStyle name="Standaard 13 8 2 4" xfId="10901"/>
    <cellStyle name="Standaard 13 8 3" xfId="10902"/>
    <cellStyle name="Standaard 13 8 3 2" xfId="10903"/>
    <cellStyle name="Standaard 13 8 3 2 2" xfId="10904"/>
    <cellStyle name="Standaard 13 8 3 3" xfId="10905"/>
    <cellStyle name="Standaard 13 8 4" xfId="10906"/>
    <cellStyle name="Standaard 13 8 4 2" xfId="10907"/>
    <cellStyle name="Standaard 13 8 5" xfId="10908"/>
    <cellStyle name="Standaard 13 8 6" xfId="10909"/>
    <cellStyle name="Standaard 13 9" xfId="10910"/>
    <cellStyle name="Standaard 13 9 2" xfId="10911"/>
    <cellStyle name="Standaard 13 9 2 2" xfId="10912"/>
    <cellStyle name="Standaard 13 9 2 2 2" xfId="10913"/>
    <cellStyle name="Standaard 13 9 2 3" xfId="10914"/>
    <cellStyle name="Standaard 13 9 3" xfId="10915"/>
    <cellStyle name="Standaard 13 9 3 2" xfId="10916"/>
    <cellStyle name="Standaard 13 9 4" xfId="10917"/>
    <cellStyle name="Standaard 14" xfId="10918"/>
    <cellStyle name="Standaard 14 10" xfId="10919"/>
    <cellStyle name="Standaard 14 10 2" xfId="10920"/>
    <cellStyle name="Standaard 14 10 2 2" xfId="10921"/>
    <cellStyle name="Standaard 14 10 3" xfId="10922"/>
    <cellStyle name="Standaard 14 11" xfId="10923"/>
    <cellStyle name="Standaard 14 11 2" xfId="10924"/>
    <cellStyle name="Standaard 14 12" xfId="10925"/>
    <cellStyle name="Standaard 14 13" xfId="10926"/>
    <cellStyle name="Standaard 14 2" xfId="10927"/>
    <cellStyle name="Standaard 14 2 10" xfId="10928"/>
    <cellStyle name="Standaard 14 2 10 2" xfId="10929"/>
    <cellStyle name="Standaard 14 2 11" xfId="10930"/>
    <cellStyle name="Standaard 14 2 12" xfId="10931"/>
    <cellStyle name="Standaard 14 2 2" xfId="10932"/>
    <cellStyle name="Standaard 14 2 2 10" xfId="10933"/>
    <cellStyle name="Standaard 14 2 2 11" xfId="10934"/>
    <cellStyle name="Standaard 14 2 2 2" xfId="10935"/>
    <cellStyle name="Standaard 14 2 2 2 2" xfId="10936"/>
    <cellStyle name="Standaard 14 2 2 2 2 2" xfId="10937"/>
    <cellStyle name="Standaard 14 2 2 2 2 2 2" xfId="10938"/>
    <cellStyle name="Standaard 14 2 2 2 2 2 2 2" xfId="10939"/>
    <cellStyle name="Standaard 14 2 2 2 2 2 2 2 2" xfId="10940"/>
    <cellStyle name="Standaard 14 2 2 2 2 2 2 2 2 2" xfId="10941"/>
    <cellStyle name="Standaard 14 2 2 2 2 2 2 2 2 2 2" xfId="10942"/>
    <cellStyle name="Standaard 14 2 2 2 2 2 2 2 2 3" xfId="10943"/>
    <cellStyle name="Standaard 14 2 2 2 2 2 2 2 3" xfId="10944"/>
    <cellStyle name="Standaard 14 2 2 2 2 2 2 2 3 2" xfId="10945"/>
    <cellStyle name="Standaard 14 2 2 2 2 2 2 2 4" xfId="10946"/>
    <cellStyle name="Standaard 14 2 2 2 2 2 2 3" xfId="10947"/>
    <cellStyle name="Standaard 14 2 2 2 2 2 2 3 2" xfId="10948"/>
    <cellStyle name="Standaard 14 2 2 2 2 2 2 3 2 2" xfId="10949"/>
    <cellStyle name="Standaard 14 2 2 2 2 2 2 3 3" xfId="10950"/>
    <cellStyle name="Standaard 14 2 2 2 2 2 2 4" xfId="10951"/>
    <cellStyle name="Standaard 14 2 2 2 2 2 2 4 2" xfId="10952"/>
    <cellStyle name="Standaard 14 2 2 2 2 2 2 5" xfId="10953"/>
    <cellStyle name="Standaard 14 2 2 2 2 2 2 6" xfId="10954"/>
    <cellStyle name="Standaard 14 2 2 2 2 2 3" xfId="10955"/>
    <cellStyle name="Standaard 14 2 2 2 2 2 3 2" xfId="10956"/>
    <cellStyle name="Standaard 14 2 2 2 2 2 3 2 2" xfId="10957"/>
    <cellStyle name="Standaard 14 2 2 2 2 2 3 2 2 2" xfId="10958"/>
    <cellStyle name="Standaard 14 2 2 2 2 2 3 2 3" xfId="10959"/>
    <cellStyle name="Standaard 14 2 2 2 2 2 3 3" xfId="10960"/>
    <cellStyle name="Standaard 14 2 2 2 2 2 3 3 2" xfId="10961"/>
    <cellStyle name="Standaard 14 2 2 2 2 2 3 4" xfId="10962"/>
    <cellStyle name="Standaard 14 2 2 2 2 2 4" xfId="10963"/>
    <cellStyle name="Standaard 14 2 2 2 2 2 4 2" xfId="10964"/>
    <cellStyle name="Standaard 14 2 2 2 2 2 4 2 2" xfId="10965"/>
    <cellStyle name="Standaard 14 2 2 2 2 2 4 3" xfId="10966"/>
    <cellStyle name="Standaard 14 2 2 2 2 2 5" xfId="10967"/>
    <cellStyle name="Standaard 14 2 2 2 2 2 5 2" xfId="10968"/>
    <cellStyle name="Standaard 14 2 2 2 2 2 6" xfId="10969"/>
    <cellStyle name="Standaard 14 2 2 2 2 2 7" xfId="10970"/>
    <cellStyle name="Standaard 14 2 2 2 2 3" xfId="10971"/>
    <cellStyle name="Standaard 14 2 2 2 2 3 2" xfId="10972"/>
    <cellStyle name="Standaard 14 2 2 2 2 3 2 2" xfId="10973"/>
    <cellStyle name="Standaard 14 2 2 2 2 3 2 2 2" xfId="10974"/>
    <cellStyle name="Standaard 14 2 2 2 2 3 2 2 2 2" xfId="10975"/>
    <cellStyle name="Standaard 14 2 2 2 2 3 2 2 3" xfId="10976"/>
    <cellStyle name="Standaard 14 2 2 2 2 3 2 3" xfId="10977"/>
    <cellStyle name="Standaard 14 2 2 2 2 3 2 3 2" xfId="10978"/>
    <cellStyle name="Standaard 14 2 2 2 2 3 2 4" xfId="10979"/>
    <cellStyle name="Standaard 14 2 2 2 2 3 3" xfId="10980"/>
    <cellStyle name="Standaard 14 2 2 2 2 3 3 2" xfId="10981"/>
    <cellStyle name="Standaard 14 2 2 2 2 3 3 2 2" xfId="10982"/>
    <cellStyle name="Standaard 14 2 2 2 2 3 3 3" xfId="10983"/>
    <cellStyle name="Standaard 14 2 2 2 2 3 4" xfId="10984"/>
    <cellStyle name="Standaard 14 2 2 2 2 3 4 2" xfId="10985"/>
    <cellStyle name="Standaard 14 2 2 2 2 3 5" xfId="10986"/>
    <cellStyle name="Standaard 14 2 2 2 2 3 6" xfId="10987"/>
    <cellStyle name="Standaard 14 2 2 2 2 4" xfId="10988"/>
    <cellStyle name="Standaard 14 2 2 2 2 4 2" xfId="10989"/>
    <cellStyle name="Standaard 14 2 2 2 2 4 2 2" xfId="10990"/>
    <cellStyle name="Standaard 14 2 2 2 2 4 2 2 2" xfId="10991"/>
    <cellStyle name="Standaard 14 2 2 2 2 4 2 3" xfId="10992"/>
    <cellStyle name="Standaard 14 2 2 2 2 4 3" xfId="10993"/>
    <cellStyle name="Standaard 14 2 2 2 2 4 3 2" xfId="10994"/>
    <cellStyle name="Standaard 14 2 2 2 2 4 4" xfId="10995"/>
    <cellStyle name="Standaard 14 2 2 2 2 5" xfId="10996"/>
    <cellStyle name="Standaard 14 2 2 2 2 5 2" xfId="10997"/>
    <cellStyle name="Standaard 14 2 2 2 2 5 2 2" xfId="10998"/>
    <cellStyle name="Standaard 14 2 2 2 2 5 3" xfId="10999"/>
    <cellStyle name="Standaard 14 2 2 2 2 6" xfId="11000"/>
    <cellStyle name="Standaard 14 2 2 2 2 6 2" xfId="11001"/>
    <cellStyle name="Standaard 14 2 2 2 2 7" xfId="11002"/>
    <cellStyle name="Standaard 14 2 2 2 2 8" xfId="11003"/>
    <cellStyle name="Standaard 14 2 2 2 3" xfId="11004"/>
    <cellStyle name="Standaard 14 2 2 2 3 2" xfId="11005"/>
    <cellStyle name="Standaard 14 2 2 2 3 2 2" xfId="11006"/>
    <cellStyle name="Standaard 14 2 2 2 3 2 2 2" xfId="11007"/>
    <cellStyle name="Standaard 14 2 2 2 3 2 2 2 2" xfId="11008"/>
    <cellStyle name="Standaard 14 2 2 2 3 2 2 2 2 2" xfId="11009"/>
    <cellStyle name="Standaard 14 2 2 2 3 2 2 2 3" xfId="11010"/>
    <cellStyle name="Standaard 14 2 2 2 3 2 2 3" xfId="11011"/>
    <cellStyle name="Standaard 14 2 2 2 3 2 2 3 2" xfId="11012"/>
    <cellStyle name="Standaard 14 2 2 2 3 2 2 4" xfId="11013"/>
    <cellStyle name="Standaard 14 2 2 2 3 2 3" xfId="11014"/>
    <cellStyle name="Standaard 14 2 2 2 3 2 3 2" xfId="11015"/>
    <cellStyle name="Standaard 14 2 2 2 3 2 3 2 2" xfId="11016"/>
    <cellStyle name="Standaard 14 2 2 2 3 2 3 3" xfId="11017"/>
    <cellStyle name="Standaard 14 2 2 2 3 2 4" xfId="11018"/>
    <cellStyle name="Standaard 14 2 2 2 3 2 4 2" xfId="11019"/>
    <cellStyle name="Standaard 14 2 2 2 3 2 5" xfId="11020"/>
    <cellStyle name="Standaard 14 2 2 2 3 2 6" xfId="11021"/>
    <cellStyle name="Standaard 14 2 2 2 3 3" xfId="11022"/>
    <cellStyle name="Standaard 14 2 2 2 3 3 2" xfId="11023"/>
    <cellStyle name="Standaard 14 2 2 2 3 3 2 2" xfId="11024"/>
    <cellStyle name="Standaard 14 2 2 2 3 3 2 2 2" xfId="11025"/>
    <cellStyle name="Standaard 14 2 2 2 3 3 2 3" xfId="11026"/>
    <cellStyle name="Standaard 14 2 2 2 3 3 3" xfId="11027"/>
    <cellStyle name="Standaard 14 2 2 2 3 3 3 2" xfId="11028"/>
    <cellStyle name="Standaard 14 2 2 2 3 3 4" xfId="11029"/>
    <cellStyle name="Standaard 14 2 2 2 3 4" xfId="11030"/>
    <cellStyle name="Standaard 14 2 2 2 3 4 2" xfId="11031"/>
    <cellStyle name="Standaard 14 2 2 2 3 4 2 2" xfId="11032"/>
    <cellStyle name="Standaard 14 2 2 2 3 4 3" xfId="11033"/>
    <cellStyle name="Standaard 14 2 2 2 3 5" xfId="11034"/>
    <cellStyle name="Standaard 14 2 2 2 3 5 2" xfId="11035"/>
    <cellStyle name="Standaard 14 2 2 2 3 6" xfId="11036"/>
    <cellStyle name="Standaard 14 2 2 2 3 7" xfId="11037"/>
    <cellStyle name="Standaard 14 2 2 2 4" xfId="11038"/>
    <cellStyle name="Standaard 14 2 2 2 4 2" xfId="11039"/>
    <cellStyle name="Standaard 14 2 2 2 4 2 2" xfId="11040"/>
    <cellStyle name="Standaard 14 2 2 2 4 2 2 2" xfId="11041"/>
    <cellStyle name="Standaard 14 2 2 2 4 2 2 2 2" xfId="11042"/>
    <cellStyle name="Standaard 14 2 2 2 4 2 2 3" xfId="11043"/>
    <cellStyle name="Standaard 14 2 2 2 4 2 3" xfId="11044"/>
    <cellStyle name="Standaard 14 2 2 2 4 2 3 2" xfId="11045"/>
    <cellStyle name="Standaard 14 2 2 2 4 2 4" xfId="11046"/>
    <cellStyle name="Standaard 14 2 2 2 4 3" xfId="11047"/>
    <cellStyle name="Standaard 14 2 2 2 4 3 2" xfId="11048"/>
    <cellStyle name="Standaard 14 2 2 2 4 3 2 2" xfId="11049"/>
    <cellStyle name="Standaard 14 2 2 2 4 3 3" xfId="11050"/>
    <cellStyle name="Standaard 14 2 2 2 4 4" xfId="11051"/>
    <cellStyle name="Standaard 14 2 2 2 4 4 2" xfId="11052"/>
    <cellStyle name="Standaard 14 2 2 2 4 5" xfId="11053"/>
    <cellStyle name="Standaard 14 2 2 2 4 6" xfId="11054"/>
    <cellStyle name="Standaard 14 2 2 2 5" xfId="11055"/>
    <cellStyle name="Standaard 14 2 2 2 5 2" xfId="11056"/>
    <cellStyle name="Standaard 14 2 2 2 5 2 2" xfId="11057"/>
    <cellStyle name="Standaard 14 2 2 2 5 2 2 2" xfId="11058"/>
    <cellStyle name="Standaard 14 2 2 2 5 2 3" xfId="11059"/>
    <cellStyle name="Standaard 14 2 2 2 5 3" xfId="11060"/>
    <cellStyle name="Standaard 14 2 2 2 5 3 2" xfId="11061"/>
    <cellStyle name="Standaard 14 2 2 2 5 4" xfId="11062"/>
    <cellStyle name="Standaard 14 2 2 2 6" xfId="11063"/>
    <cellStyle name="Standaard 14 2 2 2 6 2" xfId="11064"/>
    <cellStyle name="Standaard 14 2 2 2 6 2 2" xfId="11065"/>
    <cellStyle name="Standaard 14 2 2 2 6 3" xfId="11066"/>
    <cellStyle name="Standaard 14 2 2 2 7" xfId="11067"/>
    <cellStyle name="Standaard 14 2 2 2 7 2" xfId="11068"/>
    <cellStyle name="Standaard 14 2 2 2 8" xfId="11069"/>
    <cellStyle name="Standaard 14 2 2 2 9" xfId="11070"/>
    <cellStyle name="Standaard 14 2 2 3" xfId="11071"/>
    <cellStyle name="Standaard 14 2 2 3 2" xfId="11072"/>
    <cellStyle name="Standaard 14 2 2 3 2 2" xfId="11073"/>
    <cellStyle name="Standaard 14 2 2 3 2 2 2" xfId="11074"/>
    <cellStyle name="Standaard 14 2 2 3 2 2 2 2" xfId="11075"/>
    <cellStyle name="Standaard 14 2 2 3 2 2 2 2 2" xfId="11076"/>
    <cellStyle name="Standaard 14 2 2 3 2 2 2 2 2 2" xfId="11077"/>
    <cellStyle name="Standaard 14 2 2 3 2 2 2 2 3" xfId="11078"/>
    <cellStyle name="Standaard 14 2 2 3 2 2 2 3" xfId="11079"/>
    <cellStyle name="Standaard 14 2 2 3 2 2 2 3 2" xfId="11080"/>
    <cellStyle name="Standaard 14 2 2 3 2 2 2 4" xfId="11081"/>
    <cellStyle name="Standaard 14 2 2 3 2 2 3" xfId="11082"/>
    <cellStyle name="Standaard 14 2 2 3 2 2 3 2" xfId="11083"/>
    <cellStyle name="Standaard 14 2 2 3 2 2 3 2 2" xfId="11084"/>
    <cellStyle name="Standaard 14 2 2 3 2 2 3 3" xfId="11085"/>
    <cellStyle name="Standaard 14 2 2 3 2 2 4" xfId="11086"/>
    <cellStyle name="Standaard 14 2 2 3 2 2 4 2" xfId="11087"/>
    <cellStyle name="Standaard 14 2 2 3 2 2 5" xfId="11088"/>
    <cellStyle name="Standaard 14 2 2 3 2 2 6" xfId="11089"/>
    <cellStyle name="Standaard 14 2 2 3 2 3" xfId="11090"/>
    <cellStyle name="Standaard 14 2 2 3 2 3 2" xfId="11091"/>
    <cellStyle name="Standaard 14 2 2 3 2 3 2 2" xfId="11092"/>
    <cellStyle name="Standaard 14 2 2 3 2 3 2 2 2" xfId="11093"/>
    <cellStyle name="Standaard 14 2 2 3 2 3 2 3" xfId="11094"/>
    <cellStyle name="Standaard 14 2 2 3 2 3 3" xfId="11095"/>
    <cellStyle name="Standaard 14 2 2 3 2 3 3 2" xfId="11096"/>
    <cellStyle name="Standaard 14 2 2 3 2 3 4" xfId="11097"/>
    <cellStyle name="Standaard 14 2 2 3 2 4" xfId="11098"/>
    <cellStyle name="Standaard 14 2 2 3 2 4 2" xfId="11099"/>
    <cellStyle name="Standaard 14 2 2 3 2 4 2 2" xfId="11100"/>
    <cellStyle name="Standaard 14 2 2 3 2 4 3" xfId="11101"/>
    <cellStyle name="Standaard 14 2 2 3 2 5" xfId="11102"/>
    <cellStyle name="Standaard 14 2 2 3 2 5 2" xfId="11103"/>
    <cellStyle name="Standaard 14 2 2 3 2 6" xfId="11104"/>
    <cellStyle name="Standaard 14 2 2 3 2 7" xfId="11105"/>
    <cellStyle name="Standaard 14 2 2 3 3" xfId="11106"/>
    <cellStyle name="Standaard 14 2 2 3 3 2" xfId="11107"/>
    <cellStyle name="Standaard 14 2 2 3 3 2 2" xfId="11108"/>
    <cellStyle name="Standaard 14 2 2 3 3 2 2 2" xfId="11109"/>
    <cellStyle name="Standaard 14 2 2 3 3 2 2 2 2" xfId="11110"/>
    <cellStyle name="Standaard 14 2 2 3 3 2 2 3" xfId="11111"/>
    <cellStyle name="Standaard 14 2 2 3 3 2 3" xfId="11112"/>
    <cellStyle name="Standaard 14 2 2 3 3 2 3 2" xfId="11113"/>
    <cellStyle name="Standaard 14 2 2 3 3 2 4" xfId="11114"/>
    <cellStyle name="Standaard 14 2 2 3 3 3" xfId="11115"/>
    <cellStyle name="Standaard 14 2 2 3 3 3 2" xfId="11116"/>
    <cellStyle name="Standaard 14 2 2 3 3 3 2 2" xfId="11117"/>
    <cellStyle name="Standaard 14 2 2 3 3 3 3" xfId="11118"/>
    <cellStyle name="Standaard 14 2 2 3 3 4" xfId="11119"/>
    <cellStyle name="Standaard 14 2 2 3 3 4 2" xfId="11120"/>
    <cellStyle name="Standaard 14 2 2 3 3 5" xfId="11121"/>
    <cellStyle name="Standaard 14 2 2 3 3 6" xfId="11122"/>
    <cellStyle name="Standaard 14 2 2 3 4" xfId="11123"/>
    <cellStyle name="Standaard 14 2 2 3 4 2" xfId="11124"/>
    <cellStyle name="Standaard 14 2 2 3 4 2 2" xfId="11125"/>
    <cellStyle name="Standaard 14 2 2 3 4 2 2 2" xfId="11126"/>
    <cellStyle name="Standaard 14 2 2 3 4 2 3" xfId="11127"/>
    <cellStyle name="Standaard 14 2 2 3 4 3" xfId="11128"/>
    <cellStyle name="Standaard 14 2 2 3 4 3 2" xfId="11129"/>
    <cellStyle name="Standaard 14 2 2 3 4 4" xfId="11130"/>
    <cellStyle name="Standaard 14 2 2 3 5" xfId="11131"/>
    <cellStyle name="Standaard 14 2 2 3 5 2" xfId="11132"/>
    <cellStyle name="Standaard 14 2 2 3 5 2 2" xfId="11133"/>
    <cellStyle name="Standaard 14 2 2 3 5 3" xfId="11134"/>
    <cellStyle name="Standaard 14 2 2 3 6" xfId="11135"/>
    <cellStyle name="Standaard 14 2 2 3 6 2" xfId="11136"/>
    <cellStyle name="Standaard 14 2 2 3 7" xfId="11137"/>
    <cellStyle name="Standaard 14 2 2 3 8" xfId="11138"/>
    <cellStyle name="Standaard 14 2 2 4" xfId="11139"/>
    <cellStyle name="Standaard 14 2 2 4 2" xfId="11140"/>
    <cellStyle name="Standaard 14 2 2 4 2 2" xfId="11141"/>
    <cellStyle name="Standaard 14 2 2 4 2 2 2" xfId="11142"/>
    <cellStyle name="Standaard 14 2 2 4 2 2 2 2" xfId="11143"/>
    <cellStyle name="Standaard 14 2 2 4 2 2 2 2 2" xfId="11144"/>
    <cellStyle name="Standaard 14 2 2 4 2 2 2 2 2 2" xfId="11145"/>
    <cellStyle name="Standaard 14 2 2 4 2 2 2 2 3" xfId="11146"/>
    <cellStyle name="Standaard 14 2 2 4 2 2 2 3" xfId="11147"/>
    <cellStyle name="Standaard 14 2 2 4 2 2 2 3 2" xfId="11148"/>
    <cellStyle name="Standaard 14 2 2 4 2 2 2 4" xfId="11149"/>
    <cellStyle name="Standaard 14 2 2 4 2 2 3" xfId="11150"/>
    <cellStyle name="Standaard 14 2 2 4 2 2 3 2" xfId="11151"/>
    <cellStyle name="Standaard 14 2 2 4 2 2 3 2 2" xfId="11152"/>
    <cellStyle name="Standaard 14 2 2 4 2 2 3 3" xfId="11153"/>
    <cellStyle name="Standaard 14 2 2 4 2 2 4" xfId="11154"/>
    <cellStyle name="Standaard 14 2 2 4 2 2 4 2" xfId="11155"/>
    <cellStyle name="Standaard 14 2 2 4 2 2 5" xfId="11156"/>
    <cellStyle name="Standaard 14 2 2 4 2 2 6" xfId="11157"/>
    <cellStyle name="Standaard 14 2 2 4 2 3" xfId="11158"/>
    <cellStyle name="Standaard 14 2 2 4 2 3 2" xfId="11159"/>
    <cellStyle name="Standaard 14 2 2 4 2 3 2 2" xfId="11160"/>
    <cellStyle name="Standaard 14 2 2 4 2 3 2 2 2" xfId="11161"/>
    <cellStyle name="Standaard 14 2 2 4 2 3 2 3" xfId="11162"/>
    <cellStyle name="Standaard 14 2 2 4 2 3 3" xfId="11163"/>
    <cellStyle name="Standaard 14 2 2 4 2 3 3 2" xfId="11164"/>
    <cellStyle name="Standaard 14 2 2 4 2 3 4" xfId="11165"/>
    <cellStyle name="Standaard 14 2 2 4 2 4" xfId="11166"/>
    <cellStyle name="Standaard 14 2 2 4 2 4 2" xfId="11167"/>
    <cellStyle name="Standaard 14 2 2 4 2 4 2 2" xfId="11168"/>
    <cellStyle name="Standaard 14 2 2 4 2 4 3" xfId="11169"/>
    <cellStyle name="Standaard 14 2 2 4 2 5" xfId="11170"/>
    <cellStyle name="Standaard 14 2 2 4 2 5 2" xfId="11171"/>
    <cellStyle name="Standaard 14 2 2 4 2 6" xfId="11172"/>
    <cellStyle name="Standaard 14 2 2 4 2 7" xfId="11173"/>
    <cellStyle name="Standaard 14 2 2 4 3" xfId="11174"/>
    <cellStyle name="Standaard 14 2 2 4 3 2" xfId="11175"/>
    <cellStyle name="Standaard 14 2 2 4 3 2 2" xfId="11176"/>
    <cellStyle name="Standaard 14 2 2 4 3 2 2 2" xfId="11177"/>
    <cellStyle name="Standaard 14 2 2 4 3 2 2 2 2" xfId="11178"/>
    <cellStyle name="Standaard 14 2 2 4 3 2 2 3" xfId="11179"/>
    <cellStyle name="Standaard 14 2 2 4 3 2 3" xfId="11180"/>
    <cellStyle name="Standaard 14 2 2 4 3 2 3 2" xfId="11181"/>
    <cellStyle name="Standaard 14 2 2 4 3 2 4" xfId="11182"/>
    <cellStyle name="Standaard 14 2 2 4 3 3" xfId="11183"/>
    <cellStyle name="Standaard 14 2 2 4 3 3 2" xfId="11184"/>
    <cellStyle name="Standaard 14 2 2 4 3 3 2 2" xfId="11185"/>
    <cellStyle name="Standaard 14 2 2 4 3 3 3" xfId="11186"/>
    <cellStyle name="Standaard 14 2 2 4 3 4" xfId="11187"/>
    <cellStyle name="Standaard 14 2 2 4 3 4 2" xfId="11188"/>
    <cellStyle name="Standaard 14 2 2 4 3 5" xfId="11189"/>
    <cellStyle name="Standaard 14 2 2 4 3 6" xfId="11190"/>
    <cellStyle name="Standaard 14 2 2 4 4" xfId="11191"/>
    <cellStyle name="Standaard 14 2 2 4 4 2" xfId="11192"/>
    <cellStyle name="Standaard 14 2 2 4 4 2 2" xfId="11193"/>
    <cellStyle name="Standaard 14 2 2 4 4 2 2 2" xfId="11194"/>
    <cellStyle name="Standaard 14 2 2 4 4 2 3" xfId="11195"/>
    <cellStyle name="Standaard 14 2 2 4 4 3" xfId="11196"/>
    <cellStyle name="Standaard 14 2 2 4 4 3 2" xfId="11197"/>
    <cellStyle name="Standaard 14 2 2 4 4 4" xfId="11198"/>
    <cellStyle name="Standaard 14 2 2 4 5" xfId="11199"/>
    <cellStyle name="Standaard 14 2 2 4 5 2" xfId="11200"/>
    <cellStyle name="Standaard 14 2 2 4 5 2 2" xfId="11201"/>
    <cellStyle name="Standaard 14 2 2 4 5 3" xfId="11202"/>
    <cellStyle name="Standaard 14 2 2 4 6" xfId="11203"/>
    <cellStyle name="Standaard 14 2 2 4 6 2" xfId="11204"/>
    <cellStyle name="Standaard 14 2 2 4 7" xfId="11205"/>
    <cellStyle name="Standaard 14 2 2 4 8" xfId="11206"/>
    <cellStyle name="Standaard 14 2 2 5" xfId="11207"/>
    <cellStyle name="Standaard 14 2 2 5 2" xfId="11208"/>
    <cellStyle name="Standaard 14 2 2 5 2 2" xfId="11209"/>
    <cellStyle name="Standaard 14 2 2 5 2 2 2" xfId="11210"/>
    <cellStyle name="Standaard 14 2 2 5 2 2 2 2" xfId="11211"/>
    <cellStyle name="Standaard 14 2 2 5 2 2 2 2 2" xfId="11212"/>
    <cellStyle name="Standaard 14 2 2 5 2 2 2 3" xfId="11213"/>
    <cellStyle name="Standaard 14 2 2 5 2 2 3" xfId="11214"/>
    <cellStyle name="Standaard 14 2 2 5 2 2 3 2" xfId="11215"/>
    <cellStyle name="Standaard 14 2 2 5 2 2 4" xfId="11216"/>
    <cellStyle name="Standaard 14 2 2 5 2 3" xfId="11217"/>
    <cellStyle name="Standaard 14 2 2 5 2 3 2" xfId="11218"/>
    <cellStyle name="Standaard 14 2 2 5 2 3 2 2" xfId="11219"/>
    <cellStyle name="Standaard 14 2 2 5 2 3 3" xfId="11220"/>
    <cellStyle name="Standaard 14 2 2 5 2 4" xfId="11221"/>
    <cellStyle name="Standaard 14 2 2 5 2 4 2" xfId="11222"/>
    <cellStyle name="Standaard 14 2 2 5 2 5" xfId="11223"/>
    <cellStyle name="Standaard 14 2 2 5 2 6" xfId="11224"/>
    <cellStyle name="Standaard 14 2 2 5 3" xfId="11225"/>
    <cellStyle name="Standaard 14 2 2 5 3 2" xfId="11226"/>
    <cellStyle name="Standaard 14 2 2 5 3 2 2" xfId="11227"/>
    <cellStyle name="Standaard 14 2 2 5 3 2 2 2" xfId="11228"/>
    <cellStyle name="Standaard 14 2 2 5 3 2 3" xfId="11229"/>
    <cellStyle name="Standaard 14 2 2 5 3 3" xfId="11230"/>
    <cellStyle name="Standaard 14 2 2 5 3 3 2" xfId="11231"/>
    <cellStyle name="Standaard 14 2 2 5 3 4" xfId="11232"/>
    <cellStyle name="Standaard 14 2 2 5 4" xfId="11233"/>
    <cellStyle name="Standaard 14 2 2 5 4 2" xfId="11234"/>
    <cellStyle name="Standaard 14 2 2 5 4 2 2" xfId="11235"/>
    <cellStyle name="Standaard 14 2 2 5 4 3" xfId="11236"/>
    <cellStyle name="Standaard 14 2 2 5 5" xfId="11237"/>
    <cellStyle name="Standaard 14 2 2 5 5 2" xfId="11238"/>
    <cellStyle name="Standaard 14 2 2 5 6" xfId="11239"/>
    <cellStyle name="Standaard 14 2 2 5 7" xfId="11240"/>
    <cellStyle name="Standaard 14 2 2 6" xfId="11241"/>
    <cellStyle name="Standaard 14 2 2 6 2" xfId="11242"/>
    <cellStyle name="Standaard 14 2 2 6 2 2" xfId="11243"/>
    <cellStyle name="Standaard 14 2 2 6 2 2 2" xfId="11244"/>
    <cellStyle name="Standaard 14 2 2 6 2 2 2 2" xfId="11245"/>
    <cellStyle name="Standaard 14 2 2 6 2 2 3" xfId="11246"/>
    <cellStyle name="Standaard 14 2 2 6 2 3" xfId="11247"/>
    <cellStyle name="Standaard 14 2 2 6 2 3 2" xfId="11248"/>
    <cellStyle name="Standaard 14 2 2 6 2 4" xfId="11249"/>
    <cellStyle name="Standaard 14 2 2 6 3" xfId="11250"/>
    <cellStyle name="Standaard 14 2 2 6 3 2" xfId="11251"/>
    <cellStyle name="Standaard 14 2 2 6 3 2 2" xfId="11252"/>
    <cellStyle name="Standaard 14 2 2 6 3 3" xfId="11253"/>
    <cellStyle name="Standaard 14 2 2 6 4" xfId="11254"/>
    <cellStyle name="Standaard 14 2 2 6 4 2" xfId="11255"/>
    <cellStyle name="Standaard 14 2 2 6 5" xfId="11256"/>
    <cellStyle name="Standaard 14 2 2 6 6" xfId="11257"/>
    <cellStyle name="Standaard 14 2 2 7" xfId="11258"/>
    <cellStyle name="Standaard 14 2 2 7 2" xfId="11259"/>
    <cellStyle name="Standaard 14 2 2 7 2 2" xfId="11260"/>
    <cellStyle name="Standaard 14 2 2 7 2 2 2" xfId="11261"/>
    <cellStyle name="Standaard 14 2 2 7 2 3" xfId="11262"/>
    <cellStyle name="Standaard 14 2 2 7 3" xfId="11263"/>
    <cellStyle name="Standaard 14 2 2 7 3 2" xfId="11264"/>
    <cellStyle name="Standaard 14 2 2 7 4" xfId="11265"/>
    <cellStyle name="Standaard 14 2 2 8" xfId="11266"/>
    <cellStyle name="Standaard 14 2 2 8 2" xfId="11267"/>
    <cellStyle name="Standaard 14 2 2 8 2 2" xfId="11268"/>
    <cellStyle name="Standaard 14 2 2 8 3" xfId="11269"/>
    <cellStyle name="Standaard 14 2 2 9" xfId="11270"/>
    <cellStyle name="Standaard 14 2 2 9 2" xfId="11271"/>
    <cellStyle name="Standaard 14 2 3" xfId="11272"/>
    <cellStyle name="Standaard 14 2 3 2" xfId="11273"/>
    <cellStyle name="Standaard 14 2 3 2 2" xfId="11274"/>
    <cellStyle name="Standaard 14 2 3 2 2 2" xfId="11275"/>
    <cellStyle name="Standaard 14 2 3 2 2 2 2" xfId="11276"/>
    <cellStyle name="Standaard 14 2 3 2 2 2 2 2" xfId="11277"/>
    <cellStyle name="Standaard 14 2 3 2 2 2 2 2 2" xfId="11278"/>
    <cellStyle name="Standaard 14 2 3 2 2 2 2 2 2 2" xfId="11279"/>
    <cellStyle name="Standaard 14 2 3 2 2 2 2 2 3" xfId="11280"/>
    <cellStyle name="Standaard 14 2 3 2 2 2 2 3" xfId="11281"/>
    <cellStyle name="Standaard 14 2 3 2 2 2 2 3 2" xfId="11282"/>
    <cellStyle name="Standaard 14 2 3 2 2 2 2 4" xfId="11283"/>
    <cellStyle name="Standaard 14 2 3 2 2 2 3" xfId="11284"/>
    <cellStyle name="Standaard 14 2 3 2 2 2 3 2" xfId="11285"/>
    <cellStyle name="Standaard 14 2 3 2 2 2 3 2 2" xfId="11286"/>
    <cellStyle name="Standaard 14 2 3 2 2 2 3 3" xfId="11287"/>
    <cellStyle name="Standaard 14 2 3 2 2 2 4" xfId="11288"/>
    <cellStyle name="Standaard 14 2 3 2 2 2 4 2" xfId="11289"/>
    <cellStyle name="Standaard 14 2 3 2 2 2 5" xfId="11290"/>
    <cellStyle name="Standaard 14 2 3 2 2 2 6" xfId="11291"/>
    <cellStyle name="Standaard 14 2 3 2 2 3" xfId="11292"/>
    <cellStyle name="Standaard 14 2 3 2 2 3 2" xfId="11293"/>
    <cellStyle name="Standaard 14 2 3 2 2 3 2 2" xfId="11294"/>
    <cellStyle name="Standaard 14 2 3 2 2 3 2 2 2" xfId="11295"/>
    <cellStyle name="Standaard 14 2 3 2 2 3 2 3" xfId="11296"/>
    <cellStyle name="Standaard 14 2 3 2 2 3 3" xfId="11297"/>
    <cellStyle name="Standaard 14 2 3 2 2 3 3 2" xfId="11298"/>
    <cellStyle name="Standaard 14 2 3 2 2 3 4" xfId="11299"/>
    <cellStyle name="Standaard 14 2 3 2 2 4" xfId="11300"/>
    <cellStyle name="Standaard 14 2 3 2 2 4 2" xfId="11301"/>
    <cellStyle name="Standaard 14 2 3 2 2 4 2 2" xfId="11302"/>
    <cellStyle name="Standaard 14 2 3 2 2 4 3" xfId="11303"/>
    <cellStyle name="Standaard 14 2 3 2 2 5" xfId="11304"/>
    <cellStyle name="Standaard 14 2 3 2 2 5 2" xfId="11305"/>
    <cellStyle name="Standaard 14 2 3 2 2 6" xfId="11306"/>
    <cellStyle name="Standaard 14 2 3 2 2 7" xfId="11307"/>
    <cellStyle name="Standaard 14 2 3 2 3" xfId="11308"/>
    <cellStyle name="Standaard 14 2 3 2 3 2" xfId="11309"/>
    <cellStyle name="Standaard 14 2 3 2 3 2 2" xfId="11310"/>
    <cellStyle name="Standaard 14 2 3 2 3 2 2 2" xfId="11311"/>
    <cellStyle name="Standaard 14 2 3 2 3 2 2 2 2" xfId="11312"/>
    <cellStyle name="Standaard 14 2 3 2 3 2 2 3" xfId="11313"/>
    <cellStyle name="Standaard 14 2 3 2 3 2 3" xfId="11314"/>
    <cellStyle name="Standaard 14 2 3 2 3 2 3 2" xfId="11315"/>
    <cellStyle name="Standaard 14 2 3 2 3 2 4" xfId="11316"/>
    <cellStyle name="Standaard 14 2 3 2 3 3" xfId="11317"/>
    <cellStyle name="Standaard 14 2 3 2 3 3 2" xfId="11318"/>
    <cellStyle name="Standaard 14 2 3 2 3 3 2 2" xfId="11319"/>
    <cellStyle name="Standaard 14 2 3 2 3 3 3" xfId="11320"/>
    <cellStyle name="Standaard 14 2 3 2 3 4" xfId="11321"/>
    <cellStyle name="Standaard 14 2 3 2 3 4 2" xfId="11322"/>
    <cellStyle name="Standaard 14 2 3 2 3 5" xfId="11323"/>
    <cellStyle name="Standaard 14 2 3 2 3 6" xfId="11324"/>
    <cellStyle name="Standaard 14 2 3 2 4" xfId="11325"/>
    <cellStyle name="Standaard 14 2 3 2 4 2" xfId="11326"/>
    <cellStyle name="Standaard 14 2 3 2 4 2 2" xfId="11327"/>
    <cellStyle name="Standaard 14 2 3 2 4 2 2 2" xfId="11328"/>
    <cellStyle name="Standaard 14 2 3 2 4 2 3" xfId="11329"/>
    <cellStyle name="Standaard 14 2 3 2 4 3" xfId="11330"/>
    <cellStyle name="Standaard 14 2 3 2 4 3 2" xfId="11331"/>
    <cellStyle name="Standaard 14 2 3 2 4 4" xfId="11332"/>
    <cellStyle name="Standaard 14 2 3 2 5" xfId="11333"/>
    <cellStyle name="Standaard 14 2 3 2 5 2" xfId="11334"/>
    <cellStyle name="Standaard 14 2 3 2 5 2 2" xfId="11335"/>
    <cellStyle name="Standaard 14 2 3 2 5 3" xfId="11336"/>
    <cellStyle name="Standaard 14 2 3 2 6" xfId="11337"/>
    <cellStyle name="Standaard 14 2 3 2 6 2" xfId="11338"/>
    <cellStyle name="Standaard 14 2 3 2 7" xfId="11339"/>
    <cellStyle name="Standaard 14 2 3 2 8" xfId="11340"/>
    <cellStyle name="Standaard 14 2 3 3" xfId="11341"/>
    <cellStyle name="Standaard 14 2 3 3 2" xfId="11342"/>
    <cellStyle name="Standaard 14 2 3 3 2 2" xfId="11343"/>
    <cellStyle name="Standaard 14 2 3 3 2 2 2" xfId="11344"/>
    <cellStyle name="Standaard 14 2 3 3 2 2 2 2" xfId="11345"/>
    <cellStyle name="Standaard 14 2 3 3 2 2 2 2 2" xfId="11346"/>
    <cellStyle name="Standaard 14 2 3 3 2 2 2 3" xfId="11347"/>
    <cellStyle name="Standaard 14 2 3 3 2 2 3" xfId="11348"/>
    <cellStyle name="Standaard 14 2 3 3 2 2 3 2" xfId="11349"/>
    <cellStyle name="Standaard 14 2 3 3 2 2 4" xfId="11350"/>
    <cellStyle name="Standaard 14 2 3 3 2 3" xfId="11351"/>
    <cellStyle name="Standaard 14 2 3 3 2 3 2" xfId="11352"/>
    <cellStyle name="Standaard 14 2 3 3 2 3 2 2" xfId="11353"/>
    <cellStyle name="Standaard 14 2 3 3 2 3 3" xfId="11354"/>
    <cellStyle name="Standaard 14 2 3 3 2 4" xfId="11355"/>
    <cellStyle name="Standaard 14 2 3 3 2 4 2" xfId="11356"/>
    <cellStyle name="Standaard 14 2 3 3 2 5" xfId="11357"/>
    <cellStyle name="Standaard 14 2 3 3 2 6" xfId="11358"/>
    <cellStyle name="Standaard 14 2 3 3 3" xfId="11359"/>
    <cellStyle name="Standaard 14 2 3 3 3 2" xfId="11360"/>
    <cellStyle name="Standaard 14 2 3 3 3 2 2" xfId="11361"/>
    <cellStyle name="Standaard 14 2 3 3 3 2 2 2" xfId="11362"/>
    <cellStyle name="Standaard 14 2 3 3 3 2 3" xfId="11363"/>
    <cellStyle name="Standaard 14 2 3 3 3 3" xfId="11364"/>
    <cellStyle name="Standaard 14 2 3 3 3 3 2" xfId="11365"/>
    <cellStyle name="Standaard 14 2 3 3 3 4" xfId="11366"/>
    <cellStyle name="Standaard 14 2 3 3 4" xfId="11367"/>
    <cellStyle name="Standaard 14 2 3 3 4 2" xfId="11368"/>
    <cellStyle name="Standaard 14 2 3 3 4 2 2" xfId="11369"/>
    <cellStyle name="Standaard 14 2 3 3 4 3" xfId="11370"/>
    <cellStyle name="Standaard 14 2 3 3 5" xfId="11371"/>
    <cellStyle name="Standaard 14 2 3 3 5 2" xfId="11372"/>
    <cellStyle name="Standaard 14 2 3 3 6" xfId="11373"/>
    <cellStyle name="Standaard 14 2 3 3 7" xfId="11374"/>
    <cellStyle name="Standaard 14 2 3 4" xfId="11375"/>
    <cellStyle name="Standaard 14 2 3 4 2" xfId="11376"/>
    <cellStyle name="Standaard 14 2 3 4 2 2" xfId="11377"/>
    <cellStyle name="Standaard 14 2 3 4 2 2 2" xfId="11378"/>
    <cellStyle name="Standaard 14 2 3 4 2 2 2 2" xfId="11379"/>
    <cellStyle name="Standaard 14 2 3 4 2 2 3" xfId="11380"/>
    <cellStyle name="Standaard 14 2 3 4 2 3" xfId="11381"/>
    <cellStyle name="Standaard 14 2 3 4 2 3 2" xfId="11382"/>
    <cellStyle name="Standaard 14 2 3 4 2 4" xfId="11383"/>
    <cellStyle name="Standaard 14 2 3 4 3" xfId="11384"/>
    <cellStyle name="Standaard 14 2 3 4 3 2" xfId="11385"/>
    <cellStyle name="Standaard 14 2 3 4 3 2 2" xfId="11386"/>
    <cellStyle name="Standaard 14 2 3 4 3 3" xfId="11387"/>
    <cellStyle name="Standaard 14 2 3 4 4" xfId="11388"/>
    <cellStyle name="Standaard 14 2 3 4 4 2" xfId="11389"/>
    <cellStyle name="Standaard 14 2 3 4 5" xfId="11390"/>
    <cellStyle name="Standaard 14 2 3 4 6" xfId="11391"/>
    <cellStyle name="Standaard 14 2 3 5" xfId="11392"/>
    <cellStyle name="Standaard 14 2 3 5 2" xfId="11393"/>
    <cellStyle name="Standaard 14 2 3 5 2 2" xfId="11394"/>
    <cellStyle name="Standaard 14 2 3 5 2 2 2" xfId="11395"/>
    <cellStyle name="Standaard 14 2 3 5 2 3" xfId="11396"/>
    <cellStyle name="Standaard 14 2 3 5 3" xfId="11397"/>
    <cellStyle name="Standaard 14 2 3 5 3 2" xfId="11398"/>
    <cellStyle name="Standaard 14 2 3 5 4" xfId="11399"/>
    <cellStyle name="Standaard 14 2 3 6" xfId="11400"/>
    <cellStyle name="Standaard 14 2 3 6 2" xfId="11401"/>
    <cellStyle name="Standaard 14 2 3 6 2 2" xfId="11402"/>
    <cellStyle name="Standaard 14 2 3 6 3" xfId="11403"/>
    <cellStyle name="Standaard 14 2 3 7" xfId="11404"/>
    <cellStyle name="Standaard 14 2 3 7 2" xfId="11405"/>
    <cellStyle name="Standaard 14 2 3 8" xfId="11406"/>
    <cellStyle name="Standaard 14 2 3 9" xfId="11407"/>
    <cellStyle name="Standaard 14 2 4" xfId="11408"/>
    <cellStyle name="Standaard 14 2 4 2" xfId="11409"/>
    <cellStyle name="Standaard 14 2 4 2 2" xfId="11410"/>
    <cellStyle name="Standaard 14 2 4 2 2 2" xfId="11411"/>
    <cellStyle name="Standaard 14 2 4 2 2 2 2" xfId="11412"/>
    <cellStyle name="Standaard 14 2 4 2 2 2 2 2" xfId="11413"/>
    <cellStyle name="Standaard 14 2 4 2 2 2 2 2 2" xfId="11414"/>
    <cellStyle name="Standaard 14 2 4 2 2 2 2 3" xfId="11415"/>
    <cellStyle name="Standaard 14 2 4 2 2 2 3" xfId="11416"/>
    <cellStyle name="Standaard 14 2 4 2 2 2 3 2" xfId="11417"/>
    <cellStyle name="Standaard 14 2 4 2 2 2 4" xfId="11418"/>
    <cellStyle name="Standaard 14 2 4 2 2 3" xfId="11419"/>
    <cellStyle name="Standaard 14 2 4 2 2 3 2" xfId="11420"/>
    <cellStyle name="Standaard 14 2 4 2 2 3 2 2" xfId="11421"/>
    <cellStyle name="Standaard 14 2 4 2 2 3 3" xfId="11422"/>
    <cellStyle name="Standaard 14 2 4 2 2 4" xfId="11423"/>
    <cellStyle name="Standaard 14 2 4 2 2 4 2" xfId="11424"/>
    <cellStyle name="Standaard 14 2 4 2 2 5" xfId="11425"/>
    <cellStyle name="Standaard 14 2 4 2 2 6" xfId="11426"/>
    <cellStyle name="Standaard 14 2 4 2 3" xfId="11427"/>
    <cellStyle name="Standaard 14 2 4 2 3 2" xfId="11428"/>
    <cellStyle name="Standaard 14 2 4 2 3 2 2" xfId="11429"/>
    <cellStyle name="Standaard 14 2 4 2 3 2 2 2" xfId="11430"/>
    <cellStyle name="Standaard 14 2 4 2 3 2 3" xfId="11431"/>
    <cellStyle name="Standaard 14 2 4 2 3 3" xfId="11432"/>
    <cellStyle name="Standaard 14 2 4 2 3 3 2" xfId="11433"/>
    <cellStyle name="Standaard 14 2 4 2 3 4" xfId="11434"/>
    <cellStyle name="Standaard 14 2 4 2 4" xfId="11435"/>
    <cellStyle name="Standaard 14 2 4 2 4 2" xfId="11436"/>
    <cellStyle name="Standaard 14 2 4 2 4 2 2" xfId="11437"/>
    <cellStyle name="Standaard 14 2 4 2 4 3" xfId="11438"/>
    <cellStyle name="Standaard 14 2 4 2 5" xfId="11439"/>
    <cellStyle name="Standaard 14 2 4 2 5 2" xfId="11440"/>
    <cellStyle name="Standaard 14 2 4 2 6" xfId="11441"/>
    <cellStyle name="Standaard 14 2 4 2 7" xfId="11442"/>
    <cellStyle name="Standaard 14 2 4 3" xfId="11443"/>
    <cellStyle name="Standaard 14 2 4 3 2" xfId="11444"/>
    <cellStyle name="Standaard 14 2 4 3 2 2" xfId="11445"/>
    <cellStyle name="Standaard 14 2 4 3 2 2 2" xfId="11446"/>
    <cellStyle name="Standaard 14 2 4 3 2 2 2 2" xfId="11447"/>
    <cellStyle name="Standaard 14 2 4 3 2 2 3" xfId="11448"/>
    <cellStyle name="Standaard 14 2 4 3 2 3" xfId="11449"/>
    <cellStyle name="Standaard 14 2 4 3 2 3 2" xfId="11450"/>
    <cellStyle name="Standaard 14 2 4 3 2 4" xfId="11451"/>
    <cellStyle name="Standaard 14 2 4 3 3" xfId="11452"/>
    <cellStyle name="Standaard 14 2 4 3 3 2" xfId="11453"/>
    <cellStyle name="Standaard 14 2 4 3 3 2 2" xfId="11454"/>
    <cellStyle name="Standaard 14 2 4 3 3 3" xfId="11455"/>
    <cellStyle name="Standaard 14 2 4 3 4" xfId="11456"/>
    <cellStyle name="Standaard 14 2 4 3 4 2" xfId="11457"/>
    <cellStyle name="Standaard 14 2 4 3 5" xfId="11458"/>
    <cellStyle name="Standaard 14 2 4 3 6" xfId="11459"/>
    <cellStyle name="Standaard 14 2 4 4" xfId="11460"/>
    <cellStyle name="Standaard 14 2 4 4 2" xfId="11461"/>
    <cellStyle name="Standaard 14 2 4 4 2 2" xfId="11462"/>
    <cellStyle name="Standaard 14 2 4 4 2 2 2" xfId="11463"/>
    <cellStyle name="Standaard 14 2 4 4 2 3" xfId="11464"/>
    <cellStyle name="Standaard 14 2 4 4 3" xfId="11465"/>
    <cellStyle name="Standaard 14 2 4 4 3 2" xfId="11466"/>
    <cellStyle name="Standaard 14 2 4 4 4" xfId="11467"/>
    <cellStyle name="Standaard 14 2 4 5" xfId="11468"/>
    <cellStyle name="Standaard 14 2 4 5 2" xfId="11469"/>
    <cellStyle name="Standaard 14 2 4 5 2 2" xfId="11470"/>
    <cellStyle name="Standaard 14 2 4 5 3" xfId="11471"/>
    <cellStyle name="Standaard 14 2 4 6" xfId="11472"/>
    <cellStyle name="Standaard 14 2 4 6 2" xfId="11473"/>
    <cellStyle name="Standaard 14 2 4 7" xfId="11474"/>
    <cellStyle name="Standaard 14 2 4 8" xfId="11475"/>
    <cellStyle name="Standaard 14 2 5" xfId="11476"/>
    <cellStyle name="Standaard 14 2 5 2" xfId="11477"/>
    <cellStyle name="Standaard 14 2 5 2 2" xfId="11478"/>
    <cellStyle name="Standaard 14 2 5 2 2 2" xfId="11479"/>
    <cellStyle name="Standaard 14 2 5 2 2 2 2" xfId="11480"/>
    <cellStyle name="Standaard 14 2 5 2 2 2 2 2" xfId="11481"/>
    <cellStyle name="Standaard 14 2 5 2 2 2 2 2 2" xfId="11482"/>
    <cellStyle name="Standaard 14 2 5 2 2 2 2 3" xfId="11483"/>
    <cellStyle name="Standaard 14 2 5 2 2 2 3" xfId="11484"/>
    <cellStyle name="Standaard 14 2 5 2 2 2 3 2" xfId="11485"/>
    <cellStyle name="Standaard 14 2 5 2 2 2 4" xfId="11486"/>
    <cellStyle name="Standaard 14 2 5 2 2 3" xfId="11487"/>
    <cellStyle name="Standaard 14 2 5 2 2 3 2" xfId="11488"/>
    <cellStyle name="Standaard 14 2 5 2 2 3 2 2" xfId="11489"/>
    <cellStyle name="Standaard 14 2 5 2 2 3 3" xfId="11490"/>
    <cellStyle name="Standaard 14 2 5 2 2 4" xfId="11491"/>
    <cellStyle name="Standaard 14 2 5 2 2 4 2" xfId="11492"/>
    <cellStyle name="Standaard 14 2 5 2 2 5" xfId="11493"/>
    <cellStyle name="Standaard 14 2 5 2 2 6" xfId="11494"/>
    <cellStyle name="Standaard 14 2 5 2 3" xfId="11495"/>
    <cellStyle name="Standaard 14 2 5 2 3 2" xfId="11496"/>
    <cellStyle name="Standaard 14 2 5 2 3 2 2" xfId="11497"/>
    <cellStyle name="Standaard 14 2 5 2 3 2 2 2" xfId="11498"/>
    <cellStyle name="Standaard 14 2 5 2 3 2 3" xfId="11499"/>
    <cellStyle name="Standaard 14 2 5 2 3 3" xfId="11500"/>
    <cellStyle name="Standaard 14 2 5 2 3 3 2" xfId="11501"/>
    <cellStyle name="Standaard 14 2 5 2 3 4" xfId="11502"/>
    <cellStyle name="Standaard 14 2 5 2 4" xfId="11503"/>
    <cellStyle name="Standaard 14 2 5 2 4 2" xfId="11504"/>
    <cellStyle name="Standaard 14 2 5 2 4 2 2" xfId="11505"/>
    <cellStyle name="Standaard 14 2 5 2 4 3" xfId="11506"/>
    <cellStyle name="Standaard 14 2 5 2 5" xfId="11507"/>
    <cellStyle name="Standaard 14 2 5 2 5 2" xfId="11508"/>
    <cellStyle name="Standaard 14 2 5 2 6" xfId="11509"/>
    <cellStyle name="Standaard 14 2 5 2 7" xfId="11510"/>
    <cellStyle name="Standaard 14 2 5 3" xfId="11511"/>
    <cellStyle name="Standaard 14 2 5 3 2" xfId="11512"/>
    <cellStyle name="Standaard 14 2 5 3 2 2" xfId="11513"/>
    <cellStyle name="Standaard 14 2 5 3 2 2 2" xfId="11514"/>
    <cellStyle name="Standaard 14 2 5 3 2 2 2 2" xfId="11515"/>
    <cellStyle name="Standaard 14 2 5 3 2 2 3" xfId="11516"/>
    <cellStyle name="Standaard 14 2 5 3 2 3" xfId="11517"/>
    <cellStyle name="Standaard 14 2 5 3 2 3 2" xfId="11518"/>
    <cellStyle name="Standaard 14 2 5 3 2 4" xfId="11519"/>
    <cellStyle name="Standaard 14 2 5 3 3" xfId="11520"/>
    <cellStyle name="Standaard 14 2 5 3 3 2" xfId="11521"/>
    <cellStyle name="Standaard 14 2 5 3 3 2 2" xfId="11522"/>
    <cellStyle name="Standaard 14 2 5 3 3 3" xfId="11523"/>
    <cellStyle name="Standaard 14 2 5 3 4" xfId="11524"/>
    <cellStyle name="Standaard 14 2 5 3 4 2" xfId="11525"/>
    <cellStyle name="Standaard 14 2 5 3 5" xfId="11526"/>
    <cellStyle name="Standaard 14 2 5 3 6" xfId="11527"/>
    <cellStyle name="Standaard 14 2 5 4" xfId="11528"/>
    <cellStyle name="Standaard 14 2 5 4 2" xfId="11529"/>
    <cellStyle name="Standaard 14 2 5 4 2 2" xfId="11530"/>
    <cellStyle name="Standaard 14 2 5 4 2 2 2" xfId="11531"/>
    <cellStyle name="Standaard 14 2 5 4 2 3" xfId="11532"/>
    <cellStyle name="Standaard 14 2 5 4 3" xfId="11533"/>
    <cellStyle name="Standaard 14 2 5 4 3 2" xfId="11534"/>
    <cellStyle name="Standaard 14 2 5 4 4" xfId="11535"/>
    <cellStyle name="Standaard 14 2 5 5" xfId="11536"/>
    <cellStyle name="Standaard 14 2 5 5 2" xfId="11537"/>
    <cellStyle name="Standaard 14 2 5 5 2 2" xfId="11538"/>
    <cellStyle name="Standaard 14 2 5 5 3" xfId="11539"/>
    <cellStyle name="Standaard 14 2 5 6" xfId="11540"/>
    <cellStyle name="Standaard 14 2 5 6 2" xfId="11541"/>
    <cellStyle name="Standaard 14 2 5 7" xfId="11542"/>
    <cellStyle name="Standaard 14 2 5 8" xfId="11543"/>
    <cellStyle name="Standaard 14 2 6" xfId="11544"/>
    <cellStyle name="Standaard 14 2 6 2" xfId="11545"/>
    <cellStyle name="Standaard 14 2 6 2 2" xfId="11546"/>
    <cellStyle name="Standaard 14 2 6 2 2 2" xfId="11547"/>
    <cellStyle name="Standaard 14 2 6 2 2 2 2" xfId="11548"/>
    <cellStyle name="Standaard 14 2 6 2 2 2 2 2" xfId="11549"/>
    <cellStyle name="Standaard 14 2 6 2 2 2 3" xfId="11550"/>
    <cellStyle name="Standaard 14 2 6 2 2 3" xfId="11551"/>
    <cellStyle name="Standaard 14 2 6 2 2 3 2" xfId="11552"/>
    <cellStyle name="Standaard 14 2 6 2 2 4" xfId="11553"/>
    <cellStyle name="Standaard 14 2 6 2 3" xfId="11554"/>
    <cellStyle name="Standaard 14 2 6 2 3 2" xfId="11555"/>
    <cellStyle name="Standaard 14 2 6 2 3 2 2" xfId="11556"/>
    <cellStyle name="Standaard 14 2 6 2 3 3" xfId="11557"/>
    <cellStyle name="Standaard 14 2 6 2 4" xfId="11558"/>
    <cellStyle name="Standaard 14 2 6 2 4 2" xfId="11559"/>
    <cellStyle name="Standaard 14 2 6 2 5" xfId="11560"/>
    <cellStyle name="Standaard 14 2 6 2 6" xfId="11561"/>
    <cellStyle name="Standaard 14 2 6 3" xfId="11562"/>
    <cellStyle name="Standaard 14 2 6 3 2" xfId="11563"/>
    <cellStyle name="Standaard 14 2 6 3 2 2" xfId="11564"/>
    <cellStyle name="Standaard 14 2 6 3 2 2 2" xfId="11565"/>
    <cellStyle name="Standaard 14 2 6 3 2 3" xfId="11566"/>
    <cellStyle name="Standaard 14 2 6 3 3" xfId="11567"/>
    <cellStyle name="Standaard 14 2 6 3 3 2" xfId="11568"/>
    <cellStyle name="Standaard 14 2 6 3 4" xfId="11569"/>
    <cellStyle name="Standaard 14 2 6 4" xfId="11570"/>
    <cellStyle name="Standaard 14 2 6 4 2" xfId="11571"/>
    <cellStyle name="Standaard 14 2 6 4 2 2" xfId="11572"/>
    <cellStyle name="Standaard 14 2 6 4 3" xfId="11573"/>
    <cellStyle name="Standaard 14 2 6 5" xfId="11574"/>
    <cellStyle name="Standaard 14 2 6 5 2" xfId="11575"/>
    <cellStyle name="Standaard 14 2 6 6" xfId="11576"/>
    <cellStyle name="Standaard 14 2 6 7" xfId="11577"/>
    <cellStyle name="Standaard 14 2 7" xfId="11578"/>
    <cellStyle name="Standaard 14 2 7 2" xfId="11579"/>
    <cellStyle name="Standaard 14 2 7 2 2" xfId="11580"/>
    <cellStyle name="Standaard 14 2 7 2 2 2" xfId="11581"/>
    <cellStyle name="Standaard 14 2 7 2 2 2 2" xfId="11582"/>
    <cellStyle name="Standaard 14 2 7 2 2 3" xfId="11583"/>
    <cellStyle name="Standaard 14 2 7 2 3" xfId="11584"/>
    <cellStyle name="Standaard 14 2 7 2 3 2" xfId="11585"/>
    <cellStyle name="Standaard 14 2 7 2 4" xfId="11586"/>
    <cellStyle name="Standaard 14 2 7 3" xfId="11587"/>
    <cellStyle name="Standaard 14 2 7 3 2" xfId="11588"/>
    <cellStyle name="Standaard 14 2 7 3 2 2" xfId="11589"/>
    <cellStyle name="Standaard 14 2 7 3 3" xfId="11590"/>
    <cellStyle name="Standaard 14 2 7 4" xfId="11591"/>
    <cellStyle name="Standaard 14 2 7 4 2" xfId="11592"/>
    <cellStyle name="Standaard 14 2 7 5" xfId="11593"/>
    <cellStyle name="Standaard 14 2 7 6" xfId="11594"/>
    <cellStyle name="Standaard 14 2 8" xfId="11595"/>
    <cellStyle name="Standaard 14 2 8 2" xfId="11596"/>
    <cellStyle name="Standaard 14 2 8 2 2" xfId="11597"/>
    <cellStyle name="Standaard 14 2 8 2 2 2" xfId="11598"/>
    <cellStyle name="Standaard 14 2 8 2 3" xfId="11599"/>
    <cellStyle name="Standaard 14 2 8 3" xfId="11600"/>
    <cellStyle name="Standaard 14 2 8 3 2" xfId="11601"/>
    <cellStyle name="Standaard 14 2 8 4" xfId="11602"/>
    <cellStyle name="Standaard 14 2 9" xfId="11603"/>
    <cellStyle name="Standaard 14 2 9 2" xfId="11604"/>
    <cellStyle name="Standaard 14 2 9 2 2" xfId="11605"/>
    <cellStyle name="Standaard 14 2 9 3" xfId="11606"/>
    <cellStyle name="Standaard 14 3" xfId="11607"/>
    <cellStyle name="Standaard 14 3 10" xfId="11608"/>
    <cellStyle name="Standaard 14 3 11" xfId="11609"/>
    <cellStyle name="Standaard 14 3 2" xfId="11610"/>
    <cellStyle name="Standaard 14 3 2 2" xfId="11611"/>
    <cellStyle name="Standaard 14 3 2 2 2" xfId="11612"/>
    <cellStyle name="Standaard 14 3 2 2 2 2" xfId="11613"/>
    <cellStyle name="Standaard 14 3 2 2 2 2 2" xfId="11614"/>
    <cellStyle name="Standaard 14 3 2 2 2 2 2 2" xfId="11615"/>
    <cellStyle name="Standaard 14 3 2 2 2 2 2 2 2" xfId="11616"/>
    <cellStyle name="Standaard 14 3 2 2 2 2 2 2 2 2" xfId="11617"/>
    <cellStyle name="Standaard 14 3 2 2 2 2 2 2 3" xfId="11618"/>
    <cellStyle name="Standaard 14 3 2 2 2 2 2 3" xfId="11619"/>
    <cellStyle name="Standaard 14 3 2 2 2 2 2 3 2" xfId="11620"/>
    <cellStyle name="Standaard 14 3 2 2 2 2 2 4" xfId="11621"/>
    <cellStyle name="Standaard 14 3 2 2 2 2 3" xfId="11622"/>
    <cellStyle name="Standaard 14 3 2 2 2 2 3 2" xfId="11623"/>
    <cellStyle name="Standaard 14 3 2 2 2 2 3 2 2" xfId="11624"/>
    <cellStyle name="Standaard 14 3 2 2 2 2 3 3" xfId="11625"/>
    <cellStyle name="Standaard 14 3 2 2 2 2 4" xfId="11626"/>
    <cellStyle name="Standaard 14 3 2 2 2 2 4 2" xfId="11627"/>
    <cellStyle name="Standaard 14 3 2 2 2 2 5" xfId="11628"/>
    <cellStyle name="Standaard 14 3 2 2 2 2 6" xfId="11629"/>
    <cellStyle name="Standaard 14 3 2 2 2 3" xfId="11630"/>
    <cellStyle name="Standaard 14 3 2 2 2 3 2" xfId="11631"/>
    <cellStyle name="Standaard 14 3 2 2 2 3 2 2" xfId="11632"/>
    <cellStyle name="Standaard 14 3 2 2 2 3 2 2 2" xfId="11633"/>
    <cellStyle name="Standaard 14 3 2 2 2 3 2 3" xfId="11634"/>
    <cellStyle name="Standaard 14 3 2 2 2 3 3" xfId="11635"/>
    <cellStyle name="Standaard 14 3 2 2 2 3 3 2" xfId="11636"/>
    <cellStyle name="Standaard 14 3 2 2 2 3 4" xfId="11637"/>
    <cellStyle name="Standaard 14 3 2 2 2 4" xfId="11638"/>
    <cellStyle name="Standaard 14 3 2 2 2 4 2" xfId="11639"/>
    <cellStyle name="Standaard 14 3 2 2 2 4 2 2" xfId="11640"/>
    <cellStyle name="Standaard 14 3 2 2 2 4 3" xfId="11641"/>
    <cellStyle name="Standaard 14 3 2 2 2 5" xfId="11642"/>
    <cellStyle name="Standaard 14 3 2 2 2 5 2" xfId="11643"/>
    <cellStyle name="Standaard 14 3 2 2 2 6" xfId="11644"/>
    <cellStyle name="Standaard 14 3 2 2 2 7" xfId="11645"/>
    <cellStyle name="Standaard 14 3 2 2 3" xfId="11646"/>
    <cellStyle name="Standaard 14 3 2 2 3 2" xfId="11647"/>
    <cellStyle name="Standaard 14 3 2 2 3 2 2" xfId="11648"/>
    <cellStyle name="Standaard 14 3 2 2 3 2 2 2" xfId="11649"/>
    <cellStyle name="Standaard 14 3 2 2 3 2 2 2 2" xfId="11650"/>
    <cellStyle name="Standaard 14 3 2 2 3 2 2 3" xfId="11651"/>
    <cellStyle name="Standaard 14 3 2 2 3 2 3" xfId="11652"/>
    <cellStyle name="Standaard 14 3 2 2 3 2 3 2" xfId="11653"/>
    <cellStyle name="Standaard 14 3 2 2 3 2 4" xfId="11654"/>
    <cellStyle name="Standaard 14 3 2 2 3 3" xfId="11655"/>
    <cellStyle name="Standaard 14 3 2 2 3 3 2" xfId="11656"/>
    <cellStyle name="Standaard 14 3 2 2 3 3 2 2" xfId="11657"/>
    <cellStyle name="Standaard 14 3 2 2 3 3 3" xfId="11658"/>
    <cellStyle name="Standaard 14 3 2 2 3 4" xfId="11659"/>
    <cellStyle name="Standaard 14 3 2 2 3 4 2" xfId="11660"/>
    <cellStyle name="Standaard 14 3 2 2 3 5" xfId="11661"/>
    <cellStyle name="Standaard 14 3 2 2 3 6" xfId="11662"/>
    <cellStyle name="Standaard 14 3 2 2 4" xfId="11663"/>
    <cellStyle name="Standaard 14 3 2 2 4 2" xfId="11664"/>
    <cellStyle name="Standaard 14 3 2 2 4 2 2" xfId="11665"/>
    <cellStyle name="Standaard 14 3 2 2 4 2 2 2" xfId="11666"/>
    <cellStyle name="Standaard 14 3 2 2 4 2 3" xfId="11667"/>
    <cellStyle name="Standaard 14 3 2 2 4 3" xfId="11668"/>
    <cellStyle name="Standaard 14 3 2 2 4 3 2" xfId="11669"/>
    <cellStyle name="Standaard 14 3 2 2 4 4" xfId="11670"/>
    <cellStyle name="Standaard 14 3 2 2 5" xfId="11671"/>
    <cellStyle name="Standaard 14 3 2 2 5 2" xfId="11672"/>
    <cellStyle name="Standaard 14 3 2 2 5 2 2" xfId="11673"/>
    <cellStyle name="Standaard 14 3 2 2 5 3" xfId="11674"/>
    <cellStyle name="Standaard 14 3 2 2 6" xfId="11675"/>
    <cellStyle name="Standaard 14 3 2 2 6 2" xfId="11676"/>
    <cellStyle name="Standaard 14 3 2 2 7" xfId="11677"/>
    <cellStyle name="Standaard 14 3 2 2 8" xfId="11678"/>
    <cellStyle name="Standaard 14 3 2 3" xfId="11679"/>
    <cellStyle name="Standaard 14 3 2 3 2" xfId="11680"/>
    <cellStyle name="Standaard 14 3 2 3 2 2" xfId="11681"/>
    <cellStyle name="Standaard 14 3 2 3 2 2 2" xfId="11682"/>
    <cellStyle name="Standaard 14 3 2 3 2 2 2 2" xfId="11683"/>
    <cellStyle name="Standaard 14 3 2 3 2 2 2 2 2" xfId="11684"/>
    <cellStyle name="Standaard 14 3 2 3 2 2 2 3" xfId="11685"/>
    <cellStyle name="Standaard 14 3 2 3 2 2 3" xfId="11686"/>
    <cellStyle name="Standaard 14 3 2 3 2 2 3 2" xfId="11687"/>
    <cellStyle name="Standaard 14 3 2 3 2 2 4" xfId="11688"/>
    <cellStyle name="Standaard 14 3 2 3 2 3" xfId="11689"/>
    <cellStyle name="Standaard 14 3 2 3 2 3 2" xfId="11690"/>
    <cellStyle name="Standaard 14 3 2 3 2 3 2 2" xfId="11691"/>
    <cellStyle name="Standaard 14 3 2 3 2 3 3" xfId="11692"/>
    <cellStyle name="Standaard 14 3 2 3 2 4" xfId="11693"/>
    <cellStyle name="Standaard 14 3 2 3 2 4 2" xfId="11694"/>
    <cellStyle name="Standaard 14 3 2 3 2 5" xfId="11695"/>
    <cellStyle name="Standaard 14 3 2 3 2 6" xfId="11696"/>
    <cellStyle name="Standaard 14 3 2 3 3" xfId="11697"/>
    <cellStyle name="Standaard 14 3 2 3 3 2" xfId="11698"/>
    <cellStyle name="Standaard 14 3 2 3 3 2 2" xfId="11699"/>
    <cellStyle name="Standaard 14 3 2 3 3 2 2 2" xfId="11700"/>
    <cellStyle name="Standaard 14 3 2 3 3 2 3" xfId="11701"/>
    <cellStyle name="Standaard 14 3 2 3 3 3" xfId="11702"/>
    <cellStyle name="Standaard 14 3 2 3 3 3 2" xfId="11703"/>
    <cellStyle name="Standaard 14 3 2 3 3 4" xfId="11704"/>
    <cellStyle name="Standaard 14 3 2 3 4" xfId="11705"/>
    <cellStyle name="Standaard 14 3 2 3 4 2" xfId="11706"/>
    <cellStyle name="Standaard 14 3 2 3 4 2 2" xfId="11707"/>
    <cellStyle name="Standaard 14 3 2 3 4 3" xfId="11708"/>
    <cellStyle name="Standaard 14 3 2 3 5" xfId="11709"/>
    <cellStyle name="Standaard 14 3 2 3 5 2" xfId="11710"/>
    <cellStyle name="Standaard 14 3 2 3 6" xfId="11711"/>
    <cellStyle name="Standaard 14 3 2 3 7" xfId="11712"/>
    <cellStyle name="Standaard 14 3 2 4" xfId="11713"/>
    <cellStyle name="Standaard 14 3 2 4 2" xfId="11714"/>
    <cellStyle name="Standaard 14 3 2 4 2 2" xfId="11715"/>
    <cellStyle name="Standaard 14 3 2 4 2 2 2" xfId="11716"/>
    <cellStyle name="Standaard 14 3 2 4 2 2 2 2" xfId="11717"/>
    <cellStyle name="Standaard 14 3 2 4 2 2 3" xfId="11718"/>
    <cellStyle name="Standaard 14 3 2 4 2 3" xfId="11719"/>
    <cellStyle name="Standaard 14 3 2 4 2 3 2" xfId="11720"/>
    <cellStyle name="Standaard 14 3 2 4 2 4" xfId="11721"/>
    <cellStyle name="Standaard 14 3 2 4 3" xfId="11722"/>
    <cellStyle name="Standaard 14 3 2 4 3 2" xfId="11723"/>
    <cellStyle name="Standaard 14 3 2 4 3 2 2" xfId="11724"/>
    <cellStyle name="Standaard 14 3 2 4 3 3" xfId="11725"/>
    <cellStyle name="Standaard 14 3 2 4 4" xfId="11726"/>
    <cellStyle name="Standaard 14 3 2 4 4 2" xfId="11727"/>
    <cellStyle name="Standaard 14 3 2 4 5" xfId="11728"/>
    <cellStyle name="Standaard 14 3 2 4 6" xfId="11729"/>
    <cellStyle name="Standaard 14 3 2 5" xfId="11730"/>
    <cellStyle name="Standaard 14 3 2 5 2" xfId="11731"/>
    <cellStyle name="Standaard 14 3 2 5 2 2" xfId="11732"/>
    <cellStyle name="Standaard 14 3 2 5 2 2 2" xfId="11733"/>
    <cellStyle name="Standaard 14 3 2 5 2 3" xfId="11734"/>
    <cellStyle name="Standaard 14 3 2 5 3" xfId="11735"/>
    <cellStyle name="Standaard 14 3 2 5 3 2" xfId="11736"/>
    <cellStyle name="Standaard 14 3 2 5 4" xfId="11737"/>
    <cellStyle name="Standaard 14 3 2 6" xfId="11738"/>
    <cellStyle name="Standaard 14 3 2 6 2" xfId="11739"/>
    <cellStyle name="Standaard 14 3 2 6 2 2" xfId="11740"/>
    <cellStyle name="Standaard 14 3 2 6 3" xfId="11741"/>
    <cellStyle name="Standaard 14 3 2 7" xfId="11742"/>
    <cellStyle name="Standaard 14 3 2 7 2" xfId="11743"/>
    <cellStyle name="Standaard 14 3 2 8" xfId="11744"/>
    <cellStyle name="Standaard 14 3 2 9" xfId="11745"/>
    <cellStyle name="Standaard 14 3 3" xfId="11746"/>
    <cellStyle name="Standaard 14 3 3 2" xfId="11747"/>
    <cellStyle name="Standaard 14 3 3 2 2" xfId="11748"/>
    <cellStyle name="Standaard 14 3 3 2 2 2" xfId="11749"/>
    <cellStyle name="Standaard 14 3 3 2 2 2 2" xfId="11750"/>
    <cellStyle name="Standaard 14 3 3 2 2 2 2 2" xfId="11751"/>
    <cellStyle name="Standaard 14 3 3 2 2 2 2 2 2" xfId="11752"/>
    <cellStyle name="Standaard 14 3 3 2 2 2 2 3" xfId="11753"/>
    <cellStyle name="Standaard 14 3 3 2 2 2 3" xfId="11754"/>
    <cellStyle name="Standaard 14 3 3 2 2 2 3 2" xfId="11755"/>
    <cellStyle name="Standaard 14 3 3 2 2 2 4" xfId="11756"/>
    <cellStyle name="Standaard 14 3 3 2 2 3" xfId="11757"/>
    <cellStyle name="Standaard 14 3 3 2 2 3 2" xfId="11758"/>
    <cellStyle name="Standaard 14 3 3 2 2 3 2 2" xfId="11759"/>
    <cellStyle name="Standaard 14 3 3 2 2 3 3" xfId="11760"/>
    <cellStyle name="Standaard 14 3 3 2 2 4" xfId="11761"/>
    <cellStyle name="Standaard 14 3 3 2 2 4 2" xfId="11762"/>
    <cellStyle name="Standaard 14 3 3 2 2 5" xfId="11763"/>
    <cellStyle name="Standaard 14 3 3 2 2 6" xfId="11764"/>
    <cellStyle name="Standaard 14 3 3 2 3" xfId="11765"/>
    <cellStyle name="Standaard 14 3 3 2 3 2" xfId="11766"/>
    <cellStyle name="Standaard 14 3 3 2 3 2 2" xfId="11767"/>
    <cellStyle name="Standaard 14 3 3 2 3 2 2 2" xfId="11768"/>
    <cellStyle name="Standaard 14 3 3 2 3 2 3" xfId="11769"/>
    <cellStyle name="Standaard 14 3 3 2 3 3" xfId="11770"/>
    <cellStyle name="Standaard 14 3 3 2 3 3 2" xfId="11771"/>
    <cellStyle name="Standaard 14 3 3 2 3 4" xfId="11772"/>
    <cellStyle name="Standaard 14 3 3 2 4" xfId="11773"/>
    <cellStyle name="Standaard 14 3 3 2 4 2" xfId="11774"/>
    <cellStyle name="Standaard 14 3 3 2 4 2 2" xfId="11775"/>
    <cellStyle name="Standaard 14 3 3 2 4 3" xfId="11776"/>
    <cellStyle name="Standaard 14 3 3 2 5" xfId="11777"/>
    <cellStyle name="Standaard 14 3 3 2 5 2" xfId="11778"/>
    <cellStyle name="Standaard 14 3 3 2 6" xfId="11779"/>
    <cellStyle name="Standaard 14 3 3 2 7" xfId="11780"/>
    <cellStyle name="Standaard 14 3 3 3" xfId="11781"/>
    <cellStyle name="Standaard 14 3 3 3 2" xfId="11782"/>
    <cellStyle name="Standaard 14 3 3 3 2 2" xfId="11783"/>
    <cellStyle name="Standaard 14 3 3 3 2 2 2" xfId="11784"/>
    <cellStyle name="Standaard 14 3 3 3 2 2 2 2" xfId="11785"/>
    <cellStyle name="Standaard 14 3 3 3 2 2 3" xfId="11786"/>
    <cellStyle name="Standaard 14 3 3 3 2 3" xfId="11787"/>
    <cellStyle name="Standaard 14 3 3 3 2 3 2" xfId="11788"/>
    <cellStyle name="Standaard 14 3 3 3 2 4" xfId="11789"/>
    <cellStyle name="Standaard 14 3 3 3 3" xfId="11790"/>
    <cellStyle name="Standaard 14 3 3 3 3 2" xfId="11791"/>
    <cellStyle name="Standaard 14 3 3 3 3 2 2" xfId="11792"/>
    <cellStyle name="Standaard 14 3 3 3 3 3" xfId="11793"/>
    <cellStyle name="Standaard 14 3 3 3 4" xfId="11794"/>
    <cellStyle name="Standaard 14 3 3 3 4 2" xfId="11795"/>
    <cellStyle name="Standaard 14 3 3 3 5" xfId="11796"/>
    <cellStyle name="Standaard 14 3 3 3 6" xfId="11797"/>
    <cellStyle name="Standaard 14 3 3 4" xfId="11798"/>
    <cellStyle name="Standaard 14 3 3 4 2" xfId="11799"/>
    <cellStyle name="Standaard 14 3 3 4 2 2" xfId="11800"/>
    <cellStyle name="Standaard 14 3 3 4 2 2 2" xfId="11801"/>
    <cellStyle name="Standaard 14 3 3 4 2 3" xfId="11802"/>
    <cellStyle name="Standaard 14 3 3 4 3" xfId="11803"/>
    <cellStyle name="Standaard 14 3 3 4 3 2" xfId="11804"/>
    <cellStyle name="Standaard 14 3 3 4 4" xfId="11805"/>
    <cellStyle name="Standaard 14 3 3 5" xfId="11806"/>
    <cellStyle name="Standaard 14 3 3 5 2" xfId="11807"/>
    <cellStyle name="Standaard 14 3 3 5 2 2" xfId="11808"/>
    <cellStyle name="Standaard 14 3 3 5 3" xfId="11809"/>
    <cellStyle name="Standaard 14 3 3 6" xfId="11810"/>
    <cellStyle name="Standaard 14 3 3 6 2" xfId="11811"/>
    <cellStyle name="Standaard 14 3 3 7" xfId="11812"/>
    <cellStyle name="Standaard 14 3 3 8" xfId="11813"/>
    <cellStyle name="Standaard 14 3 4" xfId="11814"/>
    <cellStyle name="Standaard 14 3 4 2" xfId="11815"/>
    <cellStyle name="Standaard 14 3 4 2 2" xfId="11816"/>
    <cellStyle name="Standaard 14 3 4 2 2 2" xfId="11817"/>
    <cellStyle name="Standaard 14 3 4 2 2 2 2" xfId="11818"/>
    <cellStyle name="Standaard 14 3 4 2 2 2 2 2" xfId="11819"/>
    <cellStyle name="Standaard 14 3 4 2 2 2 2 2 2" xfId="11820"/>
    <cellStyle name="Standaard 14 3 4 2 2 2 2 3" xfId="11821"/>
    <cellStyle name="Standaard 14 3 4 2 2 2 3" xfId="11822"/>
    <cellStyle name="Standaard 14 3 4 2 2 2 3 2" xfId="11823"/>
    <cellStyle name="Standaard 14 3 4 2 2 2 4" xfId="11824"/>
    <cellStyle name="Standaard 14 3 4 2 2 3" xfId="11825"/>
    <cellStyle name="Standaard 14 3 4 2 2 3 2" xfId="11826"/>
    <cellStyle name="Standaard 14 3 4 2 2 3 2 2" xfId="11827"/>
    <cellStyle name="Standaard 14 3 4 2 2 3 3" xfId="11828"/>
    <cellStyle name="Standaard 14 3 4 2 2 4" xfId="11829"/>
    <cellStyle name="Standaard 14 3 4 2 2 4 2" xfId="11830"/>
    <cellStyle name="Standaard 14 3 4 2 2 5" xfId="11831"/>
    <cellStyle name="Standaard 14 3 4 2 2 6" xfId="11832"/>
    <cellStyle name="Standaard 14 3 4 2 3" xfId="11833"/>
    <cellStyle name="Standaard 14 3 4 2 3 2" xfId="11834"/>
    <cellStyle name="Standaard 14 3 4 2 3 2 2" xfId="11835"/>
    <cellStyle name="Standaard 14 3 4 2 3 2 2 2" xfId="11836"/>
    <cellStyle name="Standaard 14 3 4 2 3 2 3" xfId="11837"/>
    <cellStyle name="Standaard 14 3 4 2 3 3" xfId="11838"/>
    <cellStyle name="Standaard 14 3 4 2 3 3 2" xfId="11839"/>
    <cellStyle name="Standaard 14 3 4 2 3 4" xfId="11840"/>
    <cellStyle name="Standaard 14 3 4 2 4" xfId="11841"/>
    <cellStyle name="Standaard 14 3 4 2 4 2" xfId="11842"/>
    <cellStyle name="Standaard 14 3 4 2 4 2 2" xfId="11843"/>
    <cellStyle name="Standaard 14 3 4 2 4 3" xfId="11844"/>
    <cellStyle name="Standaard 14 3 4 2 5" xfId="11845"/>
    <cellStyle name="Standaard 14 3 4 2 5 2" xfId="11846"/>
    <cellStyle name="Standaard 14 3 4 2 6" xfId="11847"/>
    <cellStyle name="Standaard 14 3 4 2 7" xfId="11848"/>
    <cellStyle name="Standaard 14 3 4 3" xfId="11849"/>
    <cellStyle name="Standaard 14 3 4 3 2" xfId="11850"/>
    <cellStyle name="Standaard 14 3 4 3 2 2" xfId="11851"/>
    <cellStyle name="Standaard 14 3 4 3 2 2 2" xfId="11852"/>
    <cellStyle name="Standaard 14 3 4 3 2 2 2 2" xfId="11853"/>
    <cellStyle name="Standaard 14 3 4 3 2 2 3" xfId="11854"/>
    <cellStyle name="Standaard 14 3 4 3 2 3" xfId="11855"/>
    <cellStyle name="Standaard 14 3 4 3 2 3 2" xfId="11856"/>
    <cellStyle name="Standaard 14 3 4 3 2 4" xfId="11857"/>
    <cellStyle name="Standaard 14 3 4 3 3" xfId="11858"/>
    <cellStyle name="Standaard 14 3 4 3 3 2" xfId="11859"/>
    <cellStyle name="Standaard 14 3 4 3 3 2 2" xfId="11860"/>
    <cellStyle name="Standaard 14 3 4 3 3 3" xfId="11861"/>
    <cellStyle name="Standaard 14 3 4 3 4" xfId="11862"/>
    <cellStyle name="Standaard 14 3 4 3 4 2" xfId="11863"/>
    <cellStyle name="Standaard 14 3 4 3 5" xfId="11864"/>
    <cellStyle name="Standaard 14 3 4 3 6" xfId="11865"/>
    <cellStyle name="Standaard 14 3 4 4" xfId="11866"/>
    <cellStyle name="Standaard 14 3 4 4 2" xfId="11867"/>
    <cellStyle name="Standaard 14 3 4 4 2 2" xfId="11868"/>
    <cellStyle name="Standaard 14 3 4 4 2 2 2" xfId="11869"/>
    <cellStyle name="Standaard 14 3 4 4 2 3" xfId="11870"/>
    <cellStyle name="Standaard 14 3 4 4 3" xfId="11871"/>
    <cellStyle name="Standaard 14 3 4 4 3 2" xfId="11872"/>
    <cellStyle name="Standaard 14 3 4 4 4" xfId="11873"/>
    <cellStyle name="Standaard 14 3 4 5" xfId="11874"/>
    <cellStyle name="Standaard 14 3 4 5 2" xfId="11875"/>
    <cellStyle name="Standaard 14 3 4 5 2 2" xfId="11876"/>
    <cellStyle name="Standaard 14 3 4 5 3" xfId="11877"/>
    <cellStyle name="Standaard 14 3 4 6" xfId="11878"/>
    <cellStyle name="Standaard 14 3 4 6 2" xfId="11879"/>
    <cellStyle name="Standaard 14 3 4 7" xfId="11880"/>
    <cellStyle name="Standaard 14 3 4 8" xfId="11881"/>
    <cellStyle name="Standaard 14 3 5" xfId="11882"/>
    <cellStyle name="Standaard 14 3 5 2" xfId="11883"/>
    <cellStyle name="Standaard 14 3 5 2 2" xfId="11884"/>
    <cellStyle name="Standaard 14 3 5 2 2 2" xfId="11885"/>
    <cellStyle name="Standaard 14 3 5 2 2 2 2" xfId="11886"/>
    <cellStyle name="Standaard 14 3 5 2 2 2 2 2" xfId="11887"/>
    <cellStyle name="Standaard 14 3 5 2 2 2 3" xfId="11888"/>
    <cellStyle name="Standaard 14 3 5 2 2 3" xfId="11889"/>
    <cellStyle name="Standaard 14 3 5 2 2 3 2" xfId="11890"/>
    <cellStyle name="Standaard 14 3 5 2 2 4" xfId="11891"/>
    <cellStyle name="Standaard 14 3 5 2 3" xfId="11892"/>
    <cellStyle name="Standaard 14 3 5 2 3 2" xfId="11893"/>
    <cellStyle name="Standaard 14 3 5 2 3 2 2" xfId="11894"/>
    <cellStyle name="Standaard 14 3 5 2 3 3" xfId="11895"/>
    <cellStyle name="Standaard 14 3 5 2 4" xfId="11896"/>
    <cellStyle name="Standaard 14 3 5 2 4 2" xfId="11897"/>
    <cellStyle name="Standaard 14 3 5 2 5" xfId="11898"/>
    <cellStyle name="Standaard 14 3 5 2 6" xfId="11899"/>
    <cellStyle name="Standaard 14 3 5 3" xfId="11900"/>
    <cellStyle name="Standaard 14 3 5 3 2" xfId="11901"/>
    <cellStyle name="Standaard 14 3 5 3 2 2" xfId="11902"/>
    <cellStyle name="Standaard 14 3 5 3 2 2 2" xfId="11903"/>
    <cellStyle name="Standaard 14 3 5 3 2 3" xfId="11904"/>
    <cellStyle name="Standaard 14 3 5 3 3" xfId="11905"/>
    <cellStyle name="Standaard 14 3 5 3 3 2" xfId="11906"/>
    <cellStyle name="Standaard 14 3 5 3 4" xfId="11907"/>
    <cellStyle name="Standaard 14 3 5 4" xfId="11908"/>
    <cellStyle name="Standaard 14 3 5 4 2" xfId="11909"/>
    <cellStyle name="Standaard 14 3 5 4 2 2" xfId="11910"/>
    <cellStyle name="Standaard 14 3 5 4 3" xfId="11911"/>
    <cellStyle name="Standaard 14 3 5 5" xfId="11912"/>
    <cellStyle name="Standaard 14 3 5 5 2" xfId="11913"/>
    <cellStyle name="Standaard 14 3 5 6" xfId="11914"/>
    <cellStyle name="Standaard 14 3 5 7" xfId="11915"/>
    <cellStyle name="Standaard 14 3 6" xfId="11916"/>
    <cellStyle name="Standaard 14 3 6 2" xfId="11917"/>
    <cellStyle name="Standaard 14 3 6 2 2" xfId="11918"/>
    <cellStyle name="Standaard 14 3 6 2 2 2" xfId="11919"/>
    <cellStyle name="Standaard 14 3 6 2 2 2 2" xfId="11920"/>
    <cellStyle name="Standaard 14 3 6 2 2 3" xfId="11921"/>
    <cellStyle name="Standaard 14 3 6 2 3" xfId="11922"/>
    <cellStyle name="Standaard 14 3 6 2 3 2" xfId="11923"/>
    <cellStyle name="Standaard 14 3 6 2 4" xfId="11924"/>
    <cellStyle name="Standaard 14 3 6 3" xfId="11925"/>
    <cellStyle name="Standaard 14 3 6 3 2" xfId="11926"/>
    <cellStyle name="Standaard 14 3 6 3 2 2" xfId="11927"/>
    <cellStyle name="Standaard 14 3 6 3 3" xfId="11928"/>
    <cellStyle name="Standaard 14 3 6 4" xfId="11929"/>
    <cellStyle name="Standaard 14 3 6 4 2" xfId="11930"/>
    <cellStyle name="Standaard 14 3 6 5" xfId="11931"/>
    <cellStyle name="Standaard 14 3 6 6" xfId="11932"/>
    <cellStyle name="Standaard 14 3 7" xfId="11933"/>
    <cellStyle name="Standaard 14 3 7 2" xfId="11934"/>
    <cellStyle name="Standaard 14 3 7 2 2" xfId="11935"/>
    <cellStyle name="Standaard 14 3 7 2 2 2" xfId="11936"/>
    <cellStyle name="Standaard 14 3 7 2 3" xfId="11937"/>
    <cellStyle name="Standaard 14 3 7 3" xfId="11938"/>
    <cellStyle name="Standaard 14 3 7 3 2" xfId="11939"/>
    <cellStyle name="Standaard 14 3 7 4" xfId="11940"/>
    <cellStyle name="Standaard 14 3 8" xfId="11941"/>
    <cellStyle name="Standaard 14 3 8 2" xfId="11942"/>
    <cellStyle name="Standaard 14 3 8 2 2" xfId="11943"/>
    <cellStyle name="Standaard 14 3 8 3" xfId="11944"/>
    <cellStyle name="Standaard 14 3 9" xfId="11945"/>
    <cellStyle name="Standaard 14 3 9 2" xfId="11946"/>
    <cellStyle name="Standaard 14 4" xfId="11947"/>
    <cellStyle name="Standaard 14 4 2" xfId="11948"/>
    <cellStyle name="Standaard 14 4 2 2" xfId="11949"/>
    <cellStyle name="Standaard 14 4 2 2 2" xfId="11950"/>
    <cellStyle name="Standaard 14 4 2 2 2 2" xfId="11951"/>
    <cellStyle name="Standaard 14 4 2 2 2 2 2" xfId="11952"/>
    <cellStyle name="Standaard 14 4 2 2 2 2 2 2" xfId="11953"/>
    <cellStyle name="Standaard 14 4 2 2 2 2 2 2 2" xfId="11954"/>
    <cellStyle name="Standaard 14 4 2 2 2 2 2 3" xfId="11955"/>
    <cellStyle name="Standaard 14 4 2 2 2 2 3" xfId="11956"/>
    <cellStyle name="Standaard 14 4 2 2 2 2 3 2" xfId="11957"/>
    <cellStyle name="Standaard 14 4 2 2 2 2 4" xfId="11958"/>
    <cellStyle name="Standaard 14 4 2 2 2 3" xfId="11959"/>
    <cellStyle name="Standaard 14 4 2 2 2 3 2" xfId="11960"/>
    <cellStyle name="Standaard 14 4 2 2 2 3 2 2" xfId="11961"/>
    <cellStyle name="Standaard 14 4 2 2 2 3 3" xfId="11962"/>
    <cellStyle name="Standaard 14 4 2 2 2 4" xfId="11963"/>
    <cellStyle name="Standaard 14 4 2 2 2 4 2" xfId="11964"/>
    <cellStyle name="Standaard 14 4 2 2 2 5" xfId="11965"/>
    <cellStyle name="Standaard 14 4 2 2 2 6" xfId="11966"/>
    <cellStyle name="Standaard 14 4 2 2 3" xfId="11967"/>
    <cellStyle name="Standaard 14 4 2 2 3 2" xfId="11968"/>
    <cellStyle name="Standaard 14 4 2 2 3 2 2" xfId="11969"/>
    <cellStyle name="Standaard 14 4 2 2 3 2 2 2" xfId="11970"/>
    <cellStyle name="Standaard 14 4 2 2 3 2 3" xfId="11971"/>
    <cellStyle name="Standaard 14 4 2 2 3 3" xfId="11972"/>
    <cellStyle name="Standaard 14 4 2 2 3 3 2" xfId="11973"/>
    <cellStyle name="Standaard 14 4 2 2 3 4" xfId="11974"/>
    <cellStyle name="Standaard 14 4 2 2 4" xfId="11975"/>
    <cellStyle name="Standaard 14 4 2 2 4 2" xfId="11976"/>
    <cellStyle name="Standaard 14 4 2 2 4 2 2" xfId="11977"/>
    <cellStyle name="Standaard 14 4 2 2 4 3" xfId="11978"/>
    <cellStyle name="Standaard 14 4 2 2 5" xfId="11979"/>
    <cellStyle name="Standaard 14 4 2 2 5 2" xfId="11980"/>
    <cellStyle name="Standaard 14 4 2 2 6" xfId="11981"/>
    <cellStyle name="Standaard 14 4 2 2 7" xfId="11982"/>
    <cellStyle name="Standaard 14 4 2 3" xfId="11983"/>
    <cellStyle name="Standaard 14 4 2 3 2" xfId="11984"/>
    <cellStyle name="Standaard 14 4 2 3 2 2" xfId="11985"/>
    <cellStyle name="Standaard 14 4 2 3 2 2 2" xfId="11986"/>
    <cellStyle name="Standaard 14 4 2 3 2 2 2 2" xfId="11987"/>
    <cellStyle name="Standaard 14 4 2 3 2 2 3" xfId="11988"/>
    <cellStyle name="Standaard 14 4 2 3 2 3" xfId="11989"/>
    <cellStyle name="Standaard 14 4 2 3 2 3 2" xfId="11990"/>
    <cellStyle name="Standaard 14 4 2 3 2 4" xfId="11991"/>
    <cellStyle name="Standaard 14 4 2 3 3" xfId="11992"/>
    <cellStyle name="Standaard 14 4 2 3 3 2" xfId="11993"/>
    <cellStyle name="Standaard 14 4 2 3 3 2 2" xfId="11994"/>
    <cellStyle name="Standaard 14 4 2 3 3 3" xfId="11995"/>
    <cellStyle name="Standaard 14 4 2 3 4" xfId="11996"/>
    <cellStyle name="Standaard 14 4 2 3 4 2" xfId="11997"/>
    <cellStyle name="Standaard 14 4 2 3 5" xfId="11998"/>
    <cellStyle name="Standaard 14 4 2 3 6" xfId="11999"/>
    <cellStyle name="Standaard 14 4 2 4" xfId="12000"/>
    <cellStyle name="Standaard 14 4 2 4 2" xfId="12001"/>
    <cellStyle name="Standaard 14 4 2 4 2 2" xfId="12002"/>
    <cellStyle name="Standaard 14 4 2 4 2 2 2" xfId="12003"/>
    <cellStyle name="Standaard 14 4 2 4 2 3" xfId="12004"/>
    <cellStyle name="Standaard 14 4 2 4 3" xfId="12005"/>
    <cellStyle name="Standaard 14 4 2 4 3 2" xfId="12006"/>
    <cellStyle name="Standaard 14 4 2 4 4" xfId="12007"/>
    <cellStyle name="Standaard 14 4 2 5" xfId="12008"/>
    <cellStyle name="Standaard 14 4 2 5 2" xfId="12009"/>
    <cellStyle name="Standaard 14 4 2 5 2 2" xfId="12010"/>
    <cellStyle name="Standaard 14 4 2 5 3" xfId="12011"/>
    <cellStyle name="Standaard 14 4 2 6" xfId="12012"/>
    <cellStyle name="Standaard 14 4 2 6 2" xfId="12013"/>
    <cellStyle name="Standaard 14 4 2 7" xfId="12014"/>
    <cellStyle name="Standaard 14 4 2 8" xfId="12015"/>
    <cellStyle name="Standaard 14 4 3" xfId="12016"/>
    <cellStyle name="Standaard 14 4 3 2" xfId="12017"/>
    <cellStyle name="Standaard 14 4 3 2 2" xfId="12018"/>
    <cellStyle name="Standaard 14 4 3 2 2 2" xfId="12019"/>
    <cellStyle name="Standaard 14 4 3 2 2 2 2" xfId="12020"/>
    <cellStyle name="Standaard 14 4 3 2 2 2 2 2" xfId="12021"/>
    <cellStyle name="Standaard 14 4 3 2 2 2 3" xfId="12022"/>
    <cellStyle name="Standaard 14 4 3 2 2 3" xfId="12023"/>
    <cellStyle name="Standaard 14 4 3 2 2 3 2" xfId="12024"/>
    <cellStyle name="Standaard 14 4 3 2 2 4" xfId="12025"/>
    <cellStyle name="Standaard 14 4 3 2 3" xfId="12026"/>
    <cellStyle name="Standaard 14 4 3 2 3 2" xfId="12027"/>
    <cellStyle name="Standaard 14 4 3 2 3 2 2" xfId="12028"/>
    <cellStyle name="Standaard 14 4 3 2 3 3" xfId="12029"/>
    <cellStyle name="Standaard 14 4 3 2 4" xfId="12030"/>
    <cellStyle name="Standaard 14 4 3 2 4 2" xfId="12031"/>
    <cellStyle name="Standaard 14 4 3 2 5" xfId="12032"/>
    <cellStyle name="Standaard 14 4 3 2 6" xfId="12033"/>
    <cellStyle name="Standaard 14 4 3 3" xfId="12034"/>
    <cellStyle name="Standaard 14 4 3 3 2" xfId="12035"/>
    <cellStyle name="Standaard 14 4 3 3 2 2" xfId="12036"/>
    <cellStyle name="Standaard 14 4 3 3 2 2 2" xfId="12037"/>
    <cellStyle name="Standaard 14 4 3 3 2 3" xfId="12038"/>
    <cellStyle name="Standaard 14 4 3 3 3" xfId="12039"/>
    <cellStyle name="Standaard 14 4 3 3 3 2" xfId="12040"/>
    <cellStyle name="Standaard 14 4 3 3 4" xfId="12041"/>
    <cellStyle name="Standaard 14 4 3 4" xfId="12042"/>
    <cellStyle name="Standaard 14 4 3 4 2" xfId="12043"/>
    <cellStyle name="Standaard 14 4 3 4 2 2" xfId="12044"/>
    <cellStyle name="Standaard 14 4 3 4 3" xfId="12045"/>
    <cellStyle name="Standaard 14 4 3 5" xfId="12046"/>
    <cellStyle name="Standaard 14 4 3 5 2" xfId="12047"/>
    <cellStyle name="Standaard 14 4 3 6" xfId="12048"/>
    <cellStyle name="Standaard 14 4 3 7" xfId="12049"/>
    <cellStyle name="Standaard 14 4 4" xfId="12050"/>
    <cellStyle name="Standaard 14 4 4 2" xfId="12051"/>
    <cellStyle name="Standaard 14 4 4 2 2" xfId="12052"/>
    <cellStyle name="Standaard 14 4 4 2 2 2" xfId="12053"/>
    <cellStyle name="Standaard 14 4 4 2 2 2 2" xfId="12054"/>
    <cellStyle name="Standaard 14 4 4 2 2 3" xfId="12055"/>
    <cellStyle name="Standaard 14 4 4 2 3" xfId="12056"/>
    <cellStyle name="Standaard 14 4 4 2 3 2" xfId="12057"/>
    <cellStyle name="Standaard 14 4 4 2 4" xfId="12058"/>
    <cellStyle name="Standaard 14 4 4 3" xfId="12059"/>
    <cellStyle name="Standaard 14 4 4 3 2" xfId="12060"/>
    <cellStyle name="Standaard 14 4 4 3 2 2" xfId="12061"/>
    <cellStyle name="Standaard 14 4 4 3 3" xfId="12062"/>
    <cellStyle name="Standaard 14 4 4 4" xfId="12063"/>
    <cellStyle name="Standaard 14 4 4 4 2" xfId="12064"/>
    <cellStyle name="Standaard 14 4 4 5" xfId="12065"/>
    <cellStyle name="Standaard 14 4 4 6" xfId="12066"/>
    <cellStyle name="Standaard 14 4 5" xfId="12067"/>
    <cellStyle name="Standaard 14 4 5 2" xfId="12068"/>
    <cellStyle name="Standaard 14 4 5 2 2" xfId="12069"/>
    <cellStyle name="Standaard 14 4 5 2 2 2" xfId="12070"/>
    <cellStyle name="Standaard 14 4 5 2 3" xfId="12071"/>
    <cellStyle name="Standaard 14 4 5 3" xfId="12072"/>
    <cellStyle name="Standaard 14 4 5 3 2" xfId="12073"/>
    <cellStyle name="Standaard 14 4 5 4" xfId="12074"/>
    <cellStyle name="Standaard 14 4 6" xfId="12075"/>
    <cellStyle name="Standaard 14 4 6 2" xfId="12076"/>
    <cellStyle name="Standaard 14 4 6 2 2" xfId="12077"/>
    <cellStyle name="Standaard 14 4 6 3" xfId="12078"/>
    <cellStyle name="Standaard 14 4 7" xfId="12079"/>
    <cellStyle name="Standaard 14 4 7 2" xfId="12080"/>
    <cellStyle name="Standaard 14 4 8" xfId="12081"/>
    <cellStyle name="Standaard 14 4 9" xfId="12082"/>
    <cellStyle name="Standaard 14 5" xfId="12083"/>
    <cellStyle name="Standaard 14 5 2" xfId="12084"/>
    <cellStyle name="Standaard 14 5 2 2" xfId="12085"/>
    <cellStyle name="Standaard 14 5 2 2 2" xfId="12086"/>
    <cellStyle name="Standaard 14 5 2 2 2 2" xfId="12087"/>
    <cellStyle name="Standaard 14 5 2 2 2 2 2" xfId="12088"/>
    <cellStyle name="Standaard 14 5 2 2 2 2 2 2" xfId="12089"/>
    <cellStyle name="Standaard 14 5 2 2 2 2 3" xfId="12090"/>
    <cellStyle name="Standaard 14 5 2 2 2 3" xfId="12091"/>
    <cellStyle name="Standaard 14 5 2 2 2 3 2" xfId="12092"/>
    <cellStyle name="Standaard 14 5 2 2 2 4" xfId="12093"/>
    <cellStyle name="Standaard 14 5 2 2 3" xfId="12094"/>
    <cellStyle name="Standaard 14 5 2 2 3 2" xfId="12095"/>
    <cellStyle name="Standaard 14 5 2 2 3 2 2" xfId="12096"/>
    <cellStyle name="Standaard 14 5 2 2 3 3" xfId="12097"/>
    <cellStyle name="Standaard 14 5 2 2 4" xfId="12098"/>
    <cellStyle name="Standaard 14 5 2 2 4 2" xfId="12099"/>
    <cellStyle name="Standaard 14 5 2 2 5" xfId="12100"/>
    <cellStyle name="Standaard 14 5 2 2 6" xfId="12101"/>
    <cellStyle name="Standaard 14 5 2 3" xfId="12102"/>
    <cellStyle name="Standaard 14 5 2 3 2" xfId="12103"/>
    <cellStyle name="Standaard 14 5 2 3 2 2" xfId="12104"/>
    <cellStyle name="Standaard 14 5 2 3 2 2 2" xfId="12105"/>
    <cellStyle name="Standaard 14 5 2 3 2 3" xfId="12106"/>
    <cellStyle name="Standaard 14 5 2 3 3" xfId="12107"/>
    <cellStyle name="Standaard 14 5 2 3 3 2" xfId="12108"/>
    <cellStyle name="Standaard 14 5 2 3 4" xfId="12109"/>
    <cellStyle name="Standaard 14 5 2 4" xfId="12110"/>
    <cellStyle name="Standaard 14 5 2 4 2" xfId="12111"/>
    <cellStyle name="Standaard 14 5 2 4 2 2" xfId="12112"/>
    <cellStyle name="Standaard 14 5 2 4 3" xfId="12113"/>
    <cellStyle name="Standaard 14 5 2 5" xfId="12114"/>
    <cellStyle name="Standaard 14 5 2 5 2" xfId="12115"/>
    <cellStyle name="Standaard 14 5 2 6" xfId="12116"/>
    <cellStyle name="Standaard 14 5 2 7" xfId="12117"/>
    <cellStyle name="Standaard 14 5 3" xfId="12118"/>
    <cellStyle name="Standaard 14 5 3 2" xfId="12119"/>
    <cellStyle name="Standaard 14 5 3 2 2" xfId="12120"/>
    <cellStyle name="Standaard 14 5 3 2 2 2" xfId="12121"/>
    <cellStyle name="Standaard 14 5 3 2 2 2 2" xfId="12122"/>
    <cellStyle name="Standaard 14 5 3 2 2 3" xfId="12123"/>
    <cellStyle name="Standaard 14 5 3 2 3" xfId="12124"/>
    <cellStyle name="Standaard 14 5 3 2 3 2" xfId="12125"/>
    <cellStyle name="Standaard 14 5 3 2 4" xfId="12126"/>
    <cellStyle name="Standaard 14 5 3 3" xfId="12127"/>
    <cellStyle name="Standaard 14 5 3 3 2" xfId="12128"/>
    <cellStyle name="Standaard 14 5 3 3 2 2" xfId="12129"/>
    <cellStyle name="Standaard 14 5 3 3 3" xfId="12130"/>
    <cellStyle name="Standaard 14 5 3 4" xfId="12131"/>
    <cellStyle name="Standaard 14 5 3 4 2" xfId="12132"/>
    <cellStyle name="Standaard 14 5 3 5" xfId="12133"/>
    <cellStyle name="Standaard 14 5 3 6" xfId="12134"/>
    <cellStyle name="Standaard 14 5 4" xfId="12135"/>
    <cellStyle name="Standaard 14 5 4 2" xfId="12136"/>
    <cellStyle name="Standaard 14 5 4 2 2" xfId="12137"/>
    <cellStyle name="Standaard 14 5 4 2 2 2" xfId="12138"/>
    <cellStyle name="Standaard 14 5 4 2 3" xfId="12139"/>
    <cellStyle name="Standaard 14 5 4 3" xfId="12140"/>
    <cellStyle name="Standaard 14 5 4 3 2" xfId="12141"/>
    <cellStyle name="Standaard 14 5 4 4" xfId="12142"/>
    <cellStyle name="Standaard 14 5 5" xfId="12143"/>
    <cellStyle name="Standaard 14 5 5 2" xfId="12144"/>
    <cellStyle name="Standaard 14 5 5 2 2" xfId="12145"/>
    <cellStyle name="Standaard 14 5 5 3" xfId="12146"/>
    <cellStyle name="Standaard 14 5 6" xfId="12147"/>
    <cellStyle name="Standaard 14 5 6 2" xfId="12148"/>
    <cellStyle name="Standaard 14 5 7" xfId="12149"/>
    <cellStyle name="Standaard 14 5 8" xfId="12150"/>
    <cellStyle name="Standaard 14 6" xfId="12151"/>
    <cellStyle name="Standaard 14 6 2" xfId="12152"/>
    <cellStyle name="Standaard 14 6 2 2" xfId="12153"/>
    <cellStyle name="Standaard 14 6 2 2 2" xfId="12154"/>
    <cellStyle name="Standaard 14 6 2 2 2 2" xfId="12155"/>
    <cellStyle name="Standaard 14 6 2 2 2 2 2" xfId="12156"/>
    <cellStyle name="Standaard 14 6 2 2 2 2 2 2" xfId="12157"/>
    <cellStyle name="Standaard 14 6 2 2 2 2 3" xfId="12158"/>
    <cellStyle name="Standaard 14 6 2 2 2 3" xfId="12159"/>
    <cellStyle name="Standaard 14 6 2 2 2 3 2" xfId="12160"/>
    <cellStyle name="Standaard 14 6 2 2 2 4" xfId="12161"/>
    <cellStyle name="Standaard 14 6 2 2 3" xfId="12162"/>
    <cellStyle name="Standaard 14 6 2 2 3 2" xfId="12163"/>
    <cellStyle name="Standaard 14 6 2 2 3 2 2" xfId="12164"/>
    <cellStyle name="Standaard 14 6 2 2 3 3" xfId="12165"/>
    <cellStyle name="Standaard 14 6 2 2 4" xfId="12166"/>
    <cellStyle name="Standaard 14 6 2 2 4 2" xfId="12167"/>
    <cellStyle name="Standaard 14 6 2 2 5" xfId="12168"/>
    <cellStyle name="Standaard 14 6 2 2 6" xfId="12169"/>
    <cellStyle name="Standaard 14 6 2 3" xfId="12170"/>
    <cellStyle name="Standaard 14 6 2 3 2" xfId="12171"/>
    <cellStyle name="Standaard 14 6 2 3 2 2" xfId="12172"/>
    <cellStyle name="Standaard 14 6 2 3 2 2 2" xfId="12173"/>
    <cellStyle name="Standaard 14 6 2 3 2 3" xfId="12174"/>
    <cellStyle name="Standaard 14 6 2 3 3" xfId="12175"/>
    <cellStyle name="Standaard 14 6 2 3 3 2" xfId="12176"/>
    <cellStyle name="Standaard 14 6 2 3 4" xfId="12177"/>
    <cellStyle name="Standaard 14 6 2 4" xfId="12178"/>
    <cellStyle name="Standaard 14 6 2 4 2" xfId="12179"/>
    <cellStyle name="Standaard 14 6 2 4 2 2" xfId="12180"/>
    <cellStyle name="Standaard 14 6 2 4 3" xfId="12181"/>
    <cellStyle name="Standaard 14 6 2 5" xfId="12182"/>
    <cellStyle name="Standaard 14 6 2 5 2" xfId="12183"/>
    <cellStyle name="Standaard 14 6 2 6" xfId="12184"/>
    <cellStyle name="Standaard 14 6 2 7" xfId="12185"/>
    <cellStyle name="Standaard 14 6 3" xfId="12186"/>
    <cellStyle name="Standaard 14 6 3 2" xfId="12187"/>
    <cellStyle name="Standaard 14 6 3 2 2" xfId="12188"/>
    <cellStyle name="Standaard 14 6 3 2 2 2" xfId="12189"/>
    <cellStyle name="Standaard 14 6 3 2 2 2 2" xfId="12190"/>
    <cellStyle name="Standaard 14 6 3 2 2 3" xfId="12191"/>
    <cellStyle name="Standaard 14 6 3 2 3" xfId="12192"/>
    <cellStyle name="Standaard 14 6 3 2 3 2" xfId="12193"/>
    <cellStyle name="Standaard 14 6 3 2 4" xfId="12194"/>
    <cellStyle name="Standaard 14 6 3 3" xfId="12195"/>
    <cellStyle name="Standaard 14 6 3 3 2" xfId="12196"/>
    <cellStyle name="Standaard 14 6 3 3 2 2" xfId="12197"/>
    <cellStyle name="Standaard 14 6 3 3 3" xfId="12198"/>
    <cellStyle name="Standaard 14 6 3 4" xfId="12199"/>
    <cellStyle name="Standaard 14 6 3 4 2" xfId="12200"/>
    <cellStyle name="Standaard 14 6 3 5" xfId="12201"/>
    <cellStyle name="Standaard 14 6 3 6" xfId="12202"/>
    <cellStyle name="Standaard 14 6 4" xfId="12203"/>
    <cellStyle name="Standaard 14 6 4 2" xfId="12204"/>
    <cellStyle name="Standaard 14 6 4 2 2" xfId="12205"/>
    <cellStyle name="Standaard 14 6 4 2 2 2" xfId="12206"/>
    <cellStyle name="Standaard 14 6 4 2 3" xfId="12207"/>
    <cellStyle name="Standaard 14 6 4 3" xfId="12208"/>
    <cellStyle name="Standaard 14 6 4 3 2" xfId="12209"/>
    <cellStyle name="Standaard 14 6 4 4" xfId="12210"/>
    <cellStyle name="Standaard 14 6 5" xfId="12211"/>
    <cellStyle name="Standaard 14 6 5 2" xfId="12212"/>
    <cellStyle name="Standaard 14 6 5 2 2" xfId="12213"/>
    <cellStyle name="Standaard 14 6 5 3" xfId="12214"/>
    <cellStyle name="Standaard 14 6 6" xfId="12215"/>
    <cellStyle name="Standaard 14 6 6 2" xfId="12216"/>
    <cellStyle name="Standaard 14 6 7" xfId="12217"/>
    <cellStyle name="Standaard 14 6 8" xfId="12218"/>
    <cellStyle name="Standaard 14 7" xfId="12219"/>
    <cellStyle name="Standaard 14 7 2" xfId="12220"/>
    <cellStyle name="Standaard 14 7 2 2" xfId="12221"/>
    <cellStyle name="Standaard 14 7 2 2 2" xfId="12222"/>
    <cellStyle name="Standaard 14 7 2 2 2 2" xfId="12223"/>
    <cellStyle name="Standaard 14 7 2 2 2 2 2" xfId="12224"/>
    <cellStyle name="Standaard 14 7 2 2 2 3" xfId="12225"/>
    <cellStyle name="Standaard 14 7 2 2 3" xfId="12226"/>
    <cellStyle name="Standaard 14 7 2 2 3 2" xfId="12227"/>
    <cellStyle name="Standaard 14 7 2 2 4" xfId="12228"/>
    <cellStyle name="Standaard 14 7 2 3" xfId="12229"/>
    <cellStyle name="Standaard 14 7 2 3 2" xfId="12230"/>
    <cellStyle name="Standaard 14 7 2 3 2 2" xfId="12231"/>
    <cellStyle name="Standaard 14 7 2 3 3" xfId="12232"/>
    <cellStyle name="Standaard 14 7 2 4" xfId="12233"/>
    <cellStyle name="Standaard 14 7 2 4 2" xfId="12234"/>
    <cellStyle name="Standaard 14 7 2 5" xfId="12235"/>
    <cellStyle name="Standaard 14 7 2 6" xfId="12236"/>
    <cellStyle name="Standaard 14 7 3" xfId="12237"/>
    <cellStyle name="Standaard 14 7 3 2" xfId="12238"/>
    <cellStyle name="Standaard 14 7 3 2 2" xfId="12239"/>
    <cellStyle name="Standaard 14 7 3 2 2 2" xfId="12240"/>
    <cellStyle name="Standaard 14 7 3 2 3" xfId="12241"/>
    <cellStyle name="Standaard 14 7 3 3" xfId="12242"/>
    <cellStyle name="Standaard 14 7 3 3 2" xfId="12243"/>
    <cellStyle name="Standaard 14 7 3 4" xfId="12244"/>
    <cellStyle name="Standaard 14 7 4" xfId="12245"/>
    <cellStyle name="Standaard 14 7 4 2" xfId="12246"/>
    <cellStyle name="Standaard 14 7 4 2 2" xfId="12247"/>
    <cellStyle name="Standaard 14 7 4 3" xfId="12248"/>
    <cellStyle name="Standaard 14 7 5" xfId="12249"/>
    <cellStyle name="Standaard 14 7 5 2" xfId="12250"/>
    <cellStyle name="Standaard 14 7 6" xfId="12251"/>
    <cellStyle name="Standaard 14 7 7" xfId="12252"/>
    <cellStyle name="Standaard 14 8" xfId="12253"/>
    <cellStyle name="Standaard 14 8 2" xfId="12254"/>
    <cellStyle name="Standaard 14 8 2 2" xfId="12255"/>
    <cellStyle name="Standaard 14 8 2 2 2" xfId="12256"/>
    <cellStyle name="Standaard 14 8 2 2 2 2" xfId="12257"/>
    <cellStyle name="Standaard 14 8 2 2 3" xfId="12258"/>
    <cellStyle name="Standaard 14 8 2 3" xfId="12259"/>
    <cellStyle name="Standaard 14 8 2 3 2" xfId="12260"/>
    <cellStyle name="Standaard 14 8 2 4" xfId="12261"/>
    <cellStyle name="Standaard 14 8 3" xfId="12262"/>
    <cellStyle name="Standaard 14 8 3 2" xfId="12263"/>
    <cellStyle name="Standaard 14 8 3 2 2" xfId="12264"/>
    <cellStyle name="Standaard 14 8 3 3" xfId="12265"/>
    <cellStyle name="Standaard 14 8 4" xfId="12266"/>
    <cellStyle name="Standaard 14 8 4 2" xfId="12267"/>
    <cellStyle name="Standaard 14 8 5" xfId="12268"/>
    <cellStyle name="Standaard 14 8 6" xfId="12269"/>
    <cellStyle name="Standaard 14 9" xfId="12270"/>
    <cellStyle name="Standaard 14 9 2" xfId="12271"/>
    <cellStyle name="Standaard 14 9 2 2" xfId="12272"/>
    <cellStyle name="Standaard 14 9 2 2 2" xfId="12273"/>
    <cellStyle name="Standaard 14 9 2 3" xfId="12274"/>
    <cellStyle name="Standaard 14 9 3" xfId="12275"/>
    <cellStyle name="Standaard 14 9 3 2" xfId="12276"/>
    <cellStyle name="Standaard 14 9 4" xfId="12277"/>
    <cellStyle name="Standaard 15" xfId="12278"/>
    <cellStyle name="Standaard 15 10" xfId="12279"/>
    <cellStyle name="Standaard 15 10 2" xfId="12280"/>
    <cellStyle name="Standaard 15 10 2 2" xfId="12281"/>
    <cellStyle name="Standaard 15 10 3" xfId="12282"/>
    <cellStyle name="Standaard 15 11" xfId="12283"/>
    <cellStyle name="Standaard 15 11 2" xfId="12284"/>
    <cellStyle name="Standaard 15 12" xfId="12285"/>
    <cellStyle name="Standaard 15 13" xfId="12286"/>
    <cellStyle name="Standaard 15 2" xfId="12287"/>
    <cellStyle name="Standaard 15 2 10" xfId="12288"/>
    <cellStyle name="Standaard 15 2 10 2" xfId="12289"/>
    <cellStyle name="Standaard 15 2 11" xfId="12290"/>
    <cellStyle name="Standaard 15 2 12" xfId="12291"/>
    <cellStyle name="Standaard 15 2 2" xfId="12292"/>
    <cellStyle name="Standaard 15 2 2 10" xfId="12293"/>
    <cellStyle name="Standaard 15 2 2 11" xfId="12294"/>
    <cellStyle name="Standaard 15 2 2 2" xfId="12295"/>
    <cellStyle name="Standaard 15 2 2 2 2" xfId="12296"/>
    <cellStyle name="Standaard 15 2 2 2 2 2" xfId="12297"/>
    <cellStyle name="Standaard 15 2 2 2 2 2 2" xfId="12298"/>
    <cellStyle name="Standaard 15 2 2 2 2 2 2 2" xfId="12299"/>
    <cellStyle name="Standaard 15 2 2 2 2 2 2 2 2" xfId="12300"/>
    <cellStyle name="Standaard 15 2 2 2 2 2 2 2 2 2" xfId="12301"/>
    <cellStyle name="Standaard 15 2 2 2 2 2 2 2 2 2 2" xfId="12302"/>
    <cellStyle name="Standaard 15 2 2 2 2 2 2 2 2 3" xfId="12303"/>
    <cellStyle name="Standaard 15 2 2 2 2 2 2 2 3" xfId="12304"/>
    <cellStyle name="Standaard 15 2 2 2 2 2 2 2 3 2" xfId="12305"/>
    <cellStyle name="Standaard 15 2 2 2 2 2 2 2 4" xfId="12306"/>
    <cellStyle name="Standaard 15 2 2 2 2 2 2 3" xfId="12307"/>
    <cellStyle name="Standaard 15 2 2 2 2 2 2 3 2" xfId="12308"/>
    <cellStyle name="Standaard 15 2 2 2 2 2 2 3 2 2" xfId="12309"/>
    <cellStyle name="Standaard 15 2 2 2 2 2 2 3 3" xfId="12310"/>
    <cellStyle name="Standaard 15 2 2 2 2 2 2 4" xfId="12311"/>
    <cellStyle name="Standaard 15 2 2 2 2 2 2 4 2" xfId="12312"/>
    <cellStyle name="Standaard 15 2 2 2 2 2 2 5" xfId="12313"/>
    <cellStyle name="Standaard 15 2 2 2 2 2 2 6" xfId="12314"/>
    <cellStyle name="Standaard 15 2 2 2 2 2 3" xfId="12315"/>
    <cellStyle name="Standaard 15 2 2 2 2 2 3 2" xfId="12316"/>
    <cellStyle name="Standaard 15 2 2 2 2 2 3 2 2" xfId="12317"/>
    <cellStyle name="Standaard 15 2 2 2 2 2 3 2 2 2" xfId="12318"/>
    <cellStyle name="Standaard 15 2 2 2 2 2 3 2 3" xfId="12319"/>
    <cellStyle name="Standaard 15 2 2 2 2 2 3 3" xfId="12320"/>
    <cellStyle name="Standaard 15 2 2 2 2 2 3 3 2" xfId="12321"/>
    <cellStyle name="Standaard 15 2 2 2 2 2 3 4" xfId="12322"/>
    <cellStyle name="Standaard 15 2 2 2 2 2 4" xfId="12323"/>
    <cellStyle name="Standaard 15 2 2 2 2 2 4 2" xfId="12324"/>
    <cellStyle name="Standaard 15 2 2 2 2 2 4 2 2" xfId="12325"/>
    <cellStyle name="Standaard 15 2 2 2 2 2 4 3" xfId="12326"/>
    <cellStyle name="Standaard 15 2 2 2 2 2 5" xfId="12327"/>
    <cellStyle name="Standaard 15 2 2 2 2 2 5 2" xfId="12328"/>
    <cellStyle name="Standaard 15 2 2 2 2 2 6" xfId="12329"/>
    <cellStyle name="Standaard 15 2 2 2 2 2 7" xfId="12330"/>
    <cellStyle name="Standaard 15 2 2 2 2 3" xfId="12331"/>
    <cellStyle name="Standaard 15 2 2 2 2 3 2" xfId="12332"/>
    <cellStyle name="Standaard 15 2 2 2 2 3 2 2" xfId="12333"/>
    <cellStyle name="Standaard 15 2 2 2 2 3 2 2 2" xfId="12334"/>
    <cellStyle name="Standaard 15 2 2 2 2 3 2 2 2 2" xfId="12335"/>
    <cellStyle name="Standaard 15 2 2 2 2 3 2 2 3" xfId="12336"/>
    <cellStyle name="Standaard 15 2 2 2 2 3 2 3" xfId="12337"/>
    <cellStyle name="Standaard 15 2 2 2 2 3 2 3 2" xfId="12338"/>
    <cellStyle name="Standaard 15 2 2 2 2 3 2 4" xfId="12339"/>
    <cellStyle name="Standaard 15 2 2 2 2 3 3" xfId="12340"/>
    <cellStyle name="Standaard 15 2 2 2 2 3 3 2" xfId="12341"/>
    <cellStyle name="Standaard 15 2 2 2 2 3 3 2 2" xfId="12342"/>
    <cellStyle name="Standaard 15 2 2 2 2 3 3 3" xfId="12343"/>
    <cellStyle name="Standaard 15 2 2 2 2 3 4" xfId="12344"/>
    <cellStyle name="Standaard 15 2 2 2 2 3 4 2" xfId="12345"/>
    <cellStyle name="Standaard 15 2 2 2 2 3 5" xfId="12346"/>
    <cellStyle name="Standaard 15 2 2 2 2 3 6" xfId="12347"/>
    <cellStyle name="Standaard 15 2 2 2 2 4" xfId="12348"/>
    <cellStyle name="Standaard 15 2 2 2 2 4 2" xfId="12349"/>
    <cellStyle name="Standaard 15 2 2 2 2 4 2 2" xfId="12350"/>
    <cellStyle name="Standaard 15 2 2 2 2 4 2 2 2" xfId="12351"/>
    <cellStyle name="Standaard 15 2 2 2 2 4 2 3" xfId="12352"/>
    <cellStyle name="Standaard 15 2 2 2 2 4 3" xfId="12353"/>
    <cellStyle name="Standaard 15 2 2 2 2 4 3 2" xfId="12354"/>
    <cellStyle name="Standaard 15 2 2 2 2 4 4" xfId="12355"/>
    <cellStyle name="Standaard 15 2 2 2 2 5" xfId="12356"/>
    <cellStyle name="Standaard 15 2 2 2 2 5 2" xfId="12357"/>
    <cellStyle name="Standaard 15 2 2 2 2 5 2 2" xfId="12358"/>
    <cellStyle name="Standaard 15 2 2 2 2 5 3" xfId="12359"/>
    <cellStyle name="Standaard 15 2 2 2 2 6" xfId="12360"/>
    <cellStyle name="Standaard 15 2 2 2 2 6 2" xfId="12361"/>
    <cellStyle name="Standaard 15 2 2 2 2 7" xfId="12362"/>
    <cellStyle name="Standaard 15 2 2 2 2 8" xfId="12363"/>
    <cellStyle name="Standaard 15 2 2 2 3" xfId="12364"/>
    <cellStyle name="Standaard 15 2 2 2 3 2" xfId="12365"/>
    <cellStyle name="Standaard 15 2 2 2 3 2 2" xfId="12366"/>
    <cellStyle name="Standaard 15 2 2 2 3 2 2 2" xfId="12367"/>
    <cellStyle name="Standaard 15 2 2 2 3 2 2 2 2" xfId="12368"/>
    <cellStyle name="Standaard 15 2 2 2 3 2 2 2 2 2" xfId="12369"/>
    <cellStyle name="Standaard 15 2 2 2 3 2 2 2 3" xfId="12370"/>
    <cellStyle name="Standaard 15 2 2 2 3 2 2 3" xfId="12371"/>
    <cellStyle name="Standaard 15 2 2 2 3 2 2 3 2" xfId="12372"/>
    <cellStyle name="Standaard 15 2 2 2 3 2 2 4" xfId="12373"/>
    <cellStyle name="Standaard 15 2 2 2 3 2 3" xfId="12374"/>
    <cellStyle name="Standaard 15 2 2 2 3 2 3 2" xfId="12375"/>
    <cellStyle name="Standaard 15 2 2 2 3 2 3 2 2" xfId="12376"/>
    <cellStyle name="Standaard 15 2 2 2 3 2 3 3" xfId="12377"/>
    <cellStyle name="Standaard 15 2 2 2 3 2 4" xfId="12378"/>
    <cellStyle name="Standaard 15 2 2 2 3 2 4 2" xfId="12379"/>
    <cellStyle name="Standaard 15 2 2 2 3 2 5" xfId="12380"/>
    <cellStyle name="Standaard 15 2 2 2 3 2 6" xfId="12381"/>
    <cellStyle name="Standaard 15 2 2 2 3 3" xfId="12382"/>
    <cellStyle name="Standaard 15 2 2 2 3 3 2" xfId="12383"/>
    <cellStyle name="Standaard 15 2 2 2 3 3 2 2" xfId="12384"/>
    <cellStyle name="Standaard 15 2 2 2 3 3 2 2 2" xfId="12385"/>
    <cellStyle name="Standaard 15 2 2 2 3 3 2 3" xfId="12386"/>
    <cellStyle name="Standaard 15 2 2 2 3 3 3" xfId="12387"/>
    <cellStyle name="Standaard 15 2 2 2 3 3 3 2" xfId="12388"/>
    <cellStyle name="Standaard 15 2 2 2 3 3 4" xfId="12389"/>
    <cellStyle name="Standaard 15 2 2 2 3 4" xfId="12390"/>
    <cellStyle name="Standaard 15 2 2 2 3 4 2" xfId="12391"/>
    <cellStyle name="Standaard 15 2 2 2 3 4 2 2" xfId="12392"/>
    <cellStyle name="Standaard 15 2 2 2 3 4 3" xfId="12393"/>
    <cellStyle name="Standaard 15 2 2 2 3 5" xfId="12394"/>
    <cellStyle name="Standaard 15 2 2 2 3 5 2" xfId="12395"/>
    <cellStyle name="Standaard 15 2 2 2 3 6" xfId="12396"/>
    <cellStyle name="Standaard 15 2 2 2 3 7" xfId="12397"/>
    <cellStyle name="Standaard 15 2 2 2 4" xfId="12398"/>
    <cellStyle name="Standaard 15 2 2 2 4 2" xfId="12399"/>
    <cellStyle name="Standaard 15 2 2 2 4 2 2" xfId="12400"/>
    <cellStyle name="Standaard 15 2 2 2 4 2 2 2" xfId="12401"/>
    <cellStyle name="Standaard 15 2 2 2 4 2 2 2 2" xfId="12402"/>
    <cellStyle name="Standaard 15 2 2 2 4 2 2 3" xfId="12403"/>
    <cellStyle name="Standaard 15 2 2 2 4 2 3" xfId="12404"/>
    <cellStyle name="Standaard 15 2 2 2 4 2 3 2" xfId="12405"/>
    <cellStyle name="Standaard 15 2 2 2 4 2 4" xfId="12406"/>
    <cellStyle name="Standaard 15 2 2 2 4 3" xfId="12407"/>
    <cellStyle name="Standaard 15 2 2 2 4 3 2" xfId="12408"/>
    <cellStyle name="Standaard 15 2 2 2 4 3 2 2" xfId="12409"/>
    <cellStyle name="Standaard 15 2 2 2 4 3 3" xfId="12410"/>
    <cellStyle name="Standaard 15 2 2 2 4 4" xfId="12411"/>
    <cellStyle name="Standaard 15 2 2 2 4 4 2" xfId="12412"/>
    <cellStyle name="Standaard 15 2 2 2 4 5" xfId="12413"/>
    <cellStyle name="Standaard 15 2 2 2 4 6" xfId="12414"/>
    <cellStyle name="Standaard 15 2 2 2 5" xfId="12415"/>
    <cellStyle name="Standaard 15 2 2 2 5 2" xfId="12416"/>
    <cellStyle name="Standaard 15 2 2 2 5 2 2" xfId="12417"/>
    <cellStyle name="Standaard 15 2 2 2 5 2 2 2" xfId="12418"/>
    <cellStyle name="Standaard 15 2 2 2 5 2 3" xfId="12419"/>
    <cellStyle name="Standaard 15 2 2 2 5 3" xfId="12420"/>
    <cellStyle name="Standaard 15 2 2 2 5 3 2" xfId="12421"/>
    <cellStyle name="Standaard 15 2 2 2 5 4" xfId="12422"/>
    <cellStyle name="Standaard 15 2 2 2 6" xfId="12423"/>
    <cellStyle name="Standaard 15 2 2 2 6 2" xfId="12424"/>
    <cellStyle name="Standaard 15 2 2 2 6 2 2" xfId="12425"/>
    <cellStyle name="Standaard 15 2 2 2 6 3" xfId="12426"/>
    <cellStyle name="Standaard 15 2 2 2 7" xfId="12427"/>
    <cellStyle name="Standaard 15 2 2 2 7 2" xfId="12428"/>
    <cellStyle name="Standaard 15 2 2 2 8" xfId="12429"/>
    <cellStyle name="Standaard 15 2 2 2 9" xfId="12430"/>
    <cellStyle name="Standaard 15 2 2 3" xfId="12431"/>
    <cellStyle name="Standaard 15 2 2 3 2" xfId="12432"/>
    <cellStyle name="Standaard 15 2 2 3 2 2" xfId="12433"/>
    <cellStyle name="Standaard 15 2 2 3 2 2 2" xfId="12434"/>
    <cellStyle name="Standaard 15 2 2 3 2 2 2 2" xfId="12435"/>
    <cellStyle name="Standaard 15 2 2 3 2 2 2 2 2" xfId="12436"/>
    <cellStyle name="Standaard 15 2 2 3 2 2 2 2 2 2" xfId="12437"/>
    <cellStyle name="Standaard 15 2 2 3 2 2 2 2 3" xfId="12438"/>
    <cellStyle name="Standaard 15 2 2 3 2 2 2 3" xfId="12439"/>
    <cellStyle name="Standaard 15 2 2 3 2 2 2 3 2" xfId="12440"/>
    <cellStyle name="Standaard 15 2 2 3 2 2 2 4" xfId="12441"/>
    <cellStyle name="Standaard 15 2 2 3 2 2 3" xfId="12442"/>
    <cellStyle name="Standaard 15 2 2 3 2 2 3 2" xfId="12443"/>
    <cellStyle name="Standaard 15 2 2 3 2 2 3 2 2" xfId="12444"/>
    <cellStyle name="Standaard 15 2 2 3 2 2 3 3" xfId="12445"/>
    <cellStyle name="Standaard 15 2 2 3 2 2 4" xfId="12446"/>
    <cellStyle name="Standaard 15 2 2 3 2 2 4 2" xfId="12447"/>
    <cellStyle name="Standaard 15 2 2 3 2 2 5" xfId="12448"/>
    <cellStyle name="Standaard 15 2 2 3 2 2 6" xfId="12449"/>
    <cellStyle name="Standaard 15 2 2 3 2 3" xfId="12450"/>
    <cellStyle name="Standaard 15 2 2 3 2 3 2" xfId="12451"/>
    <cellStyle name="Standaard 15 2 2 3 2 3 2 2" xfId="12452"/>
    <cellStyle name="Standaard 15 2 2 3 2 3 2 2 2" xfId="12453"/>
    <cellStyle name="Standaard 15 2 2 3 2 3 2 3" xfId="12454"/>
    <cellStyle name="Standaard 15 2 2 3 2 3 3" xfId="12455"/>
    <cellStyle name="Standaard 15 2 2 3 2 3 3 2" xfId="12456"/>
    <cellStyle name="Standaard 15 2 2 3 2 3 4" xfId="12457"/>
    <cellStyle name="Standaard 15 2 2 3 2 4" xfId="12458"/>
    <cellStyle name="Standaard 15 2 2 3 2 4 2" xfId="12459"/>
    <cellStyle name="Standaard 15 2 2 3 2 4 2 2" xfId="12460"/>
    <cellStyle name="Standaard 15 2 2 3 2 4 3" xfId="12461"/>
    <cellStyle name="Standaard 15 2 2 3 2 5" xfId="12462"/>
    <cellStyle name="Standaard 15 2 2 3 2 5 2" xfId="12463"/>
    <cellStyle name="Standaard 15 2 2 3 2 6" xfId="12464"/>
    <cellStyle name="Standaard 15 2 2 3 2 7" xfId="12465"/>
    <cellStyle name="Standaard 15 2 2 3 3" xfId="12466"/>
    <cellStyle name="Standaard 15 2 2 3 3 2" xfId="12467"/>
    <cellStyle name="Standaard 15 2 2 3 3 2 2" xfId="12468"/>
    <cellStyle name="Standaard 15 2 2 3 3 2 2 2" xfId="12469"/>
    <cellStyle name="Standaard 15 2 2 3 3 2 2 2 2" xfId="12470"/>
    <cellStyle name="Standaard 15 2 2 3 3 2 2 3" xfId="12471"/>
    <cellStyle name="Standaard 15 2 2 3 3 2 3" xfId="12472"/>
    <cellStyle name="Standaard 15 2 2 3 3 2 3 2" xfId="12473"/>
    <cellStyle name="Standaard 15 2 2 3 3 2 4" xfId="12474"/>
    <cellStyle name="Standaard 15 2 2 3 3 3" xfId="12475"/>
    <cellStyle name="Standaard 15 2 2 3 3 3 2" xfId="12476"/>
    <cellStyle name="Standaard 15 2 2 3 3 3 2 2" xfId="12477"/>
    <cellStyle name="Standaard 15 2 2 3 3 3 3" xfId="12478"/>
    <cellStyle name="Standaard 15 2 2 3 3 4" xfId="12479"/>
    <cellStyle name="Standaard 15 2 2 3 3 4 2" xfId="12480"/>
    <cellStyle name="Standaard 15 2 2 3 3 5" xfId="12481"/>
    <cellStyle name="Standaard 15 2 2 3 3 6" xfId="12482"/>
    <cellStyle name="Standaard 15 2 2 3 4" xfId="12483"/>
    <cellStyle name="Standaard 15 2 2 3 4 2" xfId="12484"/>
    <cellStyle name="Standaard 15 2 2 3 4 2 2" xfId="12485"/>
    <cellStyle name="Standaard 15 2 2 3 4 2 2 2" xfId="12486"/>
    <cellStyle name="Standaard 15 2 2 3 4 2 3" xfId="12487"/>
    <cellStyle name="Standaard 15 2 2 3 4 3" xfId="12488"/>
    <cellStyle name="Standaard 15 2 2 3 4 3 2" xfId="12489"/>
    <cellStyle name="Standaard 15 2 2 3 4 4" xfId="12490"/>
    <cellStyle name="Standaard 15 2 2 3 5" xfId="12491"/>
    <cellStyle name="Standaard 15 2 2 3 5 2" xfId="12492"/>
    <cellStyle name="Standaard 15 2 2 3 5 2 2" xfId="12493"/>
    <cellStyle name="Standaard 15 2 2 3 5 3" xfId="12494"/>
    <cellStyle name="Standaard 15 2 2 3 6" xfId="12495"/>
    <cellStyle name="Standaard 15 2 2 3 6 2" xfId="12496"/>
    <cellStyle name="Standaard 15 2 2 3 7" xfId="12497"/>
    <cellStyle name="Standaard 15 2 2 3 8" xfId="12498"/>
    <cellStyle name="Standaard 15 2 2 4" xfId="12499"/>
    <cellStyle name="Standaard 15 2 2 4 2" xfId="12500"/>
    <cellStyle name="Standaard 15 2 2 4 2 2" xfId="12501"/>
    <cellStyle name="Standaard 15 2 2 4 2 2 2" xfId="12502"/>
    <cellStyle name="Standaard 15 2 2 4 2 2 2 2" xfId="12503"/>
    <cellStyle name="Standaard 15 2 2 4 2 2 2 2 2" xfId="12504"/>
    <cellStyle name="Standaard 15 2 2 4 2 2 2 2 2 2" xfId="12505"/>
    <cellStyle name="Standaard 15 2 2 4 2 2 2 2 3" xfId="12506"/>
    <cellStyle name="Standaard 15 2 2 4 2 2 2 3" xfId="12507"/>
    <cellStyle name="Standaard 15 2 2 4 2 2 2 3 2" xfId="12508"/>
    <cellStyle name="Standaard 15 2 2 4 2 2 2 4" xfId="12509"/>
    <cellStyle name="Standaard 15 2 2 4 2 2 3" xfId="12510"/>
    <cellStyle name="Standaard 15 2 2 4 2 2 3 2" xfId="12511"/>
    <cellStyle name="Standaard 15 2 2 4 2 2 3 2 2" xfId="12512"/>
    <cellStyle name="Standaard 15 2 2 4 2 2 3 3" xfId="12513"/>
    <cellStyle name="Standaard 15 2 2 4 2 2 4" xfId="12514"/>
    <cellStyle name="Standaard 15 2 2 4 2 2 4 2" xfId="12515"/>
    <cellStyle name="Standaard 15 2 2 4 2 2 5" xfId="12516"/>
    <cellStyle name="Standaard 15 2 2 4 2 2 6" xfId="12517"/>
    <cellStyle name="Standaard 15 2 2 4 2 3" xfId="12518"/>
    <cellStyle name="Standaard 15 2 2 4 2 3 2" xfId="12519"/>
    <cellStyle name="Standaard 15 2 2 4 2 3 2 2" xfId="12520"/>
    <cellStyle name="Standaard 15 2 2 4 2 3 2 2 2" xfId="12521"/>
    <cellStyle name="Standaard 15 2 2 4 2 3 2 3" xfId="12522"/>
    <cellStyle name="Standaard 15 2 2 4 2 3 3" xfId="12523"/>
    <cellStyle name="Standaard 15 2 2 4 2 3 3 2" xfId="12524"/>
    <cellStyle name="Standaard 15 2 2 4 2 3 4" xfId="12525"/>
    <cellStyle name="Standaard 15 2 2 4 2 4" xfId="12526"/>
    <cellStyle name="Standaard 15 2 2 4 2 4 2" xfId="12527"/>
    <cellStyle name="Standaard 15 2 2 4 2 4 2 2" xfId="12528"/>
    <cellStyle name="Standaard 15 2 2 4 2 4 3" xfId="12529"/>
    <cellStyle name="Standaard 15 2 2 4 2 5" xfId="12530"/>
    <cellStyle name="Standaard 15 2 2 4 2 5 2" xfId="12531"/>
    <cellStyle name="Standaard 15 2 2 4 2 6" xfId="12532"/>
    <cellStyle name="Standaard 15 2 2 4 2 7" xfId="12533"/>
    <cellStyle name="Standaard 15 2 2 4 3" xfId="12534"/>
    <cellStyle name="Standaard 15 2 2 4 3 2" xfId="12535"/>
    <cellStyle name="Standaard 15 2 2 4 3 2 2" xfId="12536"/>
    <cellStyle name="Standaard 15 2 2 4 3 2 2 2" xfId="12537"/>
    <cellStyle name="Standaard 15 2 2 4 3 2 2 2 2" xfId="12538"/>
    <cellStyle name="Standaard 15 2 2 4 3 2 2 3" xfId="12539"/>
    <cellStyle name="Standaard 15 2 2 4 3 2 3" xfId="12540"/>
    <cellStyle name="Standaard 15 2 2 4 3 2 3 2" xfId="12541"/>
    <cellStyle name="Standaard 15 2 2 4 3 2 4" xfId="12542"/>
    <cellStyle name="Standaard 15 2 2 4 3 3" xfId="12543"/>
    <cellStyle name="Standaard 15 2 2 4 3 3 2" xfId="12544"/>
    <cellStyle name="Standaard 15 2 2 4 3 3 2 2" xfId="12545"/>
    <cellStyle name="Standaard 15 2 2 4 3 3 3" xfId="12546"/>
    <cellStyle name="Standaard 15 2 2 4 3 4" xfId="12547"/>
    <cellStyle name="Standaard 15 2 2 4 3 4 2" xfId="12548"/>
    <cellStyle name="Standaard 15 2 2 4 3 5" xfId="12549"/>
    <cellStyle name="Standaard 15 2 2 4 3 6" xfId="12550"/>
    <cellStyle name="Standaard 15 2 2 4 4" xfId="12551"/>
    <cellStyle name="Standaard 15 2 2 4 4 2" xfId="12552"/>
    <cellStyle name="Standaard 15 2 2 4 4 2 2" xfId="12553"/>
    <cellStyle name="Standaard 15 2 2 4 4 2 2 2" xfId="12554"/>
    <cellStyle name="Standaard 15 2 2 4 4 2 3" xfId="12555"/>
    <cellStyle name="Standaard 15 2 2 4 4 3" xfId="12556"/>
    <cellStyle name="Standaard 15 2 2 4 4 3 2" xfId="12557"/>
    <cellStyle name="Standaard 15 2 2 4 4 4" xfId="12558"/>
    <cellStyle name="Standaard 15 2 2 4 5" xfId="12559"/>
    <cellStyle name="Standaard 15 2 2 4 5 2" xfId="12560"/>
    <cellStyle name="Standaard 15 2 2 4 5 2 2" xfId="12561"/>
    <cellStyle name="Standaard 15 2 2 4 5 3" xfId="12562"/>
    <cellStyle name="Standaard 15 2 2 4 6" xfId="12563"/>
    <cellStyle name="Standaard 15 2 2 4 6 2" xfId="12564"/>
    <cellStyle name="Standaard 15 2 2 4 7" xfId="12565"/>
    <cellStyle name="Standaard 15 2 2 4 8" xfId="12566"/>
    <cellStyle name="Standaard 15 2 2 5" xfId="12567"/>
    <cellStyle name="Standaard 15 2 2 5 2" xfId="12568"/>
    <cellStyle name="Standaard 15 2 2 5 2 2" xfId="12569"/>
    <cellStyle name="Standaard 15 2 2 5 2 2 2" xfId="12570"/>
    <cellStyle name="Standaard 15 2 2 5 2 2 2 2" xfId="12571"/>
    <cellStyle name="Standaard 15 2 2 5 2 2 2 2 2" xfId="12572"/>
    <cellStyle name="Standaard 15 2 2 5 2 2 2 3" xfId="12573"/>
    <cellStyle name="Standaard 15 2 2 5 2 2 3" xfId="12574"/>
    <cellStyle name="Standaard 15 2 2 5 2 2 3 2" xfId="12575"/>
    <cellStyle name="Standaard 15 2 2 5 2 2 4" xfId="12576"/>
    <cellStyle name="Standaard 15 2 2 5 2 3" xfId="12577"/>
    <cellStyle name="Standaard 15 2 2 5 2 3 2" xfId="12578"/>
    <cellStyle name="Standaard 15 2 2 5 2 3 2 2" xfId="12579"/>
    <cellStyle name="Standaard 15 2 2 5 2 3 3" xfId="12580"/>
    <cellStyle name="Standaard 15 2 2 5 2 4" xfId="12581"/>
    <cellStyle name="Standaard 15 2 2 5 2 4 2" xfId="12582"/>
    <cellStyle name="Standaard 15 2 2 5 2 5" xfId="12583"/>
    <cellStyle name="Standaard 15 2 2 5 2 6" xfId="12584"/>
    <cellStyle name="Standaard 15 2 2 5 3" xfId="12585"/>
    <cellStyle name="Standaard 15 2 2 5 3 2" xfId="12586"/>
    <cellStyle name="Standaard 15 2 2 5 3 2 2" xfId="12587"/>
    <cellStyle name="Standaard 15 2 2 5 3 2 2 2" xfId="12588"/>
    <cellStyle name="Standaard 15 2 2 5 3 2 3" xfId="12589"/>
    <cellStyle name="Standaard 15 2 2 5 3 3" xfId="12590"/>
    <cellStyle name="Standaard 15 2 2 5 3 3 2" xfId="12591"/>
    <cellStyle name="Standaard 15 2 2 5 3 4" xfId="12592"/>
    <cellStyle name="Standaard 15 2 2 5 4" xfId="12593"/>
    <cellStyle name="Standaard 15 2 2 5 4 2" xfId="12594"/>
    <cellStyle name="Standaard 15 2 2 5 4 2 2" xfId="12595"/>
    <cellStyle name="Standaard 15 2 2 5 4 3" xfId="12596"/>
    <cellStyle name="Standaard 15 2 2 5 5" xfId="12597"/>
    <cellStyle name="Standaard 15 2 2 5 5 2" xfId="12598"/>
    <cellStyle name="Standaard 15 2 2 5 6" xfId="12599"/>
    <cellStyle name="Standaard 15 2 2 5 7" xfId="12600"/>
    <cellStyle name="Standaard 15 2 2 6" xfId="12601"/>
    <cellStyle name="Standaard 15 2 2 6 2" xfId="12602"/>
    <cellStyle name="Standaard 15 2 2 6 2 2" xfId="12603"/>
    <cellStyle name="Standaard 15 2 2 6 2 2 2" xfId="12604"/>
    <cellStyle name="Standaard 15 2 2 6 2 2 2 2" xfId="12605"/>
    <cellStyle name="Standaard 15 2 2 6 2 2 3" xfId="12606"/>
    <cellStyle name="Standaard 15 2 2 6 2 3" xfId="12607"/>
    <cellStyle name="Standaard 15 2 2 6 2 3 2" xfId="12608"/>
    <cellStyle name="Standaard 15 2 2 6 2 4" xfId="12609"/>
    <cellStyle name="Standaard 15 2 2 6 3" xfId="12610"/>
    <cellStyle name="Standaard 15 2 2 6 3 2" xfId="12611"/>
    <cellStyle name="Standaard 15 2 2 6 3 2 2" xfId="12612"/>
    <cellStyle name="Standaard 15 2 2 6 3 3" xfId="12613"/>
    <cellStyle name="Standaard 15 2 2 6 4" xfId="12614"/>
    <cellStyle name="Standaard 15 2 2 6 4 2" xfId="12615"/>
    <cellStyle name="Standaard 15 2 2 6 5" xfId="12616"/>
    <cellStyle name="Standaard 15 2 2 6 6" xfId="12617"/>
    <cellStyle name="Standaard 15 2 2 7" xfId="12618"/>
    <cellStyle name="Standaard 15 2 2 7 2" xfId="12619"/>
    <cellStyle name="Standaard 15 2 2 7 2 2" xfId="12620"/>
    <cellStyle name="Standaard 15 2 2 7 2 2 2" xfId="12621"/>
    <cellStyle name="Standaard 15 2 2 7 2 3" xfId="12622"/>
    <cellStyle name="Standaard 15 2 2 7 3" xfId="12623"/>
    <cellStyle name="Standaard 15 2 2 7 3 2" xfId="12624"/>
    <cellStyle name="Standaard 15 2 2 7 4" xfId="12625"/>
    <cellStyle name="Standaard 15 2 2 8" xfId="12626"/>
    <cellStyle name="Standaard 15 2 2 8 2" xfId="12627"/>
    <cellStyle name="Standaard 15 2 2 8 2 2" xfId="12628"/>
    <cellStyle name="Standaard 15 2 2 8 3" xfId="12629"/>
    <cellStyle name="Standaard 15 2 2 9" xfId="12630"/>
    <cellStyle name="Standaard 15 2 2 9 2" xfId="12631"/>
    <cellStyle name="Standaard 15 2 3" xfId="12632"/>
    <cellStyle name="Standaard 15 2 3 2" xfId="12633"/>
    <cellStyle name="Standaard 15 2 3 2 2" xfId="12634"/>
    <cellStyle name="Standaard 15 2 3 2 2 2" xfId="12635"/>
    <cellStyle name="Standaard 15 2 3 2 2 2 2" xfId="12636"/>
    <cellStyle name="Standaard 15 2 3 2 2 2 2 2" xfId="12637"/>
    <cellStyle name="Standaard 15 2 3 2 2 2 2 2 2" xfId="12638"/>
    <cellStyle name="Standaard 15 2 3 2 2 2 2 2 2 2" xfId="12639"/>
    <cellStyle name="Standaard 15 2 3 2 2 2 2 2 3" xfId="12640"/>
    <cellStyle name="Standaard 15 2 3 2 2 2 2 3" xfId="12641"/>
    <cellStyle name="Standaard 15 2 3 2 2 2 2 3 2" xfId="12642"/>
    <cellStyle name="Standaard 15 2 3 2 2 2 2 4" xfId="12643"/>
    <cellStyle name="Standaard 15 2 3 2 2 2 3" xfId="12644"/>
    <cellStyle name="Standaard 15 2 3 2 2 2 3 2" xfId="12645"/>
    <cellStyle name="Standaard 15 2 3 2 2 2 3 2 2" xfId="12646"/>
    <cellStyle name="Standaard 15 2 3 2 2 2 3 3" xfId="12647"/>
    <cellStyle name="Standaard 15 2 3 2 2 2 4" xfId="12648"/>
    <cellStyle name="Standaard 15 2 3 2 2 2 4 2" xfId="12649"/>
    <cellStyle name="Standaard 15 2 3 2 2 2 5" xfId="12650"/>
    <cellStyle name="Standaard 15 2 3 2 2 2 6" xfId="12651"/>
    <cellStyle name="Standaard 15 2 3 2 2 3" xfId="12652"/>
    <cellStyle name="Standaard 15 2 3 2 2 3 2" xfId="12653"/>
    <cellStyle name="Standaard 15 2 3 2 2 3 2 2" xfId="12654"/>
    <cellStyle name="Standaard 15 2 3 2 2 3 2 2 2" xfId="12655"/>
    <cellStyle name="Standaard 15 2 3 2 2 3 2 3" xfId="12656"/>
    <cellStyle name="Standaard 15 2 3 2 2 3 3" xfId="12657"/>
    <cellStyle name="Standaard 15 2 3 2 2 3 3 2" xfId="12658"/>
    <cellStyle name="Standaard 15 2 3 2 2 3 4" xfId="12659"/>
    <cellStyle name="Standaard 15 2 3 2 2 4" xfId="12660"/>
    <cellStyle name="Standaard 15 2 3 2 2 4 2" xfId="12661"/>
    <cellStyle name="Standaard 15 2 3 2 2 4 2 2" xfId="12662"/>
    <cellStyle name="Standaard 15 2 3 2 2 4 3" xfId="12663"/>
    <cellStyle name="Standaard 15 2 3 2 2 5" xfId="12664"/>
    <cellStyle name="Standaard 15 2 3 2 2 5 2" xfId="12665"/>
    <cellStyle name="Standaard 15 2 3 2 2 6" xfId="12666"/>
    <cellStyle name="Standaard 15 2 3 2 2 7" xfId="12667"/>
    <cellStyle name="Standaard 15 2 3 2 3" xfId="12668"/>
    <cellStyle name="Standaard 15 2 3 2 3 2" xfId="12669"/>
    <cellStyle name="Standaard 15 2 3 2 3 2 2" xfId="12670"/>
    <cellStyle name="Standaard 15 2 3 2 3 2 2 2" xfId="12671"/>
    <cellStyle name="Standaard 15 2 3 2 3 2 2 2 2" xfId="12672"/>
    <cellStyle name="Standaard 15 2 3 2 3 2 2 3" xfId="12673"/>
    <cellStyle name="Standaard 15 2 3 2 3 2 3" xfId="12674"/>
    <cellStyle name="Standaard 15 2 3 2 3 2 3 2" xfId="12675"/>
    <cellStyle name="Standaard 15 2 3 2 3 2 4" xfId="12676"/>
    <cellStyle name="Standaard 15 2 3 2 3 3" xfId="12677"/>
    <cellStyle name="Standaard 15 2 3 2 3 3 2" xfId="12678"/>
    <cellStyle name="Standaard 15 2 3 2 3 3 2 2" xfId="12679"/>
    <cellStyle name="Standaard 15 2 3 2 3 3 3" xfId="12680"/>
    <cellStyle name="Standaard 15 2 3 2 3 4" xfId="12681"/>
    <cellStyle name="Standaard 15 2 3 2 3 4 2" xfId="12682"/>
    <cellStyle name="Standaard 15 2 3 2 3 5" xfId="12683"/>
    <cellStyle name="Standaard 15 2 3 2 3 6" xfId="12684"/>
    <cellStyle name="Standaard 15 2 3 2 4" xfId="12685"/>
    <cellStyle name="Standaard 15 2 3 2 4 2" xfId="12686"/>
    <cellStyle name="Standaard 15 2 3 2 4 2 2" xfId="12687"/>
    <cellStyle name="Standaard 15 2 3 2 4 2 2 2" xfId="12688"/>
    <cellStyle name="Standaard 15 2 3 2 4 2 3" xfId="12689"/>
    <cellStyle name="Standaard 15 2 3 2 4 3" xfId="12690"/>
    <cellStyle name="Standaard 15 2 3 2 4 3 2" xfId="12691"/>
    <cellStyle name="Standaard 15 2 3 2 4 4" xfId="12692"/>
    <cellStyle name="Standaard 15 2 3 2 5" xfId="12693"/>
    <cellStyle name="Standaard 15 2 3 2 5 2" xfId="12694"/>
    <cellStyle name="Standaard 15 2 3 2 5 2 2" xfId="12695"/>
    <cellStyle name="Standaard 15 2 3 2 5 3" xfId="12696"/>
    <cellStyle name="Standaard 15 2 3 2 6" xfId="12697"/>
    <cellStyle name="Standaard 15 2 3 2 6 2" xfId="12698"/>
    <cellStyle name="Standaard 15 2 3 2 7" xfId="12699"/>
    <cellStyle name="Standaard 15 2 3 2 8" xfId="12700"/>
    <cellStyle name="Standaard 15 2 3 3" xfId="12701"/>
    <cellStyle name="Standaard 15 2 3 3 2" xfId="12702"/>
    <cellStyle name="Standaard 15 2 3 3 2 2" xfId="12703"/>
    <cellStyle name="Standaard 15 2 3 3 2 2 2" xfId="12704"/>
    <cellStyle name="Standaard 15 2 3 3 2 2 2 2" xfId="12705"/>
    <cellStyle name="Standaard 15 2 3 3 2 2 2 2 2" xfId="12706"/>
    <cellStyle name="Standaard 15 2 3 3 2 2 2 3" xfId="12707"/>
    <cellStyle name="Standaard 15 2 3 3 2 2 3" xfId="12708"/>
    <cellStyle name="Standaard 15 2 3 3 2 2 3 2" xfId="12709"/>
    <cellStyle name="Standaard 15 2 3 3 2 2 4" xfId="12710"/>
    <cellStyle name="Standaard 15 2 3 3 2 3" xfId="12711"/>
    <cellStyle name="Standaard 15 2 3 3 2 3 2" xfId="12712"/>
    <cellStyle name="Standaard 15 2 3 3 2 3 2 2" xfId="12713"/>
    <cellStyle name="Standaard 15 2 3 3 2 3 3" xfId="12714"/>
    <cellStyle name="Standaard 15 2 3 3 2 4" xfId="12715"/>
    <cellStyle name="Standaard 15 2 3 3 2 4 2" xfId="12716"/>
    <cellStyle name="Standaard 15 2 3 3 2 5" xfId="12717"/>
    <cellStyle name="Standaard 15 2 3 3 2 6" xfId="12718"/>
    <cellStyle name="Standaard 15 2 3 3 3" xfId="12719"/>
    <cellStyle name="Standaard 15 2 3 3 3 2" xfId="12720"/>
    <cellStyle name="Standaard 15 2 3 3 3 2 2" xfId="12721"/>
    <cellStyle name="Standaard 15 2 3 3 3 2 2 2" xfId="12722"/>
    <cellStyle name="Standaard 15 2 3 3 3 2 3" xfId="12723"/>
    <cellStyle name="Standaard 15 2 3 3 3 3" xfId="12724"/>
    <cellStyle name="Standaard 15 2 3 3 3 3 2" xfId="12725"/>
    <cellStyle name="Standaard 15 2 3 3 3 4" xfId="12726"/>
    <cellStyle name="Standaard 15 2 3 3 4" xfId="12727"/>
    <cellStyle name="Standaard 15 2 3 3 4 2" xfId="12728"/>
    <cellStyle name="Standaard 15 2 3 3 4 2 2" xfId="12729"/>
    <cellStyle name="Standaard 15 2 3 3 4 3" xfId="12730"/>
    <cellStyle name="Standaard 15 2 3 3 5" xfId="12731"/>
    <cellStyle name="Standaard 15 2 3 3 5 2" xfId="12732"/>
    <cellStyle name="Standaard 15 2 3 3 6" xfId="12733"/>
    <cellStyle name="Standaard 15 2 3 3 7" xfId="12734"/>
    <cellStyle name="Standaard 15 2 3 4" xfId="12735"/>
    <cellStyle name="Standaard 15 2 3 4 2" xfId="12736"/>
    <cellStyle name="Standaard 15 2 3 4 2 2" xfId="12737"/>
    <cellStyle name="Standaard 15 2 3 4 2 2 2" xfId="12738"/>
    <cellStyle name="Standaard 15 2 3 4 2 2 2 2" xfId="12739"/>
    <cellStyle name="Standaard 15 2 3 4 2 2 3" xfId="12740"/>
    <cellStyle name="Standaard 15 2 3 4 2 3" xfId="12741"/>
    <cellStyle name="Standaard 15 2 3 4 2 3 2" xfId="12742"/>
    <cellStyle name="Standaard 15 2 3 4 2 4" xfId="12743"/>
    <cellStyle name="Standaard 15 2 3 4 3" xfId="12744"/>
    <cellStyle name="Standaard 15 2 3 4 3 2" xfId="12745"/>
    <cellStyle name="Standaard 15 2 3 4 3 2 2" xfId="12746"/>
    <cellStyle name="Standaard 15 2 3 4 3 3" xfId="12747"/>
    <cellStyle name="Standaard 15 2 3 4 4" xfId="12748"/>
    <cellStyle name="Standaard 15 2 3 4 4 2" xfId="12749"/>
    <cellStyle name="Standaard 15 2 3 4 5" xfId="12750"/>
    <cellStyle name="Standaard 15 2 3 4 6" xfId="12751"/>
    <cellStyle name="Standaard 15 2 3 5" xfId="12752"/>
    <cellStyle name="Standaard 15 2 3 5 2" xfId="12753"/>
    <cellStyle name="Standaard 15 2 3 5 2 2" xfId="12754"/>
    <cellStyle name="Standaard 15 2 3 5 2 2 2" xfId="12755"/>
    <cellStyle name="Standaard 15 2 3 5 2 3" xfId="12756"/>
    <cellStyle name="Standaard 15 2 3 5 3" xfId="12757"/>
    <cellStyle name="Standaard 15 2 3 5 3 2" xfId="12758"/>
    <cellStyle name="Standaard 15 2 3 5 4" xfId="12759"/>
    <cellStyle name="Standaard 15 2 3 6" xfId="12760"/>
    <cellStyle name="Standaard 15 2 3 6 2" xfId="12761"/>
    <cellStyle name="Standaard 15 2 3 6 2 2" xfId="12762"/>
    <cellStyle name="Standaard 15 2 3 6 3" xfId="12763"/>
    <cellStyle name="Standaard 15 2 3 7" xfId="12764"/>
    <cellStyle name="Standaard 15 2 3 7 2" xfId="12765"/>
    <cellStyle name="Standaard 15 2 3 8" xfId="12766"/>
    <cellStyle name="Standaard 15 2 3 9" xfId="12767"/>
    <cellStyle name="Standaard 15 2 4" xfId="12768"/>
    <cellStyle name="Standaard 15 2 4 2" xfId="12769"/>
    <cellStyle name="Standaard 15 2 4 2 2" xfId="12770"/>
    <cellStyle name="Standaard 15 2 4 2 2 2" xfId="12771"/>
    <cellStyle name="Standaard 15 2 4 2 2 2 2" xfId="12772"/>
    <cellStyle name="Standaard 15 2 4 2 2 2 2 2" xfId="12773"/>
    <cellStyle name="Standaard 15 2 4 2 2 2 2 2 2" xfId="12774"/>
    <cellStyle name="Standaard 15 2 4 2 2 2 2 3" xfId="12775"/>
    <cellStyle name="Standaard 15 2 4 2 2 2 3" xfId="12776"/>
    <cellStyle name="Standaard 15 2 4 2 2 2 3 2" xfId="12777"/>
    <cellStyle name="Standaard 15 2 4 2 2 2 4" xfId="12778"/>
    <cellStyle name="Standaard 15 2 4 2 2 3" xfId="12779"/>
    <cellStyle name="Standaard 15 2 4 2 2 3 2" xfId="12780"/>
    <cellStyle name="Standaard 15 2 4 2 2 3 2 2" xfId="12781"/>
    <cellStyle name="Standaard 15 2 4 2 2 3 3" xfId="12782"/>
    <cellStyle name="Standaard 15 2 4 2 2 4" xfId="12783"/>
    <cellStyle name="Standaard 15 2 4 2 2 4 2" xfId="12784"/>
    <cellStyle name="Standaard 15 2 4 2 2 5" xfId="12785"/>
    <cellStyle name="Standaard 15 2 4 2 2 6" xfId="12786"/>
    <cellStyle name="Standaard 15 2 4 2 3" xfId="12787"/>
    <cellStyle name="Standaard 15 2 4 2 3 2" xfId="12788"/>
    <cellStyle name="Standaard 15 2 4 2 3 2 2" xfId="12789"/>
    <cellStyle name="Standaard 15 2 4 2 3 2 2 2" xfId="12790"/>
    <cellStyle name="Standaard 15 2 4 2 3 2 3" xfId="12791"/>
    <cellStyle name="Standaard 15 2 4 2 3 3" xfId="12792"/>
    <cellStyle name="Standaard 15 2 4 2 3 3 2" xfId="12793"/>
    <cellStyle name="Standaard 15 2 4 2 3 4" xfId="12794"/>
    <cellStyle name="Standaard 15 2 4 2 4" xfId="12795"/>
    <cellStyle name="Standaard 15 2 4 2 4 2" xfId="12796"/>
    <cellStyle name="Standaard 15 2 4 2 4 2 2" xfId="12797"/>
    <cellStyle name="Standaard 15 2 4 2 4 3" xfId="12798"/>
    <cellStyle name="Standaard 15 2 4 2 5" xfId="12799"/>
    <cellStyle name="Standaard 15 2 4 2 5 2" xfId="12800"/>
    <cellStyle name="Standaard 15 2 4 2 6" xfId="12801"/>
    <cellStyle name="Standaard 15 2 4 2 7" xfId="12802"/>
    <cellStyle name="Standaard 15 2 4 3" xfId="12803"/>
    <cellStyle name="Standaard 15 2 4 3 2" xfId="12804"/>
    <cellStyle name="Standaard 15 2 4 3 2 2" xfId="12805"/>
    <cellStyle name="Standaard 15 2 4 3 2 2 2" xfId="12806"/>
    <cellStyle name="Standaard 15 2 4 3 2 2 2 2" xfId="12807"/>
    <cellStyle name="Standaard 15 2 4 3 2 2 3" xfId="12808"/>
    <cellStyle name="Standaard 15 2 4 3 2 3" xfId="12809"/>
    <cellStyle name="Standaard 15 2 4 3 2 3 2" xfId="12810"/>
    <cellStyle name="Standaard 15 2 4 3 2 4" xfId="12811"/>
    <cellStyle name="Standaard 15 2 4 3 3" xfId="12812"/>
    <cellStyle name="Standaard 15 2 4 3 3 2" xfId="12813"/>
    <cellStyle name="Standaard 15 2 4 3 3 2 2" xfId="12814"/>
    <cellStyle name="Standaard 15 2 4 3 3 3" xfId="12815"/>
    <cellStyle name="Standaard 15 2 4 3 4" xfId="12816"/>
    <cellStyle name="Standaard 15 2 4 3 4 2" xfId="12817"/>
    <cellStyle name="Standaard 15 2 4 3 5" xfId="12818"/>
    <cellStyle name="Standaard 15 2 4 3 6" xfId="12819"/>
    <cellStyle name="Standaard 15 2 4 4" xfId="12820"/>
    <cellStyle name="Standaard 15 2 4 4 2" xfId="12821"/>
    <cellStyle name="Standaard 15 2 4 4 2 2" xfId="12822"/>
    <cellStyle name="Standaard 15 2 4 4 2 2 2" xfId="12823"/>
    <cellStyle name="Standaard 15 2 4 4 2 3" xfId="12824"/>
    <cellStyle name="Standaard 15 2 4 4 3" xfId="12825"/>
    <cellStyle name="Standaard 15 2 4 4 3 2" xfId="12826"/>
    <cellStyle name="Standaard 15 2 4 4 4" xfId="12827"/>
    <cellStyle name="Standaard 15 2 4 5" xfId="12828"/>
    <cellStyle name="Standaard 15 2 4 5 2" xfId="12829"/>
    <cellStyle name="Standaard 15 2 4 5 2 2" xfId="12830"/>
    <cellStyle name="Standaard 15 2 4 5 3" xfId="12831"/>
    <cellStyle name="Standaard 15 2 4 6" xfId="12832"/>
    <cellStyle name="Standaard 15 2 4 6 2" xfId="12833"/>
    <cellStyle name="Standaard 15 2 4 7" xfId="12834"/>
    <cellStyle name="Standaard 15 2 4 8" xfId="12835"/>
    <cellStyle name="Standaard 15 2 5" xfId="12836"/>
    <cellStyle name="Standaard 15 2 5 2" xfId="12837"/>
    <cellStyle name="Standaard 15 2 5 2 2" xfId="12838"/>
    <cellStyle name="Standaard 15 2 5 2 2 2" xfId="12839"/>
    <cellStyle name="Standaard 15 2 5 2 2 2 2" xfId="12840"/>
    <cellStyle name="Standaard 15 2 5 2 2 2 2 2" xfId="12841"/>
    <cellStyle name="Standaard 15 2 5 2 2 2 2 2 2" xfId="12842"/>
    <cellStyle name="Standaard 15 2 5 2 2 2 2 3" xfId="12843"/>
    <cellStyle name="Standaard 15 2 5 2 2 2 3" xfId="12844"/>
    <cellStyle name="Standaard 15 2 5 2 2 2 3 2" xfId="12845"/>
    <cellStyle name="Standaard 15 2 5 2 2 2 4" xfId="12846"/>
    <cellStyle name="Standaard 15 2 5 2 2 3" xfId="12847"/>
    <cellStyle name="Standaard 15 2 5 2 2 3 2" xfId="12848"/>
    <cellStyle name="Standaard 15 2 5 2 2 3 2 2" xfId="12849"/>
    <cellStyle name="Standaard 15 2 5 2 2 3 3" xfId="12850"/>
    <cellStyle name="Standaard 15 2 5 2 2 4" xfId="12851"/>
    <cellStyle name="Standaard 15 2 5 2 2 4 2" xfId="12852"/>
    <cellStyle name="Standaard 15 2 5 2 2 5" xfId="12853"/>
    <cellStyle name="Standaard 15 2 5 2 2 6" xfId="12854"/>
    <cellStyle name="Standaard 15 2 5 2 3" xfId="12855"/>
    <cellStyle name="Standaard 15 2 5 2 3 2" xfId="12856"/>
    <cellStyle name="Standaard 15 2 5 2 3 2 2" xfId="12857"/>
    <cellStyle name="Standaard 15 2 5 2 3 2 2 2" xfId="12858"/>
    <cellStyle name="Standaard 15 2 5 2 3 2 3" xfId="12859"/>
    <cellStyle name="Standaard 15 2 5 2 3 3" xfId="12860"/>
    <cellStyle name="Standaard 15 2 5 2 3 3 2" xfId="12861"/>
    <cellStyle name="Standaard 15 2 5 2 3 4" xfId="12862"/>
    <cellStyle name="Standaard 15 2 5 2 4" xfId="12863"/>
    <cellStyle name="Standaard 15 2 5 2 4 2" xfId="12864"/>
    <cellStyle name="Standaard 15 2 5 2 4 2 2" xfId="12865"/>
    <cellStyle name="Standaard 15 2 5 2 4 3" xfId="12866"/>
    <cellStyle name="Standaard 15 2 5 2 5" xfId="12867"/>
    <cellStyle name="Standaard 15 2 5 2 5 2" xfId="12868"/>
    <cellStyle name="Standaard 15 2 5 2 6" xfId="12869"/>
    <cellStyle name="Standaard 15 2 5 2 7" xfId="12870"/>
    <cellStyle name="Standaard 15 2 5 3" xfId="12871"/>
    <cellStyle name="Standaard 15 2 5 3 2" xfId="12872"/>
    <cellStyle name="Standaard 15 2 5 3 2 2" xfId="12873"/>
    <cellStyle name="Standaard 15 2 5 3 2 2 2" xfId="12874"/>
    <cellStyle name="Standaard 15 2 5 3 2 2 2 2" xfId="12875"/>
    <cellStyle name="Standaard 15 2 5 3 2 2 3" xfId="12876"/>
    <cellStyle name="Standaard 15 2 5 3 2 3" xfId="12877"/>
    <cellStyle name="Standaard 15 2 5 3 2 3 2" xfId="12878"/>
    <cellStyle name="Standaard 15 2 5 3 2 4" xfId="12879"/>
    <cellStyle name="Standaard 15 2 5 3 3" xfId="12880"/>
    <cellStyle name="Standaard 15 2 5 3 3 2" xfId="12881"/>
    <cellStyle name="Standaard 15 2 5 3 3 2 2" xfId="12882"/>
    <cellStyle name="Standaard 15 2 5 3 3 3" xfId="12883"/>
    <cellStyle name="Standaard 15 2 5 3 4" xfId="12884"/>
    <cellStyle name="Standaard 15 2 5 3 4 2" xfId="12885"/>
    <cellStyle name="Standaard 15 2 5 3 5" xfId="12886"/>
    <cellStyle name="Standaard 15 2 5 3 6" xfId="12887"/>
    <cellStyle name="Standaard 15 2 5 4" xfId="12888"/>
    <cellStyle name="Standaard 15 2 5 4 2" xfId="12889"/>
    <cellStyle name="Standaard 15 2 5 4 2 2" xfId="12890"/>
    <cellStyle name="Standaard 15 2 5 4 2 2 2" xfId="12891"/>
    <cellStyle name="Standaard 15 2 5 4 2 3" xfId="12892"/>
    <cellStyle name="Standaard 15 2 5 4 3" xfId="12893"/>
    <cellStyle name="Standaard 15 2 5 4 3 2" xfId="12894"/>
    <cellStyle name="Standaard 15 2 5 4 4" xfId="12895"/>
    <cellStyle name="Standaard 15 2 5 5" xfId="12896"/>
    <cellStyle name="Standaard 15 2 5 5 2" xfId="12897"/>
    <cellStyle name="Standaard 15 2 5 5 2 2" xfId="12898"/>
    <cellStyle name="Standaard 15 2 5 5 3" xfId="12899"/>
    <cellStyle name="Standaard 15 2 5 6" xfId="12900"/>
    <cellStyle name="Standaard 15 2 5 6 2" xfId="12901"/>
    <cellStyle name="Standaard 15 2 5 7" xfId="12902"/>
    <cellStyle name="Standaard 15 2 5 8" xfId="12903"/>
    <cellStyle name="Standaard 15 2 6" xfId="12904"/>
    <cellStyle name="Standaard 15 2 6 2" xfId="12905"/>
    <cellStyle name="Standaard 15 2 6 2 2" xfId="12906"/>
    <cellStyle name="Standaard 15 2 6 2 2 2" xfId="12907"/>
    <cellStyle name="Standaard 15 2 6 2 2 2 2" xfId="12908"/>
    <cellStyle name="Standaard 15 2 6 2 2 2 2 2" xfId="12909"/>
    <cellStyle name="Standaard 15 2 6 2 2 2 3" xfId="12910"/>
    <cellStyle name="Standaard 15 2 6 2 2 3" xfId="12911"/>
    <cellStyle name="Standaard 15 2 6 2 2 3 2" xfId="12912"/>
    <cellStyle name="Standaard 15 2 6 2 2 4" xfId="12913"/>
    <cellStyle name="Standaard 15 2 6 2 3" xfId="12914"/>
    <cellStyle name="Standaard 15 2 6 2 3 2" xfId="12915"/>
    <cellStyle name="Standaard 15 2 6 2 3 2 2" xfId="12916"/>
    <cellStyle name="Standaard 15 2 6 2 3 3" xfId="12917"/>
    <cellStyle name="Standaard 15 2 6 2 4" xfId="12918"/>
    <cellStyle name="Standaard 15 2 6 2 4 2" xfId="12919"/>
    <cellStyle name="Standaard 15 2 6 2 5" xfId="12920"/>
    <cellStyle name="Standaard 15 2 6 2 6" xfId="12921"/>
    <cellStyle name="Standaard 15 2 6 3" xfId="12922"/>
    <cellStyle name="Standaard 15 2 6 3 2" xfId="12923"/>
    <cellStyle name="Standaard 15 2 6 3 2 2" xfId="12924"/>
    <cellStyle name="Standaard 15 2 6 3 2 2 2" xfId="12925"/>
    <cellStyle name="Standaard 15 2 6 3 2 3" xfId="12926"/>
    <cellStyle name="Standaard 15 2 6 3 3" xfId="12927"/>
    <cellStyle name="Standaard 15 2 6 3 3 2" xfId="12928"/>
    <cellStyle name="Standaard 15 2 6 3 4" xfId="12929"/>
    <cellStyle name="Standaard 15 2 6 4" xfId="12930"/>
    <cellStyle name="Standaard 15 2 6 4 2" xfId="12931"/>
    <cellStyle name="Standaard 15 2 6 4 2 2" xfId="12932"/>
    <cellStyle name="Standaard 15 2 6 4 3" xfId="12933"/>
    <cellStyle name="Standaard 15 2 6 5" xfId="12934"/>
    <cellStyle name="Standaard 15 2 6 5 2" xfId="12935"/>
    <cellStyle name="Standaard 15 2 6 6" xfId="12936"/>
    <cellStyle name="Standaard 15 2 6 7" xfId="12937"/>
    <cellStyle name="Standaard 15 2 7" xfId="12938"/>
    <cellStyle name="Standaard 15 2 7 2" xfId="12939"/>
    <cellStyle name="Standaard 15 2 7 2 2" xfId="12940"/>
    <cellStyle name="Standaard 15 2 7 2 2 2" xfId="12941"/>
    <cellStyle name="Standaard 15 2 7 2 2 2 2" xfId="12942"/>
    <cellStyle name="Standaard 15 2 7 2 2 3" xfId="12943"/>
    <cellStyle name="Standaard 15 2 7 2 3" xfId="12944"/>
    <cellStyle name="Standaard 15 2 7 2 3 2" xfId="12945"/>
    <cellStyle name="Standaard 15 2 7 2 4" xfId="12946"/>
    <cellStyle name="Standaard 15 2 7 3" xfId="12947"/>
    <cellStyle name="Standaard 15 2 7 3 2" xfId="12948"/>
    <cellStyle name="Standaard 15 2 7 3 2 2" xfId="12949"/>
    <cellStyle name="Standaard 15 2 7 3 3" xfId="12950"/>
    <cellStyle name="Standaard 15 2 7 4" xfId="12951"/>
    <cellStyle name="Standaard 15 2 7 4 2" xfId="12952"/>
    <cellStyle name="Standaard 15 2 7 5" xfId="12953"/>
    <cellStyle name="Standaard 15 2 7 6" xfId="12954"/>
    <cellStyle name="Standaard 15 2 8" xfId="12955"/>
    <cellStyle name="Standaard 15 2 8 2" xfId="12956"/>
    <cellStyle name="Standaard 15 2 8 2 2" xfId="12957"/>
    <cellStyle name="Standaard 15 2 8 2 2 2" xfId="12958"/>
    <cellStyle name="Standaard 15 2 8 2 3" xfId="12959"/>
    <cellStyle name="Standaard 15 2 8 3" xfId="12960"/>
    <cellStyle name="Standaard 15 2 8 3 2" xfId="12961"/>
    <cellStyle name="Standaard 15 2 8 4" xfId="12962"/>
    <cellStyle name="Standaard 15 2 9" xfId="12963"/>
    <cellStyle name="Standaard 15 2 9 2" xfId="12964"/>
    <cellStyle name="Standaard 15 2 9 2 2" xfId="12965"/>
    <cellStyle name="Standaard 15 2 9 3" xfId="12966"/>
    <cellStyle name="Standaard 15 3" xfId="12967"/>
    <cellStyle name="Standaard 15 3 10" xfId="12968"/>
    <cellStyle name="Standaard 15 3 11" xfId="12969"/>
    <cellStyle name="Standaard 15 3 2" xfId="12970"/>
    <cellStyle name="Standaard 15 3 2 2" xfId="12971"/>
    <cellStyle name="Standaard 15 3 2 2 2" xfId="12972"/>
    <cellStyle name="Standaard 15 3 2 2 2 2" xfId="12973"/>
    <cellStyle name="Standaard 15 3 2 2 2 2 2" xfId="12974"/>
    <cellStyle name="Standaard 15 3 2 2 2 2 2 2" xfId="12975"/>
    <cellStyle name="Standaard 15 3 2 2 2 2 2 2 2" xfId="12976"/>
    <cellStyle name="Standaard 15 3 2 2 2 2 2 2 2 2" xfId="12977"/>
    <cellStyle name="Standaard 15 3 2 2 2 2 2 2 3" xfId="12978"/>
    <cellStyle name="Standaard 15 3 2 2 2 2 2 3" xfId="12979"/>
    <cellStyle name="Standaard 15 3 2 2 2 2 2 3 2" xfId="12980"/>
    <cellStyle name="Standaard 15 3 2 2 2 2 2 4" xfId="12981"/>
    <cellStyle name="Standaard 15 3 2 2 2 2 3" xfId="12982"/>
    <cellStyle name="Standaard 15 3 2 2 2 2 3 2" xfId="12983"/>
    <cellStyle name="Standaard 15 3 2 2 2 2 3 2 2" xfId="12984"/>
    <cellStyle name="Standaard 15 3 2 2 2 2 3 3" xfId="12985"/>
    <cellStyle name="Standaard 15 3 2 2 2 2 4" xfId="12986"/>
    <cellStyle name="Standaard 15 3 2 2 2 2 4 2" xfId="12987"/>
    <cellStyle name="Standaard 15 3 2 2 2 2 5" xfId="12988"/>
    <cellStyle name="Standaard 15 3 2 2 2 2 6" xfId="12989"/>
    <cellStyle name="Standaard 15 3 2 2 2 3" xfId="12990"/>
    <cellStyle name="Standaard 15 3 2 2 2 3 2" xfId="12991"/>
    <cellStyle name="Standaard 15 3 2 2 2 3 2 2" xfId="12992"/>
    <cellStyle name="Standaard 15 3 2 2 2 3 2 2 2" xfId="12993"/>
    <cellStyle name="Standaard 15 3 2 2 2 3 2 3" xfId="12994"/>
    <cellStyle name="Standaard 15 3 2 2 2 3 3" xfId="12995"/>
    <cellStyle name="Standaard 15 3 2 2 2 3 3 2" xfId="12996"/>
    <cellStyle name="Standaard 15 3 2 2 2 3 4" xfId="12997"/>
    <cellStyle name="Standaard 15 3 2 2 2 4" xfId="12998"/>
    <cellStyle name="Standaard 15 3 2 2 2 4 2" xfId="12999"/>
    <cellStyle name="Standaard 15 3 2 2 2 4 2 2" xfId="13000"/>
    <cellStyle name="Standaard 15 3 2 2 2 4 3" xfId="13001"/>
    <cellStyle name="Standaard 15 3 2 2 2 5" xfId="13002"/>
    <cellStyle name="Standaard 15 3 2 2 2 5 2" xfId="13003"/>
    <cellStyle name="Standaard 15 3 2 2 2 6" xfId="13004"/>
    <cellStyle name="Standaard 15 3 2 2 2 7" xfId="13005"/>
    <cellStyle name="Standaard 15 3 2 2 3" xfId="13006"/>
    <cellStyle name="Standaard 15 3 2 2 3 2" xfId="13007"/>
    <cellStyle name="Standaard 15 3 2 2 3 2 2" xfId="13008"/>
    <cellStyle name="Standaard 15 3 2 2 3 2 2 2" xfId="13009"/>
    <cellStyle name="Standaard 15 3 2 2 3 2 2 2 2" xfId="13010"/>
    <cellStyle name="Standaard 15 3 2 2 3 2 2 3" xfId="13011"/>
    <cellStyle name="Standaard 15 3 2 2 3 2 3" xfId="13012"/>
    <cellStyle name="Standaard 15 3 2 2 3 2 3 2" xfId="13013"/>
    <cellStyle name="Standaard 15 3 2 2 3 2 4" xfId="13014"/>
    <cellStyle name="Standaard 15 3 2 2 3 3" xfId="13015"/>
    <cellStyle name="Standaard 15 3 2 2 3 3 2" xfId="13016"/>
    <cellStyle name="Standaard 15 3 2 2 3 3 2 2" xfId="13017"/>
    <cellStyle name="Standaard 15 3 2 2 3 3 3" xfId="13018"/>
    <cellStyle name="Standaard 15 3 2 2 3 4" xfId="13019"/>
    <cellStyle name="Standaard 15 3 2 2 3 4 2" xfId="13020"/>
    <cellStyle name="Standaard 15 3 2 2 3 5" xfId="13021"/>
    <cellStyle name="Standaard 15 3 2 2 3 6" xfId="13022"/>
    <cellStyle name="Standaard 15 3 2 2 4" xfId="13023"/>
    <cellStyle name="Standaard 15 3 2 2 4 2" xfId="13024"/>
    <cellStyle name="Standaard 15 3 2 2 4 2 2" xfId="13025"/>
    <cellStyle name="Standaard 15 3 2 2 4 2 2 2" xfId="13026"/>
    <cellStyle name="Standaard 15 3 2 2 4 2 3" xfId="13027"/>
    <cellStyle name="Standaard 15 3 2 2 4 3" xfId="13028"/>
    <cellStyle name="Standaard 15 3 2 2 4 3 2" xfId="13029"/>
    <cellStyle name="Standaard 15 3 2 2 4 4" xfId="13030"/>
    <cellStyle name="Standaard 15 3 2 2 5" xfId="13031"/>
    <cellStyle name="Standaard 15 3 2 2 5 2" xfId="13032"/>
    <cellStyle name="Standaard 15 3 2 2 5 2 2" xfId="13033"/>
    <cellStyle name="Standaard 15 3 2 2 5 3" xfId="13034"/>
    <cellStyle name="Standaard 15 3 2 2 6" xfId="13035"/>
    <cellStyle name="Standaard 15 3 2 2 6 2" xfId="13036"/>
    <cellStyle name="Standaard 15 3 2 2 7" xfId="13037"/>
    <cellStyle name="Standaard 15 3 2 2 8" xfId="13038"/>
    <cellStyle name="Standaard 15 3 2 3" xfId="13039"/>
    <cellStyle name="Standaard 15 3 2 3 2" xfId="13040"/>
    <cellStyle name="Standaard 15 3 2 3 2 2" xfId="13041"/>
    <cellStyle name="Standaard 15 3 2 3 2 2 2" xfId="13042"/>
    <cellStyle name="Standaard 15 3 2 3 2 2 2 2" xfId="13043"/>
    <cellStyle name="Standaard 15 3 2 3 2 2 2 2 2" xfId="13044"/>
    <cellStyle name="Standaard 15 3 2 3 2 2 2 3" xfId="13045"/>
    <cellStyle name="Standaard 15 3 2 3 2 2 3" xfId="13046"/>
    <cellStyle name="Standaard 15 3 2 3 2 2 3 2" xfId="13047"/>
    <cellStyle name="Standaard 15 3 2 3 2 2 4" xfId="13048"/>
    <cellStyle name="Standaard 15 3 2 3 2 3" xfId="13049"/>
    <cellStyle name="Standaard 15 3 2 3 2 3 2" xfId="13050"/>
    <cellStyle name="Standaard 15 3 2 3 2 3 2 2" xfId="13051"/>
    <cellStyle name="Standaard 15 3 2 3 2 3 3" xfId="13052"/>
    <cellStyle name="Standaard 15 3 2 3 2 4" xfId="13053"/>
    <cellStyle name="Standaard 15 3 2 3 2 4 2" xfId="13054"/>
    <cellStyle name="Standaard 15 3 2 3 2 5" xfId="13055"/>
    <cellStyle name="Standaard 15 3 2 3 2 6" xfId="13056"/>
    <cellStyle name="Standaard 15 3 2 3 3" xfId="13057"/>
    <cellStyle name="Standaard 15 3 2 3 3 2" xfId="13058"/>
    <cellStyle name="Standaard 15 3 2 3 3 2 2" xfId="13059"/>
    <cellStyle name="Standaard 15 3 2 3 3 2 2 2" xfId="13060"/>
    <cellStyle name="Standaard 15 3 2 3 3 2 3" xfId="13061"/>
    <cellStyle name="Standaard 15 3 2 3 3 3" xfId="13062"/>
    <cellStyle name="Standaard 15 3 2 3 3 3 2" xfId="13063"/>
    <cellStyle name="Standaard 15 3 2 3 3 4" xfId="13064"/>
    <cellStyle name="Standaard 15 3 2 3 4" xfId="13065"/>
    <cellStyle name="Standaard 15 3 2 3 4 2" xfId="13066"/>
    <cellStyle name="Standaard 15 3 2 3 4 2 2" xfId="13067"/>
    <cellStyle name="Standaard 15 3 2 3 4 3" xfId="13068"/>
    <cellStyle name="Standaard 15 3 2 3 5" xfId="13069"/>
    <cellStyle name="Standaard 15 3 2 3 5 2" xfId="13070"/>
    <cellStyle name="Standaard 15 3 2 3 6" xfId="13071"/>
    <cellStyle name="Standaard 15 3 2 3 7" xfId="13072"/>
    <cellStyle name="Standaard 15 3 2 4" xfId="13073"/>
    <cellStyle name="Standaard 15 3 2 4 2" xfId="13074"/>
    <cellStyle name="Standaard 15 3 2 4 2 2" xfId="13075"/>
    <cellStyle name="Standaard 15 3 2 4 2 2 2" xfId="13076"/>
    <cellStyle name="Standaard 15 3 2 4 2 2 2 2" xfId="13077"/>
    <cellStyle name="Standaard 15 3 2 4 2 2 3" xfId="13078"/>
    <cellStyle name="Standaard 15 3 2 4 2 3" xfId="13079"/>
    <cellStyle name="Standaard 15 3 2 4 2 3 2" xfId="13080"/>
    <cellStyle name="Standaard 15 3 2 4 2 4" xfId="13081"/>
    <cellStyle name="Standaard 15 3 2 4 3" xfId="13082"/>
    <cellStyle name="Standaard 15 3 2 4 3 2" xfId="13083"/>
    <cellStyle name="Standaard 15 3 2 4 3 2 2" xfId="13084"/>
    <cellStyle name="Standaard 15 3 2 4 3 3" xfId="13085"/>
    <cellStyle name="Standaard 15 3 2 4 4" xfId="13086"/>
    <cellStyle name="Standaard 15 3 2 4 4 2" xfId="13087"/>
    <cellStyle name="Standaard 15 3 2 4 5" xfId="13088"/>
    <cellStyle name="Standaard 15 3 2 4 6" xfId="13089"/>
    <cellStyle name="Standaard 15 3 2 5" xfId="13090"/>
    <cellStyle name="Standaard 15 3 2 5 2" xfId="13091"/>
    <cellStyle name="Standaard 15 3 2 5 2 2" xfId="13092"/>
    <cellStyle name="Standaard 15 3 2 5 2 2 2" xfId="13093"/>
    <cellStyle name="Standaard 15 3 2 5 2 3" xfId="13094"/>
    <cellStyle name="Standaard 15 3 2 5 3" xfId="13095"/>
    <cellStyle name="Standaard 15 3 2 5 3 2" xfId="13096"/>
    <cellStyle name="Standaard 15 3 2 5 4" xfId="13097"/>
    <cellStyle name="Standaard 15 3 2 6" xfId="13098"/>
    <cellStyle name="Standaard 15 3 2 6 2" xfId="13099"/>
    <cellStyle name="Standaard 15 3 2 6 2 2" xfId="13100"/>
    <cellStyle name="Standaard 15 3 2 6 3" xfId="13101"/>
    <cellStyle name="Standaard 15 3 2 7" xfId="13102"/>
    <cellStyle name="Standaard 15 3 2 7 2" xfId="13103"/>
    <cellStyle name="Standaard 15 3 2 8" xfId="13104"/>
    <cellStyle name="Standaard 15 3 2 9" xfId="13105"/>
    <cellStyle name="Standaard 15 3 3" xfId="13106"/>
    <cellStyle name="Standaard 15 3 3 2" xfId="13107"/>
    <cellStyle name="Standaard 15 3 3 2 2" xfId="13108"/>
    <cellStyle name="Standaard 15 3 3 2 2 2" xfId="13109"/>
    <cellStyle name="Standaard 15 3 3 2 2 2 2" xfId="13110"/>
    <cellStyle name="Standaard 15 3 3 2 2 2 2 2" xfId="13111"/>
    <cellStyle name="Standaard 15 3 3 2 2 2 2 2 2" xfId="13112"/>
    <cellStyle name="Standaard 15 3 3 2 2 2 2 3" xfId="13113"/>
    <cellStyle name="Standaard 15 3 3 2 2 2 3" xfId="13114"/>
    <cellStyle name="Standaard 15 3 3 2 2 2 3 2" xfId="13115"/>
    <cellStyle name="Standaard 15 3 3 2 2 2 4" xfId="13116"/>
    <cellStyle name="Standaard 15 3 3 2 2 3" xfId="13117"/>
    <cellStyle name="Standaard 15 3 3 2 2 3 2" xfId="13118"/>
    <cellStyle name="Standaard 15 3 3 2 2 3 2 2" xfId="13119"/>
    <cellStyle name="Standaard 15 3 3 2 2 3 3" xfId="13120"/>
    <cellStyle name="Standaard 15 3 3 2 2 4" xfId="13121"/>
    <cellStyle name="Standaard 15 3 3 2 2 4 2" xfId="13122"/>
    <cellStyle name="Standaard 15 3 3 2 2 5" xfId="13123"/>
    <cellStyle name="Standaard 15 3 3 2 2 6" xfId="13124"/>
    <cellStyle name="Standaard 15 3 3 2 3" xfId="13125"/>
    <cellStyle name="Standaard 15 3 3 2 3 2" xfId="13126"/>
    <cellStyle name="Standaard 15 3 3 2 3 2 2" xfId="13127"/>
    <cellStyle name="Standaard 15 3 3 2 3 2 2 2" xfId="13128"/>
    <cellStyle name="Standaard 15 3 3 2 3 2 3" xfId="13129"/>
    <cellStyle name="Standaard 15 3 3 2 3 3" xfId="13130"/>
    <cellStyle name="Standaard 15 3 3 2 3 3 2" xfId="13131"/>
    <cellStyle name="Standaard 15 3 3 2 3 4" xfId="13132"/>
    <cellStyle name="Standaard 15 3 3 2 4" xfId="13133"/>
    <cellStyle name="Standaard 15 3 3 2 4 2" xfId="13134"/>
    <cellStyle name="Standaard 15 3 3 2 4 2 2" xfId="13135"/>
    <cellStyle name="Standaard 15 3 3 2 4 3" xfId="13136"/>
    <cellStyle name="Standaard 15 3 3 2 5" xfId="13137"/>
    <cellStyle name="Standaard 15 3 3 2 5 2" xfId="13138"/>
    <cellStyle name="Standaard 15 3 3 2 6" xfId="13139"/>
    <cellStyle name="Standaard 15 3 3 2 7" xfId="13140"/>
    <cellStyle name="Standaard 15 3 3 3" xfId="13141"/>
    <cellStyle name="Standaard 15 3 3 3 2" xfId="13142"/>
    <cellStyle name="Standaard 15 3 3 3 2 2" xfId="13143"/>
    <cellStyle name="Standaard 15 3 3 3 2 2 2" xfId="13144"/>
    <cellStyle name="Standaard 15 3 3 3 2 2 2 2" xfId="13145"/>
    <cellStyle name="Standaard 15 3 3 3 2 2 3" xfId="13146"/>
    <cellStyle name="Standaard 15 3 3 3 2 3" xfId="13147"/>
    <cellStyle name="Standaard 15 3 3 3 2 3 2" xfId="13148"/>
    <cellStyle name="Standaard 15 3 3 3 2 4" xfId="13149"/>
    <cellStyle name="Standaard 15 3 3 3 3" xfId="13150"/>
    <cellStyle name="Standaard 15 3 3 3 3 2" xfId="13151"/>
    <cellStyle name="Standaard 15 3 3 3 3 2 2" xfId="13152"/>
    <cellStyle name="Standaard 15 3 3 3 3 3" xfId="13153"/>
    <cellStyle name="Standaard 15 3 3 3 4" xfId="13154"/>
    <cellStyle name="Standaard 15 3 3 3 4 2" xfId="13155"/>
    <cellStyle name="Standaard 15 3 3 3 5" xfId="13156"/>
    <cellStyle name="Standaard 15 3 3 3 6" xfId="13157"/>
    <cellStyle name="Standaard 15 3 3 4" xfId="13158"/>
    <cellStyle name="Standaard 15 3 3 4 2" xfId="13159"/>
    <cellStyle name="Standaard 15 3 3 4 2 2" xfId="13160"/>
    <cellStyle name="Standaard 15 3 3 4 2 2 2" xfId="13161"/>
    <cellStyle name="Standaard 15 3 3 4 2 3" xfId="13162"/>
    <cellStyle name="Standaard 15 3 3 4 3" xfId="13163"/>
    <cellStyle name="Standaard 15 3 3 4 3 2" xfId="13164"/>
    <cellStyle name="Standaard 15 3 3 4 4" xfId="13165"/>
    <cellStyle name="Standaard 15 3 3 5" xfId="13166"/>
    <cellStyle name="Standaard 15 3 3 5 2" xfId="13167"/>
    <cellStyle name="Standaard 15 3 3 5 2 2" xfId="13168"/>
    <cellStyle name="Standaard 15 3 3 5 3" xfId="13169"/>
    <cellStyle name="Standaard 15 3 3 6" xfId="13170"/>
    <cellStyle name="Standaard 15 3 3 6 2" xfId="13171"/>
    <cellStyle name="Standaard 15 3 3 7" xfId="13172"/>
    <cellStyle name="Standaard 15 3 3 8" xfId="13173"/>
    <cellStyle name="Standaard 15 3 4" xfId="13174"/>
    <cellStyle name="Standaard 15 3 4 2" xfId="13175"/>
    <cellStyle name="Standaard 15 3 4 2 2" xfId="13176"/>
    <cellStyle name="Standaard 15 3 4 2 2 2" xfId="13177"/>
    <cellStyle name="Standaard 15 3 4 2 2 2 2" xfId="13178"/>
    <cellStyle name="Standaard 15 3 4 2 2 2 2 2" xfId="13179"/>
    <cellStyle name="Standaard 15 3 4 2 2 2 2 2 2" xfId="13180"/>
    <cellStyle name="Standaard 15 3 4 2 2 2 2 3" xfId="13181"/>
    <cellStyle name="Standaard 15 3 4 2 2 2 3" xfId="13182"/>
    <cellStyle name="Standaard 15 3 4 2 2 2 3 2" xfId="13183"/>
    <cellStyle name="Standaard 15 3 4 2 2 2 4" xfId="13184"/>
    <cellStyle name="Standaard 15 3 4 2 2 3" xfId="13185"/>
    <cellStyle name="Standaard 15 3 4 2 2 3 2" xfId="13186"/>
    <cellStyle name="Standaard 15 3 4 2 2 3 2 2" xfId="13187"/>
    <cellStyle name="Standaard 15 3 4 2 2 3 3" xfId="13188"/>
    <cellStyle name="Standaard 15 3 4 2 2 4" xfId="13189"/>
    <cellStyle name="Standaard 15 3 4 2 2 4 2" xfId="13190"/>
    <cellStyle name="Standaard 15 3 4 2 2 5" xfId="13191"/>
    <cellStyle name="Standaard 15 3 4 2 2 6" xfId="13192"/>
    <cellStyle name="Standaard 15 3 4 2 3" xfId="13193"/>
    <cellStyle name="Standaard 15 3 4 2 3 2" xfId="13194"/>
    <cellStyle name="Standaard 15 3 4 2 3 2 2" xfId="13195"/>
    <cellStyle name="Standaard 15 3 4 2 3 2 2 2" xfId="13196"/>
    <cellStyle name="Standaard 15 3 4 2 3 2 3" xfId="13197"/>
    <cellStyle name="Standaard 15 3 4 2 3 3" xfId="13198"/>
    <cellStyle name="Standaard 15 3 4 2 3 3 2" xfId="13199"/>
    <cellStyle name="Standaard 15 3 4 2 3 4" xfId="13200"/>
    <cellStyle name="Standaard 15 3 4 2 4" xfId="13201"/>
    <cellStyle name="Standaard 15 3 4 2 4 2" xfId="13202"/>
    <cellStyle name="Standaard 15 3 4 2 4 2 2" xfId="13203"/>
    <cellStyle name="Standaard 15 3 4 2 4 3" xfId="13204"/>
    <cellStyle name="Standaard 15 3 4 2 5" xfId="13205"/>
    <cellStyle name="Standaard 15 3 4 2 5 2" xfId="13206"/>
    <cellStyle name="Standaard 15 3 4 2 6" xfId="13207"/>
    <cellStyle name="Standaard 15 3 4 2 7" xfId="13208"/>
    <cellStyle name="Standaard 15 3 4 3" xfId="13209"/>
    <cellStyle name="Standaard 15 3 4 3 2" xfId="13210"/>
    <cellStyle name="Standaard 15 3 4 3 2 2" xfId="13211"/>
    <cellStyle name="Standaard 15 3 4 3 2 2 2" xfId="13212"/>
    <cellStyle name="Standaard 15 3 4 3 2 2 2 2" xfId="13213"/>
    <cellStyle name="Standaard 15 3 4 3 2 2 3" xfId="13214"/>
    <cellStyle name="Standaard 15 3 4 3 2 3" xfId="13215"/>
    <cellStyle name="Standaard 15 3 4 3 2 3 2" xfId="13216"/>
    <cellStyle name="Standaard 15 3 4 3 2 4" xfId="13217"/>
    <cellStyle name="Standaard 15 3 4 3 3" xfId="13218"/>
    <cellStyle name="Standaard 15 3 4 3 3 2" xfId="13219"/>
    <cellStyle name="Standaard 15 3 4 3 3 2 2" xfId="13220"/>
    <cellStyle name="Standaard 15 3 4 3 3 3" xfId="13221"/>
    <cellStyle name="Standaard 15 3 4 3 4" xfId="13222"/>
    <cellStyle name="Standaard 15 3 4 3 4 2" xfId="13223"/>
    <cellStyle name="Standaard 15 3 4 3 5" xfId="13224"/>
    <cellStyle name="Standaard 15 3 4 3 6" xfId="13225"/>
    <cellStyle name="Standaard 15 3 4 4" xfId="13226"/>
    <cellStyle name="Standaard 15 3 4 4 2" xfId="13227"/>
    <cellStyle name="Standaard 15 3 4 4 2 2" xfId="13228"/>
    <cellStyle name="Standaard 15 3 4 4 2 2 2" xfId="13229"/>
    <cellStyle name="Standaard 15 3 4 4 2 3" xfId="13230"/>
    <cellStyle name="Standaard 15 3 4 4 3" xfId="13231"/>
    <cellStyle name="Standaard 15 3 4 4 3 2" xfId="13232"/>
    <cellStyle name="Standaard 15 3 4 4 4" xfId="13233"/>
    <cellStyle name="Standaard 15 3 4 5" xfId="13234"/>
    <cellStyle name="Standaard 15 3 4 5 2" xfId="13235"/>
    <cellStyle name="Standaard 15 3 4 5 2 2" xfId="13236"/>
    <cellStyle name="Standaard 15 3 4 5 3" xfId="13237"/>
    <cellStyle name="Standaard 15 3 4 6" xfId="13238"/>
    <cellStyle name="Standaard 15 3 4 6 2" xfId="13239"/>
    <cellStyle name="Standaard 15 3 4 7" xfId="13240"/>
    <cellStyle name="Standaard 15 3 4 8" xfId="13241"/>
    <cellStyle name="Standaard 15 3 5" xfId="13242"/>
    <cellStyle name="Standaard 15 3 5 2" xfId="13243"/>
    <cellStyle name="Standaard 15 3 5 2 2" xfId="13244"/>
    <cellStyle name="Standaard 15 3 5 2 2 2" xfId="13245"/>
    <cellStyle name="Standaard 15 3 5 2 2 2 2" xfId="13246"/>
    <cellStyle name="Standaard 15 3 5 2 2 2 2 2" xfId="13247"/>
    <cellStyle name="Standaard 15 3 5 2 2 2 3" xfId="13248"/>
    <cellStyle name="Standaard 15 3 5 2 2 3" xfId="13249"/>
    <cellStyle name="Standaard 15 3 5 2 2 3 2" xfId="13250"/>
    <cellStyle name="Standaard 15 3 5 2 2 4" xfId="13251"/>
    <cellStyle name="Standaard 15 3 5 2 3" xfId="13252"/>
    <cellStyle name="Standaard 15 3 5 2 3 2" xfId="13253"/>
    <cellStyle name="Standaard 15 3 5 2 3 2 2" xfId="13254"/>
    <cellStyle name="Standaard 15 3 5 2 3 3" xfId="13255"/>
    <cellStyle name="Standaard 15 3 5 2 4" xfId="13256"/>
    <cellStyle name="Standaard 15 3 5 2 4 2" xfId="13257"/>
    <cellStyle name="Standaard 15 3 5 2 5" xfId="13258"/>
    <cellStyle name="Standaard 15 3 5 2 6" xfId="13259"/>
    <cellStyle name="Standaard 15 3 5 3" xfId="13260"/>
    <cellStyle name="Standaard 15 3 5 3 2" xfId="13261"/>
    <cellStyle name="Standaard 15 3 5 3 2 2" xfId="13262"/>
    <cellStyle name="Standaard 15 3 5 3 2 2 2" xfId="13263"/>
    <cellStyle name="Standaard 15 3 5 3 2 3" xfId="13264"/>
    <cellStyle name="Standaard 15 3 5 3 3" xfId="13265"/>
    <cellStyle name="Standaard 15 3 5 3 3 2" xfId="13266"/>
    <cellStyle name="Standaard 15 3 5 3 4" xfId="13267"/>
    <cellStyle name="Standaard 15 3 5 4" xfId="13268"/>
    <cellStyle name="Standaard 15 3 5 4 2" xfId="13269"/>
    <cellStyle name="Standaard 15 3 5 4 2 2" xfId="13270"/>
    <cellStyle name="Standaard 15 3 5 4 3" xfId="13271"/>
    <cellStyle name="Standaard 15 3 5 5" xfId="13272"/>
    <cellStyle name="Standaard 15 3 5 5 2" xfId="13273"/>
    <cellStyle name="Standaard 15 3 5 6" xfId="13274"/>
    <cellStyle name="Standaard 15 3 5 7" xfId="13275"/>
    <cellStyle name="Standaard 15 3 6" xfId="13276"/>
    <cellStyle name="Standaard 15 3 6 2" xfId="13277"/>
    <cellStyle name="Standaard 15 3 6 2 2" xfId="13278"/>
    <cellStyle name="Standaard 15 3 6 2 2 2" xfId="13279"/>
    <cellStyle name="Standaard 15 3 6 2 2 2 2" xfId="13280"/>
    <cellStyle name="Standaard 15 3 6 2 2 3" xfId="13281"/>
    <cellStyle name="Standaard 15 3 6 2 3" xfId="13282"/>
    <cellStyle name="Standaard 15 3 6 2 3 2" xfId="13283"/>
    <cellStyle name="Standaard 15 3 6 2 4" xfId="13284"/>
    <cellStyle name="Standaard 15 3 6 3" xfId="13285"/>
    <cellStyle name="Standaard 15 3 6 3 2" xfId="13286"/>
    <cellStyle name="Standaard 15 3 6 3 2 2" xfId="13287"/>
    <cellStyle name="Standaard 15 3 6 3 3" xfId="13288"/>
    <cellStyle name="Standaard 15 3 6 4" xfId="13289"/>
    <cellStyle name="Standaard 15 3 6 4 2" xfId="13290"/>
    <cellStyle name="Standaard 15 3 6 5" xfId="13291"/>
    <cellStyle name="Standaard 15 3 6 6" xfId="13292"/>
    <cellStyle name="Standaard 15 3 7" xfId="13293"/>
    <cellStyle name="Standaard 15 3 7 2" xfId="13294"/>
    <cellStyle name="Standaard 15 3 7 2 2" xfId="13295"/>
    <cellStyle name="Standaard 15 3 7 2 2 2" xfId="13296"/>
    <cellStyle name="Standaard 15 3 7 2 3" xfId="13297"/>
    <cellStyle name="Standaard 15 3 7 3" xfId="13298"/>
    <cellStyle name="Standaard 15 3 7 3 2" xfId="13299"/>
    <cellStyle name="Standaard 15 3 7 4" xfId="13300"/>
    <cellStyle name="Standaard 15 3 8" xfId="13301"/>
    <cellStyle name="Standaard 15 3 8 2" xfId="13302"/>
    <cellStyle name="Standaard 15 3 8 2 2" xfId="13303"/>
    <cellStyle name="Standaard 15 3 8 3" xfId="13304"/>
    <cellStyle name="Standaard 15 3 9" xfId="13305"/>
    <cellStyle name="Standaard 15 3 9 2" xfId="13306"/>
    <cellStyle name="Standaard 15 4" xfId="13307"/>
    <cellStyle name="Standaard 15 4 2" xfId="13308"/>
    <cellStyle name="Standaard 15 4 2 2" xfId="13309"/>
    <cellStyle name="Standaard 15 4 2 2 2" xfId="13310"/>
    <cellStyle name="Standaard 15 4 2 2 2 2" xfId="13311"/>
    <cellStyle name="Standaard 15 4 2 2 2 2 2" xfId="13312"/>
    <cellStyle name="Standaard 15 4 2 2 2 2 2 2" xfId="13313"/>
    <cellStyle name="Standaard 15 4 2 2 2 2 2 2 2" xfId="13314"/>
    <cellStyle name="Standaard 15 4 2 2 2 2 2 3" xfId="13315"/>
    <cellStyle name="Standaard 15 4 2 2 2 2 3" xfId="13316"/>
    <cellStyle name="Standaard 15 4 2 2 2 2 3 2" xfId="13317"/>
    <cellStyle name="Standaard 15 4 2 2 2 2 4" xfId="13318"/>
    <cellStyle name="Standaard 15 4 2 2 2 3" xfId="13319"/>
    <cellStyle name="Standaard 15 4 2 2 2 3 2" xfId="13320"/>
    <cellStyle name="Standaard 15 4 2 2 2 3 2 2" xfId="13321"/>
    <cellStyle name="Standaard 15 4 2 2 2 3 3" xfId="13322"/>
    <cellStyle name="Standaard 15 4 2 2 2 4" xfId="13323"/>
    <cellStyle name="Standaard 15 4 2 2 2 4 2" xfId="13324"/>
    <cellStyle name="Standaard 15 4 2 2 2 5" xfId="13325"/>
    <cellStyle name="Standaard 15 4 2 2 2 6" xfId="13326"/>
    <cellStyle name="Standaard 15 4 2 2 3" xfId="13327"/>
    <cellStyle name="Standaard 15 4 2 2 3 2" xfId="13328"/>
    <cellStyle name="Standaard 15 4 2 2 3 2 2" xfId="13329"/>
    <cellStyle name="Standaard 15 4 2 2 3 2 2 2" xfId="13330"/>
    <cellStyle name="Standaard 15 4 2 2 3 2 3" xfId="13331"/>
    <cellStyle name="Standaard 15 4 2 2 3 3" xfId="13332"/>
    <cellStyle name="Standaard 15 4 2 2 3 3 2" xfId="13333"/>
    <cellStyle name="Standaard 15 4 2 2 3 4" xfId="13334"/>
    <cellStyle name="Standaard 15 4 2 2 4" xfId="13335"/>
    <cellStyle name="Standaard 15 4 2 2 4 2" xfId="13336"/>
    <cellStyle name="Standaard 15 4 2 2 4 2 2" xfId="13337"/>
    <cellStyle name="Standaard 15 4 2 2 4 3" xfId="13338"/>
    <cellStyle name="Standaard 15 4 2 2 5" xfId="13339"/>
    <cellStyle name="Standaard 15 4 2 2 5 2" xfId="13340"/>
    <cellStyle name="Standaard 15 4 2 2 6" xfId="13341"/>
    <cellStyle name="Standaard 15 4 2 2 7" xfId="13342"/>
    <cellStyle name="Standaard 15 4 2 3" xfId="13343"/>
    <cellStyle name="Standaard 15 4 2 3 2" xfId="13344"/>
    <cellStyle name="Standaard 15 4 2 3 2 2" xfId="13345"/>
    <cellStyle name="Standaard 15 4 2 3 2 2 2" xfId="13346"/>
    <cellStyle name="Standaard 15 4 2 3 2 2 2 2" xfId="13347"/>
    <cellStyle name="Standaard 15 4 2 3 2 2 3" xfId="13348"/>
    <cellStyle name="Standaard 15 4 2 3 2 3" xfId="13349"/>
    <cellStyle name="Standaard 15 4 2 3 2 3 2" xfId="13350"/>
    <cellStyle name="Standaard 15 4 2 3 2 4" xfId="13351"/>
    <cellStyle name="Standaard 15 4 2 3 3" xfId="13352"/>
    <cellStyle name="Standaard 15 4 2 3 3 2" xfId="13353"/>
    <cellStyle name="Standaard 15 4 2 3 3 2 2" xfId="13354"/>
    <cellStyle name="Standaard 15 4 2 3 3 3" xfId="13355"/>
    <cellStyle name="Standaard 15 4 2 3 4" xfId="13356"/>
    <cellStyle name="Standaard 15 4 2 3 4 2" xfId="13357"/>
    <cellStyle name="Standaard 15 4 2 3 5" xfId="13358"/>
    <cellStyle name="Standaard 15 4 2 3 6" xfId="13359"/>
    <cellStyle name="Standaard 15 4 2 4" xfId="13360"/>
    <cellStyle name="Standaard 15 4 2 4 2" xfId="13361"/>
    <cellStyle name="Standaard 15 4 2 4 2 2" xfId="13362"/>
    <cellStyle name="Standaard 15 4 2 4 2 2 2" xfId="13363"/>
    <cellStyle name="Standaard 15 4 2 4 2 3" xfId="13364"/>
    <cellStyle name="Standaard 15 4 2 4 3" xfId="13365"/>
    <cellStyle name="Standaard 15 4 2 4 3 2" xfId="13366"/>
    <cellStyle name="Standaard 15 4 2 4 4" xfId="13367"/>
    <cellStyle name="Standaard 15 4 2 5" xfId="13368"/>
    <cellStyle name="Standaard 15 4 2 5 2" xfId="13369"/>
    <cellStyle name="Standaard 15 4 2 5 2 2" xfId="13370"/>
    <cellStyle name="Standaard 15 4 2 5 3" xfId="13371"/>
    <cellStyle name="Standaard 15 4 2 6" xfId="13372"/>
    <cellStyle name="Standaard 15 4 2 6 2" xfId="13373"/>
    <cellStyle name="Standaard 15 4 2 7" xfId="13374"/>
    <cellStyle name="Standaard 15 4 2 8" xfId="13375"/>
    <cellStyle name="Standaard 15 4 3" xfId="13376"/>
    <cellStyle name="Standaard 15 4 3 2" xfId="13377"/>
    <cellStyle name="Standaard 15 4 3 2 2" xfId="13378"/>
    <cellStyle name="Standaard 15 4 3 2 2 2" xfId="13379"/>
    <cellStyle name="Standaard 15 4 3 2 2 2 2" xfId="13380"/>
    <cellStyle name="Standaard 15 4 3 2 2 2 2 2" xfId="13381"/>
    <cellStyle name="Standaard 15 4 3 2 2 2 3" xfId="13382"/>
    <cellStyle name="Standaard 15 4 3 2 2 3" xfId="13383"/>
    <cellStyle name="Standaard 15 4 3 2 2 3 2" xfId="13384"/>
    <cellStyle name="Standaard 15 4 3 2 2 4" xfId="13385"/>
    <cellStyle name="Standaard 15 4 3 2 3" xfId="13386"/>
    <cellStyle name="Standaard 15 4 3 2 3 2" xfId="13387"/>
    <cellStyle name="Standaard 15 4 3 2 3 2 2" xfId="13388"/>
    <cellStyle name="Standaard 15 4 3 2 3 3" xfId="13389"/>
    <cellStyle name="Standaard 15 4 3 2 4" xfId="13390"/>
    <cellStyle name="Standaard 15 4 3 2 4 2" xfId="13391"/>
    <cellStyle name="Standaard 15 4 3 2 5" xfId="13392"/>
    <cellStyle name="Standaard 15 4 3 2 6" xfId="13393"/>
    <cellStyle name="Standaard 15 4 3 3" xfId="13394"/>
    <cellStyle name="Standaard 15 4 3 3 2" xfId="13395"/>
    <cellStyle name="Standaard 15 4 3 3 2 2" xfId="13396"/>
    <cellStyle name="Standaard 15 4 3 3 2 2 2" xfId="13397"/>
    <cellStyle name="Standaard 15 4 3 3 2 3" xfId="13398"/>
    <cellStyle name="Standaard 15 4 3 3 3" xfId="13399"/>
    <cellStyle name="Standaard 15 4 3 3 3 2" xfId="13400"/>
    <cellStyle name="Standaard 15 4 3 3 4" xfId="13401"/>
    <cellStyle name="Standaard 15 4 3 4" xfId="13402"/>
    <cellStyle name="Standaard 15 4 3 4 2" xfId="13403"/>
    <cellStyle name="Standaard 15 4 3 4 2 2" xfId="13404"/>
    <cellStyle name="Standaard 15 4 3 4 3" xfId="13405"/>
    <cellStyle name="Standaard 15 4 3 5" xfId="13406"/>
    <cellStyle name="Standaard 15 4 3 5 2" xfId="13407"/>
    <cellStyle name="Standaard 15 4 3 6" xfId="13408"/>
    <cellStyle name="Standaard 15 4 3 7" xfId="13409"/>
    <cellStyle name="Standaard 15 4 4" xfId="13410"/>
    <cellStyle name="Standaard 15 4 4 2" xfId="13411"/>
    <cellStyle name="Standaard 15 4 4 2 2" xfId="13412"/>
    <cellStyle name="Standaard 15 4 4 2 2 2" xfId="13413"/>
    <cellStyle name="Standaard 15 4 4 2 2 2 2" xfId="13414"/>
    <cellStyle name="Standaard 15 4 4 2 2 3" xfId="13415"/>
    <cellStyle name="Standaard 15 4 4 2 3" xfId="13416"/>
    <cellStyle name="Standaard 15 4 4 2 3 2" xfId="13417"/>
    <cellStyle name="Standaard 15 4 4 2 4" xfId="13418"/>
    <cellStyle name="Standaard 15 4 4 3" xfId="13419"/>
    <cellStyle name="Standaard 15 4 4 3 2" xfId="13420"/>
    <cellStyle name="Standaard 15 4 4 3 2 2" xfId="13421"/>
    <cellStyle name="Standaard 15 4 4 3 3" xfId="13422"/>
    <cellStyle name="Standaard 15 4 4 4" xfId="13423"/>
    <cellStyle name="Standaard 15 4 4 4 2" xfId="13424"/>
    <cellStyle name="Standaard 15 4 4 5" xfId="13425"/>
    <cellStyle name="Standaard 15 4 4 6" xfId="13426"/>
    <cellStyle name="Standaard 15 4 5" xfId="13427"/>
    <cellStyle name="Standaard 15 4 5 2" xfId="13428"/>
    <cellStyle name="Standaard 15 4 5 2 2" xfId="13429"/>
    <cellStyle name="Standaard 15 4 5 2 2 2" xfId="13430"/>
    <cellStyle name="Standaard 15 4 5 2 3" xfId="13431"/>
    <cellStyle name="Standaard 15 4 5 3" xfId="13432"/>
    <cellStyle name="Standaard 15 4 5 3 2" xfId="13433"/>
    <cellStyle name="Standaard 15 4 5 4" xfId="13434"/>
    <cellStyle name="Standaard 15 4 6" xfId="13435"/>
    <cellStyle name="Standaard 15 4 6 2" xfId="13436"/>
    <cellStyle name="Standaard 15 4 6 2 2" xfId="13437"/>
    <cellStyle name="Standaard 15 4 6 3" xfId="13438"/>
    <cellStyle name="Standaard 15 4 7" xfId="13439"/>
    <cellStyle name="Standaard 15 4 7 2" xfId="13440"/>
    <cellStyle name="Standaard 15 4 8" xfId="13441"/>
    <cellStyle name="Standaard 15 4 9" xfId="13442"/>
    <cellStyle name="Standaard 15 5" xfId="13443"/>
    <cellStyle name="Standaard 15 5 2" xfId="13444"/>
    <cellStyle name="Standaard 15 5 2 2" xfId="13445"/>
    <cellStyle name="Standaard 15 5 2 2 2" xfId="13446"/>
    <cellStyle name="Standaard 15 5 2 2 2 2" xfId="13447"/>
    <cellStyle name="Standaard 15 5 2 2 2 2 2" xfId="13448"/>
    <cellStyle name="Standaard 15 5 2 2 2 2 2 2" xfId="13449"/>
    <cellStyle name="Standaard 15 5 2 2 2 2 3" xfId="13450"/>
    <cellStyle name="Standaard 15 5 2 2 2 3" xfId="13451"/>
    <cellStyle name="Standaard 15 5 2 2 2 3 2" xfId="13452"/>
    <cellStyle name="Standaard 15 5 2 2 2 4" xfId="13453"/>
    <cellStyle name="Standaard 15 5 2 2 3" xfId="13454"/>
    <cellStyle name="Standaard 15 5 2 2 3 2" xfId="13455"/>
    <cellStyle name="Standaard 15 5 2 2 3 2 2" xfId="13456"/>
    <cellStyle name="Standaard 15 5 2 2 3 3" xfId="13457"/>
    <cellStyle name="Standaard 15 5 2 2 4" xfId="13458"/>
    <cellStyle name="Standaard 15 5 2 2 4 2" xfId="13459"/>
    <cellStyle name="Standaard 15 5 2 2 5" xfId="13460"/>
    <cellStyle name="Standaard 15 5 2 2 6" xfId="13461"/>
    <cellStyle name="Standaard 15 5 2 3" xfId="13462"/>
    <cellStyle name="Standaard 15 5 2 3 2" xfId="13463"/>
    <cellStyle name="Standaard 15 5 2 3 2 2" xfId="13464"/>
    <cellStyle name="Standaard 15 5 2 3 2 2 2" xfId="13465"/>
    <cellStyle name="Standaard 15 5 2 3 2 3" xfId="13466"/>
    <cellStyle name="Standaard 15 5 2 3 3" xfId="13467"/>
    <cellStyle name="Standaard 15 5 2 3 3 2" xfId="13468"/>
    <cellStyle name="Standaard 15 5 2 3 4" xfId="13469"/>
    <cellStyle name="Standaard 15 5 2 4" xfId="13470"/>
    <cellStyle name="Standaard 15 5 2 4 2" xfId="13471"/>
    <cellStyle name="Standaard 15 5 2 4 2 2" xfId="13472"/>
    <cellStyle name="Standaard 15 5 2 4 3" xfId="13473"/>
    <cellStyle name="Standaard 15 5 2 5" xfId="13474"/>
    <cellStyle name="Standaard 15 5 2 5 2" xfId="13475"/>
    <cellStyle name="Standaard 15 5 2 6" xfId="13476"/>
    <cellStyle name="Standaard 15 5 2 7" xfId="13477"/>
    <cellStyle name="Standaard 15 5 3" xfId="13478"/>
    <cellStyle name="Standaard 15 5 3 2" xfId="13479"/>
    <cellStyle name="Standaard 15 5 3 2 2" xfId="13480"/>
    <cellStyle name="Standaard 15 5 3 2 2 2" xfId="13481"/>
    <cellStyle name="Standaard 15 5 3 2 2 2 2" xfId="13482"/>
    <cellStyle name="Standaard 15 5 3 2 2 3" xfId="13483"/>
    <cellStyle name="Standaard 15 5 3 2 3" xfId="13484"/>
    <cellStyle name="Standaard 15 5 3 2 3 2" xfId="13485"/>
    <cellStyle name="Standaard 15 5 3 2 4" xfId="13486"/>
    <cellStyle name="Standaard 15 5 3 3" xfId="13487"/>
    <cellStyle name="Standaard 15 5 3 3 2" xfId="13488"/>
    <cellStyle name="Standaard 15 5 3 3 2 2" xfId="13489"/>
    <cellStyle name="Standaard 15 5 3 3 3" xfId="13490"/>
    <cellStyle name="Standaard 15 5 3 4" xfId="13491"/>
    <cellStyle name="Standaard 15 5 3 4 2" xfId="13492"/>
    <cellStyle name="Standaard 15 5 3 5" xfId="13493"/>
    <cellStyle name="Standaard 15 5 3 6" xfId="13494"/>
    <cellStyle name="Standaard 15 5 4" xfId="13495"/>
    <cellStyle name="Standaard 15 5 4 2" xfId="13496"/>
    <cellStyle name="Standaard 15 5 4 2 2" xfId="13497"/>
    <cellStyle name="Standaard 15 5 4 2 2 2" xfId="13498"/>
    <cellStyle name="Standaard 15 5 4 2 3" xfId="13499"/>
    <cellStyle name="Standaard 15 5 4 3" xfId="13500"/>
    <cellStyle name="Standaard 15 5 4 3 2" xfId="13501"/>
    <cellStyle name="Standaard 15 5 4 4" xfId="13502"/>
    <cellStyle name="Standaard 15 5 5" xfId="13503"/>
    <cellStyle name="Standaard 15 5 5 2" xfId="13504"/>
    <cellStyle name="Standaard 15 5 5 2 2" xfId="13505"/>
    <cellStyle name="Standaard 15 5 5 3" xfId="13506"/>
    <cellStyle name="Standaard 15 5 6" xfId="13507"/>
    <cellStyle name="Standaard 15 5 6 2" xfId="13508"/>
    <cellStyle name="Standaard 15 5 7" xfId="13509"/>
    <cellStyle name="Standaard 15 5 8" xfId="13510"/>
    <cellStyle name="Standaard 15 6" xfId="13511"/>
    <cellStyle name="Standaard 15 6 2" xfId="13512"/>
    <cellStyle name="Standaard 15 6 2 2" xfId="13513"/>
    <cellStyle name="Standaard 15 6 2 2 2" xfId="13514"/>
    <cellStyle name="Standaard 15 6 2 2 2 2" xfId="13515"/>
    <cellStyle name="Standaard 15 6 2 2 2 2 2" xfId="13516"/>
    <cellStyle name="Standaard 15 6 2 2 2 2 2 2" xfId="13517"/>
    <cellStyle name="Standaard 15 6 2 2 2 2 3" xfId="13518"/>
    <cellStyle name="Standaard 15 6 2 2 2 3" xfId="13519"/>
    <cellStyle name="Standaard 15 6 2 2 2 3 2" xfId="13520"/>
    <cellStyle name="Standaard 15 6 2 2 2 4" xfId="13521"/>
    <cellStyle name="Standaard 15 6 2 2 3" xfId="13522"/>
    <cellStyle name="Standaard 15 6 2 2 3 2" xfId="13523"/>
    <cellStyle name="Standaard 15 6 2 2 3 2 2" xfId="13524"/>
    <cellStyle name="Standaard 15 6 2 2 3 3" xfId="13525"/>
    <cellStyle name="Standaard 15 6 2 2 4" xfId="13526"/>
    <cellStyle name="Standaard 15 6 2 2 4 2" xfId="13527"/>
    <cellStyle name="Standaard 15 6 2 2 5" xfId="13528"/>
    <cellStyle name="Standaard 15 6 2 2 6" xfId="13529"/>
    <cellStyle name="Standaard 15 6 2 3" xfId="13530"/>
    <cellStyle name="Standaard 15 6 2 3 2" xfId="13531"/>
    <cellStyle name="Standaard 15 6 2 3 2 2" xfId="13532"/>
    <cellStyle name="Standaard 15 6 2 3 2 2 2" xfId="13533"/>
    <cellStyle name="Standaard 15 6 2 3 2 3" xfId="13534"/>
    <cellStyle name="Standaard 15 6 2 3 3" xfId="13535"/>
    <cellStyle name="Standaard 15 6 2 3 3 2" xfId="13536"/>
    <cellStyle name="Standaard 15 6 2 3 4" xfId="13537"/>
    <cellStyle name="Standaard 15 6 2 4" xfId="13538"/>
    <cellStyle name="Standaard 15 6 2 4 2" xfId="13539"/>
    <cellStyle name="Standaard 15 6 2 4 2 2" xfId="13540"/>
    <cellStyle name="Standaard 15 6 2 4 3" xfId="13541"/>
    <cellStyle name="Standaard 15 6 2 5" xfId="13542"/>
    <cellStyle name="Standaard 15 6 2 5 2" xfId="13543"/>
    <cellStyle name="Standaard 15 6 2 6" xfId="13544"/>
    <cellStyle name="Standaard 15 6 2 7" xfId="13545"/>
    <cellStyle name="Standaard 15 6 3" xfId="13546"/>
    <cellStyle name="Standaard 15 6 3 2" xfId="13547"/>
    <cellStyle name="Standaard 15 6 3 2 2" xfId="13548"/>
    <cellStyle name="Standaard 15 6 3 2 2 2" xfId="13549"/>
    <cellStyle name="Standaard 15 6 3 2 2 2 2" xfId="13550"/>
    <cellStyle name="Standaard 15 6 3 2 2 3" xfId="13551"/>
    <cellStyle name="Standaard 15 6 3 2 3" xfId="13552"/>
    <cellStyle name="Standaard 15 6 3 2 3 2" xfId="13553"/>
    <cellStyle name="Standaard 15 6 3 2 4" xfId="13554"/>
    <cellStyle name="Standaard 15 6 3 3" xfId="13555"/>
    <cellStyle name="Standaard 15 6 3 3 2" xfId="13556"/>
    <cellStyle name="Standaard 15 6 3 3 2 2" xfId="13557"/>
    <cellStyle name="Standaard 15 6 3 3 3" xfId="13558"/>
    <cellStyle name="Standaard 15 6 3 4" xfId="13559"/>
    <cellStyle name="Standaard 15 6 3 4 2" xfId="13560"/>
    <cellStyle name="Standaard 15 6 3 5" xfId="13561"/>
    <cellStyle name="Standaard 15 6 3 6" xfId="13562"/>
    <cellStyle name="Standaard 15 6 4" xfId="13563"/>
    <cellStyle name="Standaard 15 6 4 2" xfId="13564"/>
    <cellStyle name="Standaard 15 6 4 2 2" xfId="13565"/>
    <cellStyle name="Standaard 15 6 4 2 2 2" xfId="13566"/>
    <cellStyle name="Standaard 15 6 4 2 3" xfId="13567"/>
    <cellStyle name="Standaard 15 6 4 3" xfId="13568"/>
    <cellStyle name="Standaard 15 6 4 3 2" xfId="13569"/>
    <cellStyle name="Standaard 15 6 4 4" xfId="13570"/>
    <cellStyle name="Standaard 15 6 5" xfId="13571"/>
    <cellStyle name="Standaard 15 6 5 2" xfId="13572"/>
    <cellStyle name="Standaard 15 6 5 2 2" xfId="13573"/>
    <cellStyle name="Standaard 15 6 5 3" xfId="13574"/>
    <cellStyle name="Standaard 15 6 6" xfId="13575"/>
    <cellStyle name="Standaard 15 6 6 2" xfId="13576"/>
    <cellStyle name="Standaard 15 6 7" xfId="13577"/>
    <cellStyle name="Standaard 15 6 8" xfId="13578"/>
    <cellStyle name="Standaard 15 7" xfId="13579"/>
    <cellStyle name="Standaard 15 7 2" xfId="13580"/>
    <cellStyle name="Standaard 15 7 2 2" xfId="13581"/>
    <cellStyle name="Standaard 15 7 2 2 2" xfId="13582"/>
    <cellStyle name="Standaard 15 7 2 2 2 2" xfId="13583"/>
    <cellStyle name="Standaard 15 7 2 2 2 2 2" xfId="13584"/>
    <cellStyle name="Standaard 15 7 2 2 2 3" xfId="13585"/>
    <cellStyle name="Standaard 15 7 2 2 3" xfId="13586"/>
    <cellStyle name="Standaard 15 7 2 2 3 2" xfId="13587"/>
    <cellStyle name="Standaard 15 7 2 2 4" xfId="13588"/>
    <cellStyle name="Standaard 15 7 2 3" xfId="13589"/>
    <cellStyle name="Standaard 15 7 2 3 2" xfId="13590"/>
    <cellStyle name="Standaard 15 7 2 3 2 2" xfId="13591"/>
    <cellStyle name="Standaard 15 7 2 3 3" xfId="13592"/>
    <cellStyle name="Standaard 15 7 2 4" xfId="13593"/>
    <cellStyle name="Standaard 15 7 2 4 2" xfId="13594"/>
    <cellStyle name="Standaard 15 7 2 5" xfId="13595"/>
    <cellStyle name="Standaard 15 7 2 6" xfId="13596"/>
    <cellStyle name="Standaard 15 7 3" xfId="13597"/>
    <cellStyle name="Standaard 15 7 3 2" xfId="13598"/>
    <cellStyle name="Standaard 15 7 3 2 2" xfId="13599"/>
    <cellStyle name="Standaard 15 7 3 2 2 2" xfId="13600"/>
    <cellStyle name="Standaard 15 7 3 2 3" xfId="13601"/>
    <cellStyle name="Standaard 15 7 3 3" xfId="13602"/>
    <cellStyle name="Standaard 15 7 3 3 2" xfId="13603"/>
    <cellStyle name="Standaard 15 7 3 4" xfId="13604"/>
    <cellStyle name="Standaard 15 7 4" xfId="13605"/>
    <cellStyle name="Standaard 15 7 4 2" xfId="13606"/>
    <cellStyle name="Standaard 15 7 4 2 2" xfId="13607"/>
    <cellStyle name="Standaard 15 7 4 3" xfId="13608"/>
    <cellStyle name="Standaard 15 7 5" xfId="13609"/>
    <cellStyle name="Standaard 15 7 5 2" xfId="13610"/>
    <cellStyle name="Standaard 15 7 6" xfId="13611"/>
    <cellStyle name="Standaard 15 7 7" xfId="13612"/>
    <cellStyle name="Standaard 15 8" xfId="13613"/>
    <cellStyle name="Standaard 15 8 2" xfId="13614"/>
    <cellStyle name="Standaard 15 8 2 2" xfId="13615"/>
    <cellStyle name="Standaard 15 8 2 2 2" xfId="13616"/>
    <cellStyle name="Standaard 15 8 2 2 2 2" xfId="13617"/>
    <cellStyle name="Standaard 15 8 2 2 3" xfId="13618"/>
    <cellStyle name="Standaard 15 8 2 3" xfId="13619"/>
    <cellStyle name="Standaard 15 8 2 3 2" xfId="13620"/>
    <cellStyle name="Standaard 15 8 2 4" xfId="13621"/>
    <cellStyle name="Standaard 15 8 3" xfId="13622"/>
    <cellStyle name="Standaard 15 8 3 2" xfId="13623"/>
    <cellStyle name="Standaard 15 8 3 2 2" xfId="13624"/>
    <cellStyle name="Standaard 15 8 3 3" xfId="13625"/>
    <cellStyle name="Standaard 15 8 4" xfId="13626"/>
    <cellStyle name="Standaard 15 8 4 2" xfId="13627"/>
    <cellStyle name="Standaard 15 8 5" xfId="13628"/>
    <cellStyle name="Standaard 15 8 6" xfId="13629"/>
    <cellStyle name="Standaard 15 9" xfId="13630"/>
    <cellStyle name="Standaard 15 9 2" xfId="13631"/>
    <cellStyle name="Standaard 15 9 2 2" xfId="13632"/>
    <cellStyle name="Standaard 15 9 2 2 2" xfId="13633"/>
    <cellStyle name="Standaard 15 9 2 3" xfId="13634"/>
    <cellStyle name="Standaard 15 9 3" xfId="13635"/>
    <cellStyle name="Standaard 15 9 3 2" xfId="13636"/>
    <cellStyle name="Standaard 15 9 4" xfId="13637"/>
    <cellStyle name="Standaard 16" xfId="13638"/>
    <cellStyle name="Standaard 16 10" xfId="13639"/>
    <cellStyle name="Standaard 16 10 2" xfId="13640"/>
    <cellStyle name="Standaard 16 10 2 2" xfId="13641"/>
    <cellStyle name="Standaard 16 10 3" xfId="13642"/>
    <cellStyle name="Standaard 16 11" xfId="13643"/>
    <cellStyle name="Standaard 16 11 2" xfId="13644"/>
    <cellStyle name="Standaard 16 12" xfId="13645"/>
    <cellStyle name="Standaard 16 13" xfId="13646"/>
    <cellStyle name="Standaard 16 2" xfId="13647"/>
    <cellStyle name="Standaard 16 2 10" xfId="13648"/>
    <cellStyle name="Standaard 16 2 10 2" xfId="13649"/>
    <cellStyle name="Standaard 16 2 11" xfId="13650"/>
    <cellStyle name="Standaard 16 2 12" xfId="13651"/>
    <cellStyle name="Standaard 16 2 2" xfId="13652"/>
    <cellStyle name="Standaard 16 2 2 10" xfId="13653"/>
    <cellStyle name="Standaard 16 2 2 11" xfId="13654"/>
    <cellStyle name="Standaard 16 2 2 2" xfId="13655"/>
    <cellStyle name="Standaard 16 2 2 2 2" xfId="13656"/>
    <cellStyle name="Standaard 16 2 2 2 2 2" xfId="13657"/>
    <cellStyle name="Standaard 16 2 2 2 2 2 2" xfId="13658"/>
    <cellStyle name="Standaard 16 2 2 2 2 2 2 2" xfId="13659"/>
    <cellStyle name="Standaard 16 2 2 2 2 2 2 2 2" xfId="13660"/>
    <cellStyle name="Standaard 16 2 2 2 2 2 2 2 2 2" xfId="13661"/>
    <cellStyle name="Standaard 16 2 2 2 2 2 2 2 2 2 2" xfId="13662"/>
    <cellStyle name="Standaard 16 2 2 2 2 2 2 2 2 3" xfId="13663"/>
    <cellStyle name="Standaard 16 2 2 2 2 2 2 2 3" xfId="13664"/>
    <cellStyle name="Standaard 16 2 2 2 2 2 2 2 3 2" xfId="13665"/>
    <cellStyle name="Standaard 16 2 2 2 2 2 2 2 4" xfId="13666"/>
    <cellStyle name="Standaard 16 2 2 2 2 2 2 3" xfId="13667"/>
    <cellStyle name="Standaard 16 2 2 2 2 2 2 3 2" xfId="13668"/>
    <cellStyle name="Standaard 16 2 2 2 2 2 2 3 2 2" xfId="13669"/>
    <cellStyle name="Standaard 16 2 2 2 2 2 2 3 3" xfId="13670"/>
    <cellStyle name="Standaard 16 2 2 2 2 2 2 4" xfId="13671"/>
    <cellStyle name="Standaard 16 2 2 2 2 2 2 4 2" xfId="13672"/>
    <cellStyle name="Standaard 16 2 2 2 2 2 2 5" xfId="13673"/>
    <cellStyle name="Standaard 16 2 2 2 2 2 2 6" xfId="13674"/>
    <cellStyle name="Standaard 16 2 2 2 2 2 3" xfId="13675"/>
    <cellStyle name="Standaard 16 2 2 2 2 2 3 2" xfId="13676"/>
    <cellStyle name="Standaard 16 2 2 2 2 2 3 2 2" xfId="13677"/>
    <cellStyle name="Standaard 16 2 2 2 2 2 3 2 2 2" xfId="13678"/>
    <cellStyle name="Standaard 16 2 2 2 2 2 3 2 3" xfId="13679"/>
    <cellStyle name="Standaard 16 2 2 2 2 2 3 3" xfId="13680"/>
    <cellStyle name="Standaard 16 2 2 2 2 2 3 3 2" xfId="13681"/>
    <cellStyle name="Standaard 16 2 2 2 2 2 3 4" xfId="13682"/>
    <cellStyle name="Standaard 16 2 2 2 2 2 4" xfId="13683"/>
    <cellStyle name="Standaard 16 2 2 2 2 2 4 2" xfId="13684"/>
    <cellStyle name="Standaard 16 2 2 2 2 2 4 2 2" xfId="13685"/>
    <cellStyle name="Standaard 16 2 2 2 2 2 4 3" xfId="13686"/>
    <cellStyle name="Standaard 16 2 2 2 2 2 5" xfId="13687"/>
    <cellStyle name="Standaard 16 2 2 2 2 2 5 2" xfId="13688"/>
    <cellStyle name="Standaard 16 2 2 2 2 2 6" xfId="13689"/>
    <cellStyle name="Standaard 16 2 2 2 2 2 7" xfId="13690"/>
    <cellStyle name="Standaard 16 2 2 2 2 3" xfId="13691"/>
    <cellStyle name="Standaard 16 2 2 2 2 3 2" xfId="13692"/>
    <cellStyle name="Standaard 16 2 2 2 2 3 2 2" xfId="13693"/>
    <cellStyle name="Standaard 16 2 2 2 2 3 2 2 2" xfId="13694"/>
    <cellStyle name="Standaard 16 2 2 2 2 3 2 2 2 2" xfId="13695"/>
    <cellStyle name="Standaard 16 2 2 2 2 3 2 2 3" xfId="13696"/>
    <cellStyle name="Standaard 16 2 2 2 2 3 2 3" xfId="13697"/>
    <cellStyle name="Standaard 16 2 2 2 2 3 2 3 2" xfId="13698"/>
    <cellStyle name="Standaard 16 2 2 2 2 3 2 4" xfId="13699"/>
    <cellStyle name="Standaard 16 2 2 2 2 3 3" xfId="13700"/>
    <cellStyle name="Standaard 16 2 2 2 2 3 3 2" xfId="13701"/>
    <cellStyle name="Standaard 16 2 2 2 2 3 3 2 2" xfId="13702"/>
    <cellStyle name="Standaard 16 2 2 2 2 3 3 3" xfId="13703"/>
    <cellStyle name="Standaard 16 2 2 2 2 3 4" xfId="13704"/>
    <cellStyle name="Standaard 16 2 2 2 2 3 4 2" xfId="13705"/>
    <cellStyle name="Standaard 16 2 2 2 2 3 5" xfId="13706"/>
    <cellStyle name="Standaard 16 2 2 2 2 3 6" xfId="13707"/>
    <cellStyle name="Standaard 16 2 2 2 2 4" xfId="13708"/>
    <cellStyle name="Standaard 16 2 2 2 2 4 2" xfId="13709"/>
    <cellStyle name="Standaard 16 2 2 2 2 4 2 2" xfId="13710"/>
    <cellStyle name="Standaard 16 2 2 2 2 4 2 2 2" xfId="13711"/>
    <cellStyle name="Standaard 16 2 2 2 2 4 2 3" xfId="13712"/>
    <cellStyle name="Standaard 16 2 2 2 2 4 3" xfId="13713"/>
    <cellStyle name="Standaard 16 2 2 2 2 4 3 2" xfId="13714"/>
    <cellStyle name="Standaard 16 2 2 2 2 4 4" xfId="13715"/>
    <cellStyle name="Standaard 16 2 2 2 2 5" xfId="13716"/>
    <cellStyle name="Standaard 16 2 2 2 2 5 2" xfId="13717"/>
    <cellStyle name="Standaard 16 2 2 2 2 5 2 2" xfId="13718"/>
    <cellStyle name="Standaard 16 2 2 2 2 5 3" xfId="13719"/>
    <cellStyle name="Standaard 16 2 2 2 2 6" xfId="13720"/>
    <cellStyle name="Standaard 16 2 2 2 2 6 2" xfId="13721"/>
    <cellStyle name="Standaard 16 2 2 2 2 7" xfId="13722"/>
    <cellStyle name="Standaard 16 2 2 2 2 8" xfId="13723"/>
    <cellStyle name="Standaard 16 2 2 2 3" xfId="13724"/>
    <cellStyle name="Standaard 16 2 2 2 3 2" xfId="13725"/>
    <cellStyle name="Standaard 16 2 2 2 3 2 2" xfId="13726"/>
    <cellStyle name="Standaard 16 2 2 2 3 2 2 2" xfId="13727"/>
    <cellStyle name="Standaard 16 2 2 2 3 2 2 2 2" xfId="13728"/>
    <cellStyle name="Standaard 16 2 2 2 3 2 2 2 2 2" xfId="13729"/>
    <cellStyle name="Standaard 16 2 2 2 3 2 2 2 3" xfId="13730"/>
    <cellStyle name="Standaard 16 2 2 2 3 2 2 3" xfId="13731"/>
    <cellStyle name="Standaard 16 2 2 2 3 2 2 3 2" xfId="13732"/>
    <cellStyle name="Standaard 16 2 2 2 3 2 2 4" xfId="13733"/>
    <cellStyle name="Standaard 16 2 2 2 3 2 3" xfId="13734"/>
    <cellStyle name="Standaard 16 2 2 2 3 2 3 2" xfId="13735"/>
    <cellStyle name="Standaard 16 2 2 2 3 2 3 2 2" xfId="13736"/>
    <cellStyle name="Standaard 16 2 2 2 3 2 3 3" xfId="13737"/>
    <cellStyle name="Standaard 16 2 2 2 3 2 4" xfId="13738"/>
    <cellStyle name="Standaard 16 2 2 2 3 2 4 2" xfId="13739"/>
    <cellStyle name="Standaard 16 2 2 2 3 2 5" xfId="13740"/>
    <cellStyle name="Standaard 16 2 2 2 3 2 6" xfId="13741"/>
    <cellStyle name="Standaard 16 2 2 2 3 3" xfId="13742"/>
    <cellStyle name="Standaard 16 2 2 2 3 3 2" xfId="13743"/>
    <cellStyle name="Standaard 16 2 2 2 3 3 2 2" xfId="13744"/>
    <cellStyle name="Standaard 16 2 2 2 3 3 2 2 2" xfId="13745"/>
    <cellStyle name="Standaard 16 2 2 2 3 3 2 3" xfId="13746"/>
    <cellStyle name="Standaard 16 2 2 2 3 3 3" xfId="13747"/>
    <cellStyle name="Standaard 16 2 2 2 3 3 3 2" xfId="13748"/>
    <cellStyle name="Standaard 16 2 2 2 3 3 4" xfId="13749"/>
    <cellStyle name="Standaard 16 2 2 2 3 4" xfId="13750"/>
    <cellStyle name="Standaard 16 2 2 2 3 4 2" xfId="13751"/>
    <cellStyle name="Standaard 16 2 2 2 3 4 2 2" xfId="13752"/>
    <cellStyle name="Standaard 16 2 2 2 3 4 3" xfId="13753"/>
    <cellStyle name="Standaard 16 2 2 2 3 5" xfId="13754"/>
    <cellStyle name="Standaard 16 2 2 2 3 5 2" xfId="13755"/>
    <cellStyle name="Standaard 16 2 2 2 3 6" xfId="13756"/>
    <cellStyle name="Standaard 16 2 2 2 3 7" xfId="13757"/>
    <cellStyle name="Standaard 16 2 2 2 4" xfId="13758"/>
    <cellStyle name="Standaard 16 2 2 2 4 2" xfId="13759"/>
    <cellStyle name="Standaard 16 2 2 2 4 2 2" xfId="13760"/>
    <cellStyle name="Standaard 16 2 2 2 4 2 2 2" xfId="13761"/>
    <cellStyle name="Standaard 16 2 2 2 4 2 2 2 2" xfId="13762"/>
    <cellStyle name="Standaard 16 2 2 2 4 2 2 3" xfId="13763"/>
    <cellStyle name="Standaard 16 2 2 2 4 2 3" xfId="13764"/>
    <cellStyle name="Standaard 16 2 2 2 4 2 3 2" xfId="13765"/>
    <cellStyle name="Standaard 16 2 2 2 4 2 4" xfId="13766"/>
    <cellStyle name="Standaard 16 2 2 2 4 3" xfId="13767"/>
    <cellStyle name="Standaard 16 2 2 2 4 3 2" xfId="13768"/>
    <cellStyle name="Standaard 16 2 2 2 4 3 2 2" xfId="13769"/>
    <cellStyle name="Standaard 16 2 2 2 4 3 3" xfId="13770"/>
    <cellStyle name="Standaard 16 2 2 2 4 4" xfId="13771"/>
    <cellStyle name="Standaard 16 2 2 2 4 4 2" xfId="13772"/>
    <cellStyle name="Standaard 16 2 2 2 4 5" xfId="13773"/>
    <cellStyle name="Standaard 16 2 2 2 4 6" xfId="13774"/>
    <cellStyle name="Standaard 16 2 2 2 5" xfId="13775"/>
    <cellStyle name="Standaard 16 2 2 2 5 2" xfId="13776"/>
    <cellStyle name="Standaard 16 2 2 2 5 2 2" xfId="13777"/>
    <cellStyle name="Standaard 16 2 2 2 5 2 2 2" xfId="13778"/>
    <cellStyle name="Standaard 16 2 2 2 5 2 3" xfId="13779"/>
    <cellStyle name="Standaard 16 2 2 2 5 3" xfId="13780"/>
    <cellStyle name="Standaard 16 2 2 2 5 3 2" xfId="13781"/>
    <cellStyle name="Standaard 16 2 2 2 5 4" xfId="13782"/>
    <cellStyle name="Standaard 16 2 2 2 6" xfId="13783"/>
    <cellStyle name="Standaard 16 2 2 2 6 2" xfId="13784"/>
    <cellStyle name="Standaard 16 2 2 2 6 2 2" xfId="13785"/>
    <cellStyle name="Standaard 16 2 2 2 6 3" xfId="13786"/>
    <cellStyle name="Standaard 16 2 2 2 7" xfId="13787"/>
    <cellStyle name="Standaard 16 2 2 2 7 2" xfId="13788"/>
    <cellStyle name="Standaard 16 2 2 2 8" xfId="13789"/>
    <cellStyle name="Standaard 16 2 2 2 9" xfId="13790"/>
    <cellStyle name="Standaard 16 2 2 3" xfId="13791"/>
    <cellStyle name="Standaard 16 2 2 3 2" xfId="13792"/>
    <cellStyle name="Standaard 16 2 2 3 2 2" xfId="13793"/>
    <cellStyle name="Standaard 16 2 2 3 2 2 2" xfId="13794"/>
    <cellStyle name="Standaard 16 2 2 3 2 2 2 2" xfId="13795"/>
    <cellStyle name="Standaard 16 2 2 3 2 2 2 2 2" xfId="13796"/>
    <cellStyle name="Standaard 16 2 2 3 2 2 2 2 2 2" xfId="13797"/>
    <cellStyle name="Standaard 16 2 2 3 2 2 2 2 3" xfId="13798"/>
    <cellStyle name="Standaard 16 2 2 3 2 2 2 3" xfId="13799"/>
    <cellStyle name="Standaard 16 2 2 3 2 2 2 3 2" xfId="13800"/>
    <cellStyle name="Standaard 16 2 2 3 2 2 2 4" xfId="13801"/>
    <cellStyle name="Standaard 16 2 2 3 2 2 3" xfId="13802"/>
    <cellStyle name="Standaard 16 2 2 3 2 2 3 2" xfId="13803"/>
    <cellStyle name="Standaard 16 2 2 3 2 2 3 2 2" xfId="13804"/>
    <cellStyle name="Standaard 16 2 2 3 2 2 3 3" xfId="13805"/>
    <cellStyle name="Standaard 16 2 2 3 2 2 4" xfId="13806"/>
    <cellStyle name="Standaard 16 2 2 3 2 2 4 2" xfId="13807"/>
    <cellStyle name="Standaard 16 2 2 3 2 2 5" xfId="13808"/>
    <cellStyle name="Standaard 16 2 2 3 2 2 6" xfId="13809"/>
    <cellStyle name="Standaard 16 2 2 3 2 3" xfId="13810"/>
    <cellStyle name="Standaard 16 2 2 3 2 3 2" xfId="13811"/>
    <cellStyle name="Standaard 16 2 2 3 2 3 2 2" xfId="13812"/>
    <cellStyle name="Standaard 16 2 2 3 2 3 2 2 2" xfId="13813"/>
    <cellStyle name="Standaard 16 2 2 3 2 3 2 3" xfId="13814"/>
    <cellStyle name="Standaard 16 2 2 3 2 3 3" xfId="13815"/>
    <cellStyle name="Standaard 16 2 2 3 2 3 3 2" xfId="13816"/>
    <cellStyle name="Standaard 16 2 2 3 2 3 4" xfId="13817"/>
    <cellStyle name="Standaard 16 2 2 3 2 4" xfId="13818"/>
    <cellStyle name="Standaard 16 2 2 3 2 4 2" xfId="13819"/>
    <cellStyle name="Standaard 16 2 2 3 2 4 2 2" xfId="13820"/>
    <cellStyle name="Standaard 16 2 2 3 2 4 3" xfId="13821"/>
    <cellStyle name="Standaard 16 2 2 3 2 5" xfId="13822"/>
    <cellStyle name="Standaard 16 2 2 3 2 5 2" xfId="13823"/>
    <cellStyle name="Standaard 16 2 2 3 2 6" xfId="13824"/>
    <cellStyle name="Standaard 16 2 2 3 2 7" xfId="13825"/>
    <cellStyle name="Standaard 16 2 2 3 3" xfId="13826"/>
    <cellStyle name="Standaard 16 2 2 3 3 2" xfId="13827"/>
    <cellStyle name="Standaard 16 2 2 3 3 2 2" xfId="13828"/>
    <cellStyle name="Standaard 16 2 2 3 3 2 2 2" xfId="13829"/>
    <cellStyle name="Standaard 16 2 2 3 3 2 2 2 2" xfId="13830"/>
    <cellStyle name="Standaard 16 2 2 3 3 2 2 3" xfId="13831"/>
    <cellStyle name="Standaard 16 2 2 3 3 2 3" xfId="13832"/>
    <cellStyle name="Standaard 16 2 2 3 3 2 3 2" xfId="13833"/>
    <cellStyle name="Standaard 16 2 2 3 3 2 4" xfId="13834"/>
    <cellStyle name="Standaard 16 2 2 3 3 3" xfId="13835"/>
    <cellStyle name="Standaard 16 2 2 3 3 3 2" xfId="13836"/>
    <cellStyle name="Standaard 16 2 2 3 3 3 2 2" xfId="13837"/>
    <cellStyle name="Standaard 16 2 2 3 3 3 3" xfId="13838"/>
    <cellStyle name="Standaard 16 2 2 3 3 4" xfId="13839"/>
    <cellStyle name="Standaard 16 2 2 3 3 4 2" xfId="13840"/>
    <cellStyle name="Standaard 16 2 2 3 3 5" xfId="13841"/>
    <cellStyle name="Standaard 16 2 2 3 3 6" xfId="13842"/>
    <cellStyle name="Standaard 16 2 2 3 4" xfId="13843"/>
    <cellStyle name="Standaard 16 2 2 3 4 2" xfId="13844"/>
    <cellStyle name="Standaard 16 2 2 3 4 2 2" xfId="13845"/>
    <cellStyle name="Standaard 16 2 2 3 4 2 2 2" xfId="13846"/>
    <cellStyle name="Standaard 16 2 2 3 4 2 3" xfId="13847"/>
    <cellStyle name="Standaard 16 2 2 3 4 3" xfId="13848"/>
    <cellStyle name="Standaard 16 2 2 3 4 3 2" xfId="13849"/>
    <cellStyle name="Standaard 16 2 2 3 4 4" xfId="13850"/>
    <cellStyle name="Standaard 16 2 2 3 5" xfId="13851"/>
    <cellStyle name="Standaard 16 2 2 3 5 2" xfId="13852"/>
    <cellStyle name="Standaard 16 2 2 3 5 2 2" xfId="13853"/>
    <cellStyle name="Standaard 16 2 2 3 5 3" xfId="13854"/>
    <cellStyle name="Standaard 16 2 2 3 6" xfId="13855"/>
    <cellStyle name="Standaard 16 2 2 3 6 2" xfId="13856"/>
    <cellStyle name="Standaard 16 2 2 3 7" xfId="13857"/>
    <cellStyle name="Standaard 16 2 2 3 8" xfId="13858"/>
    <cellStyle name="Standaard 16 2 2 4" xfId="13859"/>
    <cellStyle name="Standaard 16 2 2 4 2" xfId="13860"/>
    <cellStyle name="Standaard 16 2 2 4 2 2" xfId="13861"/>
    <cellStyle name="Standaard 16 2 2 4 2 2 2" xfId="13862"/>
    <cellStyle name="Standaard 16 2 2 4 2 2 2 2" xfId="13863"/>
    <cellStyle name="Standaard 16 2 2 4 2 2 2 2 2" xfId="13864"/>
    <cellStyle name="Standaard 16 2 2 4 2 2 2 2 2 2" xfId="13865"/>
    <cellStyle name="Standaard 16 2 2 4 2 2 2 2 3" xfId="13866"/>
    <cellStyle name="Standaard 16 2 2 4 2 2 2 3" xfId="13867"/>
    <cellStyle name="Standaard 16 2 2 4 2 2 2 3 2" xfId="13868"/>
    <cellStyle name="Standaard 16 2 2 4 2 2 2 4" xfId="13869"/>
    <cellStyle name="Standaard 16 2 2 4 2 2 3" xfId="13870"/>
    <cellStyle name="Standaard 16 2 2 4 2 2 3 2" xfId="13871"/>
    <cellStyle name="Standaard 16 2 2 4 2 2 3 2 2" xfId="13872"/>
    <cellStyle name="Standaard 16 2 2 4 2 2 3 3" xfId="13873"/>
    <cellStyle name="Standaard 16 2 2 4 2 2 4" xfId="13874"/>
    <cellStyle name="Standaard 16 2 2 4 2 2 4 2" xfId="13875"/>
    <cellStyle name="Standaard 16 2 2 4 2 2 5" xfId="13876"/>
    <cellStyle name="Standaard 16 2 2 4 2 2 6" xfId="13877"/>
    <cellStyle name="Standaard 16 2 2 4 2 3" xfId="13878"/>
    <cellStyle name="Standaard 16 2 2 4 2 3 2" xfId="13879"/>
    <cellStyle name="Standaard 16 2 2 4 2 3 2 2" xfId="13880"/>
    <cellStyle name="Standaard 16 2 2 4 2 3 2 2 2" xfId="13881"/>
    <cellStyle name="Standaard 16 2 2 4 2 3 2 3" xfId="13882"/>
    <cellStyle name="Standaard 16 2 2 4 2 3 3" xfId="13883"/>
    <cellStyle name="Standaard 16 2 2 4 2 3 3 2" xfId="13884"/>
    <cellStyle name="Standaard 16 2 2 4 2 3 4" xfId="13885"/>
    <cellStyle name="Standaard 16 2 2 4 2 4" xfId="13886"/>
    <cellStyle name="Standaard 16 2 2 4 2 4 2" xfId="13887"/>
    <cellStyle name="Standaard 16 2 2 4 2 4 2 2" xfId="13888"/>
    <cellStyle name="Standaard 16 2 2 4 2 4 3" xfId="13889"/>
    <cellStyle name="Standaard 16 2 2 4 2 5" xfId="13890"/>
    <cellStyle name="Standaard 16 2 2 4 2 5 2" xfId="13891"/>
    <cellStyle name="Standaard 16 2 2 4 2 6" xfId="13892"/>
    <cellStyle name="Standaard 16 2 2 4 2 7" xfId="13893"/>
    <cellStyle name="Standaard 16 2 2 4 3" xfId="13894"/>
    <cellStyle name="Standaard 16 2 2 4 3 2" xfId="13895"/>
    <cellStyle name="Standaard 16 2 2 4 3 2 2" xfId="13896"/>
    <cellStyle name="Standaard 16 2 2 4 3 2 2 2" xfId="13897"/>
    <cellStyle name="Standaard 16 2 2 4 3 2 2 2 2" xfId="13898"/>
    <cellStyle name="Standaard 16 2 2 4 3 2 2 3" xfId="13899"/>
    <cellStyle name="Standaard 16 2 2 4 3 2 3" xfId="13900"/>
    <cellStyle name="Standaard 16 2 2 4 3 2 3 2" xfId="13901"/>
    <cellStyle name="Standaard 16 2 2 4 3 2 4" xfId="13902"/>
    <cellStyle name="Standaard 16 2 2 4 3 3" xfId="13903"/>
    <cellStyle name="Standaard 16 2 2 4 3 3 2" xfId="13904"/>
    <cellStyle name="Standaard 16 2 2 4 3 3 2 2" xfId="13905"/>
    <cellStyle name="Standaard 16 2 2 4 3 3 3" xfId="13906"/>
    <cellStyle name="Standaard 16 2 2 4 3 4" xfId="13907"/>
    <cellStyle name="Standaard 16 2 2 4 3 4 2" xfId="13908"/>
    <cellStyle name="Standaard 16 2 2 4 3 5" xfId="13909"/>
    <cellStyle name="Standaard 16 2 2 4 3 6" xfId="13910"/>
    <cellStyle name="Standaard 16 2 2 4 4" xfId="13911"/>
    <cellStyle name="Standaard 16 2 2 4 4 2" xfId="13912"/>
    <cellStyle name="Standaard 16 2 2 4 4 2 2" xfId="13913"/>
    <cellStyle name="Standaard 16 2 2 4 4 2 2 2" xfId="13914"/>
    <cellStyle name="Standaard 16 2 2 4 4 2 3" xfId="13915"/>
    <cellStyle name="Standaard 16 2 2 4 4 3" xfId="13916"/>
    <cellStyle name="Standaard 16 2 2 4 4 3 2" xfId="13917"/>
    <cellStyle name="Standaard 16 2 2 4 4 4" xfId="13918"/>
    <cellStyle name="Standaard 16 2 2 4 5" xfId="13919"/>
    <cellStyle name="Standaard 16 2 2 4 5 2" xfId="13920"/>
    <cellStyle name="Standaard 16 2 2 4 5 2 2" xfId="13921"/>
    <cellStyle name="Standaard 16 2 2 4 5 3" xfId="13922"/>
    <cellStyle name="Standaard 16 2 2 4 6" xfId="13923"/>
    <cellStyle name="Standaard 16 2 2 4 6 2" xfId="13924"/>
    <cellStyle name="Standaard 16 2 2 4 7" xfId="13925"/>
    <cellStyle name="Standaard 16 2 2 4 8" xfId="13926"/>
    <cellStyle name="Standaard 16 2 2 5" xfId="13927"/>
    <cellStyle name="Standaard 16 2 2 5 2" xfId="13928"/>
    <cellStyle name="Standaard 16 2 2 5 2 2" xfId="13929"/>
    <cellStyle name="Standaard 16 2 2 5 2 2 2" xfId="13930"/>
    <cellStyle name="Standaard 16 2 2 5 2 2 2 2" xfId="13931"/>
    <cellStyle name="Standaard 16 2 2 5 2 2 2 2 2" xfId="13932"/>
    <cellStyle name="Standaard 16 2 2 5 2 2 2 3" xfId="13933"/>
    <cellStyle name="Standaard 16 2 2 5 2 2 3" xfId="13934"/>
    <cellStyle name="Standaard 16 2 2 5 2 2 3 2" xfId="13935"/>
    <cellStyle name="Standaard 16 2 2 5 2 2 4" xfId="13936"/>
    <cellStyle name="Standaard 16 2 2 5 2 3" xfId="13937"/>
    <cellStyle name="Standaard 16 2 2 5 2 3 2" xfId="13938"/>
    <cellStyle name="Standaard 16 2 2 5 2 3 2 2" xfId="13939"/>
    <cellStyle name="Standaard 16 2 2 5 2 3 3" xfId="13940"/>
    <cellStyle name="Standaard 16 2 2 5 2 4" xfId="13941"/>
    <cellStyle name="Standaard 16 2 2 5 2 4 2" xfId="13942"/>
    <cellStyle name="Standaard 16 2 2 5 2 5" xfId="13943"/>
    <cellStyle name="Standaard 16 2 2 5 2 6" xfId="13944"/>
    <cellStyle name="Standaard 16 2 2 5 3" xfId="13945"/>
    <cellStyle name="Standaard 16 2 2 5 3 2" xfId="13946"/>
    <cellStyle name="Standaard 16 2 2 5 3 2 2" xfId="13947"/>
    <cellStyle name="Standaard 16 2 2 5 3 2 2 2" xfId="13948"/>
    <cellStyle name="Standaard 16 2 2 5 3 2 3" xfId="13949"/>
    <cellStyle name="Standaard 16 2 2 5 3 3" xfId="13950"/>
    <cellStyle name="Standaard 16 2 2 5 3 3 2" xfId="13951"/>
    <cellStyle name="Standaard 16 2 2 5 3 4" xfId="13952"/>
    <cellStyle name="Standaard 16 2 2 5 4" xfId="13953"/>
    <cellStyle name="Standaard 16 2 2 5 4 2" xfId="13954"/>
    <cellStyle name="Standaard 16 2 2 5 4 2 2" xfId="13955"/>
    <cellStyle name="Standaard 16 2 2 5 4 3" xfId="13956"/>
    <cellStyle name="Standaard 16 2 2 5 5" xfId="13957"/>
    <cellStyle name="Standaard 16 2 2 5 5 2" xfId="13958"/>
    <cellStyle name="Standaard 16 2 2 5 6" xfId="13959"/>
    <cellStyle name="Standaard 16 2 2 5 7" xfId="13960"/>
    <cellStyle name="Standaard 16 2 2 6" xfId="13961"/>
    <cellStyle name="Standaard 16 2 2 6 2" xfId="13962"/>
    <cellStyle name="Standaard 16 2 2 6 2 2" xfId="13963"/>
    <cellStyle name="Standaard 16 2 2 6 2 2 2" xfId="13964"/>
    <cellStyle name="Standaard 16 2 2 6 2 2 2 2" xfId="13965"/>
    <cellStyle name="Standaard 16 2 2 6 2 2 3" xfId="13966"/>
    <cellStyle name="Standaard 16 2 2 6 2 3" xfId="13967"/>
    <cellStyle name="Standaard 16 2 2 6 2 3 2" xfId="13968"/>
    <cellStyle name="Standaard 16 2 2 6 2 4" xfId="13969"/>
    <cellStyle name="Standaard 16 2 2 6 3" xfId="13970"/>
    <cellStyle name="Standaard 16 2 2 6 3 2" xfId="13971"/>
    <cellStyle name="Standaard 16 2 2 6 3 2 2" xfId="13972"/>
    <cellStyle name="Standaard 16 2 2 6 3 3" xfId="13973"/>
    <cellStyle name="Standaard 16 2 2 6 4" xfId="13974"/>
    <cellStyle name="Standaard 16 2 2 6 4 2" xfId="13975"/>
    <cellStyle name="Standaard 16 2 2 6 5" xfId="13976"/>
    <cellStyle name="Standaard 16 2 2 6 6" xfId="13977"/>
    <cellStyle name="Standaard 16 2 2 7" xfId="13978"/>
    <cellStyle name="Standaard 16 2 2 7 2" xfId="13979"/>
    <cellStyle name="Standaard 16 2 2 7 2 2" xfId="13980"/>
    <cellStyle name="Standaard 16 2 2 7 2 2 2" xfId="13981"/>
    <cellStyle name="Standaard 16 2 2 7 2 3" xfId="13982"/>
    <cellStyle name="Standaard 16 2 2 7 3" xfId="13983"/>
    <cellStyle name="Standaard 16 2 2 7 3 2" xfId="13984"/>
    <cellStyle name="Standaard 16 2 2 7 4" xfId="13985"/>
    <cellStyle name="Standaard 16 2 2 8" xfId="13986"/>
    <cellStyle name="Standaard 16 2 2 8 2" xfId="13987"/>
    <cellStyle name="Standaard 16 2 2 8 2 2" xfId="13988"/>
    <cellStyle name="Standaard 16 2 2 8 3" xfId="13989"/>
    <cellStyle name="Standaard 16 2 2 9" xfId="13990"/>
    <cellStyle name="Standaard 16 2 2 9 2" xfId="13991"/>
    <cellStyle name="Standaard 16 2 3" xfId="13992"/>
    <cellStyle name="Standaard 16 2 3 2" xfId="13993"/>
    <cellStyle name="Standaard 16 2 3 2 2" xfId="13994"/>
    <cellStyle name="Standaard 16 2 3 2 2 2" xfId="13995"/>
    <cellStyle name="Standaard 16 2 3 2 2 2 2" xfId="13996"/>
    <cellStyle name="Standaard 16 2 3 2 2 2 2 2" xfId="13997"/>
    <cellStyle name="Standaard 16 2 3 2 2 2 2 2 2" xfId="13998"/>
    <cellStyle name="Standaard 16 2 3 2 2 2 2 2 2 2" xfId="13999"/>
    <cellStyle name="Standaard 16 2 3 2 2 2 2 2 3" xfId="14000"/>
    <cellStyle name="Standaard 16 2 3 2 2 2 2 3" xfId="14001"/>
    <cellStyle name="Standaard 16 2 3 2 2 2 2 3 2" xfId="14002"/>
    <cellStyle name="Standaard 16 2 3 2 2 2 2 4" xfId="14003"/>
    <cellStyle name="Standaard 16 2 3 2 2 2 3" xfId="14004"/>
    <cellStyle name="Standaard 16 2 3 2 2 2 3 2" xfId="14005"/>
    <cellStyle name="Standaard 16 2 3 2 2 2 3 2 2" xfId="14006"/>
    <cellStyle name="Standaard 16 2 3 2 2 2 3 3" xfId="14007"/>
    <cellStyle name="Standaard 16 2 3 2 2 2 4" xfId="14008"/>
    <cellStyle name="Standaard 16 2 3 2 2 2 4 2" xfId="14009"/>
    <cellStyle name="Standaard 16 2 3 2 2 2 5" xfId="14010"/>
    <cellStyle name="Standaard 16 2 3 2 2 2 6" xfId="14011"/>
    <cellStyle name="Standaard 16 2 3 2 2 3" xfId="14012"/>
    <cellStyle name="Standaard 16 2 3 2 2 3 2" xfId="14013"/>
    <cellStyle name="Standaard 16 2 3 2 2 3 2 2" xfId="14014"/>
    <cellStyle name="Standaard 16 2 3 2 2 3 2 2 2" xfId="14015"/>
    <cellStyle name="Standaard 16 2 3 2 2 3 2 3" xfId="14016"/>
    <cellStyle name="Standaard 16 2 3 2 2 3 3" xfId="14017"/>
    <cellStyle name="Standaard 16 2 3 2 2 3 3 2" xfId="14018"/>
    <cellStyle name="Standaard 16 2 3 2 2 3 4" xfId="14019"/>
    <cellStyle name="Standaard 16 2 3 2 2 4" xfId="14020"/>
    <cellStyle name="Standaard 16 2 3 2 2 4 2" xfId="14021"/>
    <cellStyle name="Standaard 16 2 3 2 2 4 2 2" xfId="14022"/>
    <cellStyle name="Standaard 16 2 3 2 2 4 3" xfId="14023"/>
    <cellStyle name="Standaard 16 2 3 2 2 5" xfId="14024"/>
    <cellStyle name="Standaard 16 2 3 2 2 5 2" xfId="14025"/>
    <cellStyle name="Standaard 16 2 3 2 2 6" xfId="14026"/>
    <cellStyle name="Standaard 16 2 3 2 2 7" xfId="14027"/>
    <cellStyle name="Standaard 16 2 3 2 3" xfId="14028"/>
    <cellStyle name="Standaard 16 2 3 2 3 2" xfId="14029"/>
    <cellStyle name="Standaard 16 2 3 2 3 2 2" xfId="14030"/>
    <cellStyle name="Standaard 16 2 3 2 3 2 2 2" xfId="14031"/>
    <cellStyle name="Standaard 16 2 3 2 3 2 2 2 2" xfId="14032"/>
    <cellStyle name="Standaard 16 2 3 2 3 2 2 3" xfId="14033"/>
    <cellStyle name="Standaard 16 2 3 2 3 2 3" xfId="14034"/>
    <cellStyle name="Standaard 16 2 3 2 3 2 3 2" xfId="14035"/>
    <cellStyle name="Standaard 16 2 3 2 3 2 4" xfId="14036"/>
    <cellStyle name="Standaard 16 2 3 2 3 3" xfId="14037"/>
    <cellStyle name="Standaard 16 2 3 2 3 3 2" xfId="14038"/>
    <cellStyle name="Standaard 16 2 3 2 3 3 2 2" xfId="14039"/>
    <cellStyle name="Standaard 16 2 3 2 3 3 3" xfId="14040"/>
    <cellStyle name="Standaard 16 2 3 2 3 4" xfId="14041"/>
    <cellStyle name="Standaard 16 2 3 2 3 4 2" xfId="14042"/>
    <cellStyle name="Standaard 16 2 3 2 3 5" xfId="14043"/>
    <cellStyle name="Standaard 16 2 3 2 3 6" xfId="14044"/>
    <cellStyle name="Standaard 16 2 3 2 4" xfId="14045"/>
    <cellStyle name="Standaard 16 2 3 2 4 2" xfId="14046"/>
    <cellStyle name="Standaard 16 2 3 2 4 2 2" xfId="14047"/>
    <cellStyle name="Standaard 16 2 3 2 4 2 2 2" xfId="14048"/>
    <cellStyle name="Standaard 16 2 3 2 4 2 3" xfId="14049"/>
    <cellStyle name="Standaard 16 2 3 2 4 3" xfId="14050"/>
    <cellStyle name="Standaard 16 2 3 2 4 3 2" xfId="14051"/>
    <cellStyle name="Standaard 16 2 3 2 4 4" xfId="14052"/>
    <cellStyle name="Standaard 16 2 3 2 5" xfId="14053"/>
    <cellStyle name="Standaard 16 2 3 2 5 2" xfId="14054"/>
    <cellStyle name="Standaard 16 2 3 2 5 2 2" xfId="14055"/>
    <cellStyle name="Standaard 16 2 3 2 5 3" xfId="14056"/>
    <cellStyle name="Standaard 16 2 3 2 6" xfId="14057"/>
    <cellStyle name="Standaard 16 2 3 2 6 2" xfId="14058"/>
    <cellStyle name="Standaard 16 2 3 2 7" xfId="14059"/>
    <cellStyle name="Standaard 16 2 3 2 8" xfId="14060"/>
    <cellStyle name="Standaard 16 2 3 3" xfId="14061"/>
    <cellStyle name="Standaard 16 2 3 3 2" xfId="14062"/>
    <cellStyle name="Standaard 16 2 3 3 2 2" xfId="14063"/>
    <cellStyle name="Standaard 16 2 3 3 2 2 2" xfId="14064"/>
    <cellStyle name="Standaard 16 2 3 3 2 2 2 2" xfId="14065"/>
    <cellStyle name="Standaard 16 2 3 3 2 2 2 2 2" xfId="14066"/>
    <cellStyle name="Standaard 16 2 3 3 2 2 2 3" xfId="14067"/>
    <cellStyle name="Standaard 16 2 3 3 2 2 3" xfId="14068"/>
    <cellStyle name="Standaard 16 2 3 3 2 2 3 2" xfId="14069"/>
    <cellStyle name="Standaard 16 2 3 3 2 2 4" xfId="14070"/>
    <cellStyle name="Standaard 16 2 3 3 2 3" xfId="14071"/>
    <cellStyle name="Standaard 16 2 3 3 2 3 2" xfId="14072"/>
    <cellStyle name="Standaard 16 2 3 3 2 3 2 2" xfId="14073"/>
    <cellStyle name="Standaard 16 2 3 3 2 3 3" xfId="14074"/>
    <cellStyle name="Standaard 16 2 3 3 2 4" xfId="14075"/>
    <cellStyle name="Standaard 16 2 3 3 2 4 2" xfId="14076"/>
    <cellStyle name="Standaard 16 2 3 3 2 5" xfId="14077"/>
    <cellStyle name="Standaard 16 2 3 3 2 6" xfId="14078"/>
    <cellStyle name="Standaard 16 2 3 3 3" xfId="14079"/>
    <cellStyle name="Standaard 16 2 3 3 3 2" xfId="14080"/>
    <cellStyle name="Standaard 16 2 3 3 3 2 2" xfId="14081"/>
    <cellStyle name="Standaard 16 2 3 3 3 2 2 2" xfId="14082"/>
    <cellStyle name="Standaard 16 2 3 3 3 2 3" xfId="14083"/>
    <cellStyle name="Standaard 16 2 3 3 3 3" xfId="14084"/>
    <cellStyle name="Standaard 16 2 3 3 3 3 2" xfId="14085"/>
    <cellStyle name="Standaard 16 2 3 3 3 4" xfId="14086"/>
    <cellStyle name="Standaard 16 2 3 3 4" xfId="14087"/>
    <cellStyle name="Standaard 16 2 3 3 4 2" xfId="14088"/>
    <cellStyle name="Standaard 16 2 3 3 4 2 2" xfId="14089"/>
    <cellStyle name="Standaard 16 2 3 3 4 3" xfId="14090"/>
    <cellStyle name="Standaard 16 2 3 3 5" xfId="14091"/>
    <cellStyle name="Standaard 16 2 3 3 5 2" xfId="14092"/>
    <cellStyle name="Standaard 16 2 3 3 6" xfId="14093"/>
    <cellStyle name="Standaard 16 2 3 3 7" xfId="14094"/>
    <cellStyle name="Standaard 16 2 3 4" xfId="14095"/>
    <cellStyle name="Standaard 16 2 3 4 2" xfId="14096"/>
    <cellStyle name="Standaard 16 2 3 4 2 2" xfId="14097"/>
    <cellStyle name="Standaard 16 2 3 4 2 2 2" xfId="14098"/>
    <cellStyle name="Standaard 16 2 3 4 2 2 2 2" xfId="14099"/>
    <cellStyle name="Standaard 16 2 3 4 2 2 3" xfId="14100"/>
    <cellStyle name="Standaard 16 2 3 4 2 3" xfId="14101"/>
    <cellStyle name="Standaard 16 2 3 4 2 3 2" xfId="14102"/>
    <cellStyle name="Standaard 16 2 3 4 2 4" xfId="14103"/>
    <cellStyle name="Standaard 16 2 3 4 3" xfId="14104"/>
    <cellStyle name="Standaard 16 2 3 4 3 2" xfId="14105"/>
    <cellStyle name="Standaard 16 2 3 4 3 2 2" xfId="14106"/>
    <cellStyle name="Standaard 16 2 3 4 3 3" xfId="14107"/>
    <cellStyle name="Standaard 16 2 3 4 4" xfId="14108"/>
    <cellStyle name="Standaard 16 2 3 4 4 2" xfId="14109"/>
    <cellStyle name="Standaard 16 2 3 4 5" xfId="14110"/>
    <cellStyle name="Standaard 16 2 3 4 6" xfId="14111"/>
    <cellStyle name="Standaard 16 2 3 5" xfId="14112"/>
    <cellStyle name="Standaard 16 2 3 5 2" xfId="14113"/>
    <cellStyle name="Standaard 16 2 3 5 2 2" xfId="14114"/>
    <cellStyle name="Standaard 16 2 3 5 2 2 2" xfId="14115"/>
    <cellStyle name="Standaard 16 2 3 5 2 3" xfId="14116"/>
    <cellStyle name="Standaard 16 2 3 5 3" xfId="14117"/>
    <cellStyle name="Standaard 16 2 3 5 3 2" xfId="14118"/>
    <cellStyle name="Standaard 16 2 3 5 4" xfId="14119"/>
    <cellStyle name="Standaard 16 2 3 6" xfId="14120"/>
    <cellStyle name="Standaard 16 2 3 6 2" xfId="14121"/>
    <cellStyle name="Standaard 16 2 3 6 2 2" xfId="14122"/>
    <cellStyle name="Standaard 16 2 3 6 3" xfId="14123"/>
    <cellStyle name="Standaard 16 2 3 7" xfId="14124"/>
    <cellStyle name="Standaard 16 2 3 7 2" xfId="14125"/>
    <cellStyle name="Standaard 16 2 3 8" xfId="14126"/>
    <cellStyle name="Standaard 16 2 3 9" xfId="14127"/>
    <cellStyle name="Standaard 16 2 4" xfId="14128"/>
    <cellStyle name="Standaard 16 2 4 2" xfId="14129"/>
    <cellStyle name="Standaard 16 2 4 2 2" xfId="14130"/>
    <cellStyle name="Standaard 16 2 4 2 2 2" xfId="14131"/>
    <cellStyle name="Standaard 16 2 4 2 2 2 2" xfId="14132"/>
    <cellStyle name="Standaard 16 2 4 2 2 2 2 2" xfId="14133"/>
    <cellStyle name="Standaard 16 2 4 2 2 2 2 2 2" xfId="14134"/>
    <cellStyle name="Standaard 16 2 4 2 2 2 2 3" xfId="14135"/>
    <cellStyle name="Standaard 16 2 4 2 2 2 3" xfId="14136"/>
    <cellStyle name="Standaard 16 2 4 2 2 2 3 2" xfId="14137"/>
    <cellStyle name="Standaard 16 2 4 2 2 2 4" xfId="14138"/>
    <cellStyle name="Standaard 16 2 4 2 2 3" xfId="14139"/>
    <cellStyle name="Standaard 16 2 4 2 2 3 2" xfId="14140"/>
    <cellStyle name="Standaard 16 2 4 2 2 3 2 2" xfId="14141"/>
    <cellStyle name="Standaard 16 2 4 2 2 3 3" xfId="14142"/>
    <cellStyle name="Standaard 16 2 4 2 2 4" xfId="14143"/>
    <cellStyle name="Standaard 16 2 4 2 2 4 2" xfId="14144"/>
    <cellStyle name="Standaard 16 2 4 2 2 5" xfId="14145"/>
    <cellStyle name="Standaard 16 2 4 2 2 6" xfId="14146"/>
    <cellStyle name="Standaard 16 2 4 2 3" xfId="14147"/>
    <cellStyle name="Standaard 16 2 4 2 3 2" xfId="14148"/>
    <cellStyle name="Standaard 16 2 4 2 3 2 2" xfId="14149"/>
    <cellStyle name="Standaard 16 2 4 2 3 2 2 2" xfId="14150"/>
    <cellStyle name="Standaard 16 2 4 2 3 2 3" xfId="14151"/>
    <cellStyle name="Standaard 16 2 4 2 3 3" xfId="14152"/>
    <cellStyle name="Standaard 16 2 4 2 3 3 2" xfId="14153"/>
    <cellStyle name="Standaard 16 2 4 2 3 4" xfId="14154"/>
    <cellStyle name="Standaard 16 2 4 2 4" xfId="14155"/>
    <cellStyle name="Standaard 16 2 4 2 4 2" xfId="14156"/>
    <cellStyle name="Standaard 16 2 4 2 4 2 2" xfId="14157"/>
    <cellStyle name="Standaard 16 2 4 2 4 3" xfId="14158"/>
    <cellStyle name="Standaard 16 2 4 2 5" xfId="14159"/>
    <cellStyle name="Standaard 16 2 4 2 5 2" xfId="14160"/>
    <cellStyle name="Standaard 16 2 4 2 6" xfId="14161"/>
    <cellStyle name="Standaard 16 2 4 2 7" xfId="14162"/>
    <cellStyle name="Standaard 16 2 4 3" xfId="14163"/>
    <cellStyle name="Standaard 16 2 4 3 2" xfId="14164"/>
    <cellStyle name="Standaard 16 2 4 3 2 2" xfId="14165"/>
    <cellStyle name="Standaard 16 2 4 3 2 2 2" xfId="14166"/>
    <cellStyle name="Standaard 16 2 4 3 2 2 2 2" xfId="14167"/>
    <cellStyle name="Standaard 16 2 4 3 2 2 3" xfId="14168"/>
    <cellStyle name="Standaard 16 2 4 3 2 3" xfId="14169"/>
    <cellStyle name="Standaard 16 2 4 3 2 3 2" xfId="14170"/>
    <cellStyle name="Standaard 16 2 4 3 2 4" xfId="14171"/>
    <cellStyle name="Standaard 16 2 4 3 3" xfId="14172"/>
    <cellStyle name="Standaard 16 2 4 3 3 2" xfId="14173"/>
    <cellStyle name="Standaard 16 2 4 3 3 2 2" xfId="14174"/>
    <cellStyle name="Standaard 16 2 4 3 3 3" xfId="14175"/>
    <cellStyle name="Standaard 16 2 4 3 4" xfId="14176"/>
    <cellStyle name="Standaard 16 2 4 3 4 2" xfId="14177"/>
    <cellStyle name="Standaard 16 2 4 3 5" xfId="14178"/>
    <cellStyle name="Standaard 16 2 4 3 6" xfId="14179"/>
    <cellStyle name="Standaard 16 2 4 4" xfId="14180"/>
    <cellStyle name="Standaard 16 2 4 4 2" xfId="14181"/>
    <cellStyle name="Standaard 16 2 4 4 2 2" xfId="14182"/>
    <cellStyle name="Standaard 16 2 4 4 2 2 2" xfId="14183"/>
    <cellStyle name="Standaard 16 2 4 4 2 3" xfId="14184"/>
    <cellStyle name="Standaard 16 2 4 4 3" xfId="14185"/>
    <cellStyle name="Standaard 16 2 4 4 3 2" xfId="14186"/>
    <cellStyle name="Standaard 16 2 4 4 4" xfId="14187"/>
    <cellStyle name="Standaard 16 2 4 5" xfId="14188"/>
    <cellStyle name="Standaard 16 2 4 5 2" xfId="14189"/>
    <cellStyle name="Standaard 16 2 4 5 2 2" xfId="14190"/>
    <cellStyle name="Standaard 16 2 4 5 3" xfId="14191"/>
    <cellStyle name="Standaard 16 2 4 6" xfId="14192"/>
    <cellStyle name="Standaard 16 2 4 6 2" xfId="14193"/>
    <cellStyle name="Standaard 16 2 4 7" xfId="14194"/>
    <cellStyle name="Standaard 16 2 4 8" xfId="14195"/>
    <cellStyle name="Standaard 16 2 5" xfId="14196"/>
    <cellStyle name="Standaard 16 2 5 2" xfId="14197"/>
    <cellStyle name="Standaard 16 2 5 2 2" xfId="14198"/>
    <cellStyle name="Standaard 16 2 5 2 2 2" xfId="14199"/>
    <cellStyle name="Standaard 16 2 5 2 2 2 2" xfId="14200"/>
    <cellStyle name="Standaard 16 2 5 2 2 2 2 2" xfId="14201"/>
    <cellStyle name="Standaard 16 2 5 2 2 2 2 2 2" xfId="14202"/>
    <cellStyle name="Standaard 16 2 5 2 2 2 2 3" xfId="14203"/>
    <cellStyle name="Standaard 16 2 5 2 2 2 3" xfId="14204"/>
    <cellStyle name="Standaard 16 2 5 2 2 2 3 2" xfId="14205"/>
    <cellStyle name="Standaard 16 2 5 2 2 2 4" xfId="14206"/>
    <cellStyle name="Standaard 16 2 5 2 2 3" xfId="14207"/>
    <cellStyle name="Standaard 16 2 5 2 2 3 2" xfId="14208"/>
    <cellStyle name="Standaard 16 2 5 2 2 3 2 2" xfId="14209"/>
    <cellStyle name="Standaard 16 2 5 2 2 3 3" xfId="14210"/>
    <cellStyle name="Standaard 16 2 5 2 2 4" xfId="14211"/>
    <cellStyle name="Standaard 16 2 5 2 2 4 2" xfId="14212"/>
    <cellStyle name="Standaard 16 2 5 2 2 5" xfId="14213"/>
    <cellStyle name="Standaard 16 2 5 2 2 6" xfId="14214"/>
    <cellStyle name="Standaard 16 2 5 2 3" xfId="14215"/>
    <cellStyle name="Standaard 16 2 5 2 3 2" xfId="14216"/>
    <cellStyle name="Standaard 16 2 5 2 3 2 2" xfId="14217"/>
    <cellStyle name="Standaard 16 2 5 2 3 2 2 2" xfId="14218"/>
    <cellStyle name="Standaard 16 2 5 2 3 2 3" xfId="14219"/>
    <cellStyle name="Standaard 16 2 5 2 3 3" xfId="14220"/>
    <cellStyle name="Standaard 16 2 5 2 3 3 2" xfId="14221"/>
    <cellStyle name="Standaard 16 2 5 2 3 4" xfId="14222"/>
    <cellStyle name="Standaard 16 2 5 2 4" xfId="14223"/>
    <cellStyle name="Standaard 16 2 5 2 4 2" xfId="14224"/>
    <cellStyle name="Standaard 16 2 5 2 4 2 2" xfId="14225"/>
    <cellStyle name="Standaard 16 2 5 2 4 3" xfId="14226"/>
    <cellStyle name="Standaard 16 2 5 2 5" xfId="14227"/>
    <cellStyle name="Standaard 16 2 5 2 5 2" xfId="14228"/>
    <cellStyle name="Standaard 16 2 5 2 6" xfId="14229"/>
    <cellStyle name="Standaard 16 2 5 2 7" xfId="14230"/>
    <cellStyle name="Standaard 16 2 5 3" xfId="14231"/>
    <cellStyle name="Standaard 16 2 5 3 2" xfId="14232"/>
    <cellStyle name="Standaard 16 2 5 3 2 2" xfId="14233"/>
    <cellStyle name="Standaard 16 2 5 3 2 2 2" xfId="14234"/>
    <cellStyle name="Standaard 16 2 5 3 2 2 2 2" xfId="14235"/>
    <cellStyle name="Standaard 16 2 5 3 2 2 3" xfId="14236"/>
    <cellStyle name="Standaard 16 2 5 3 2 3" xfId="14237"/>
    <cellStyle name="Standaard 16 2 5 3 2 3 2" xfId="14238"/>
    <cellStyle name="Standaard 16 2 5 3 2 4" xfId="14239"/>
    <cellStyle name="Standaard 16 2 5 3 3" xfId="14240"/>
    <cellStyle name="Standaard 16 2 5 3 3 2" xfId="14241"/>
    <cellStyle name="Standaard 16 2 5 3 3 2 2" xfId="14242"/>
    <cellStyle name="Standaard 16 2 5 3 3 3" xfId="14243"/>
    <cellStyle name="Standaard 16 2 5 3 4" xfId="14244"/>
    <cellStyle name="Standaard 16 2 5 3 4 2" xfId="14245"/>
    <cellStyle name="Standaard 16 2 5 3 5" xfId="14246"/>
    <cellStyle name="Standaard 16 2 5 3 6" xfId="14247"/>
    <cellStyle name="Standaard 16 2 5 4" xfId="14248"/>
    <cellStyle name="Standaard 16 2 5 4 2" xfId="14249"/>
    <cellStyle name="Standaard 16 2 5 4 2 2" xfId="14250"/>
    <cellStyle name="Standaard 16 2 5 4 2 2 2" xfId="14251"/>
    <cellStyle name="Standaard 16 2 5 4 2 3" xfId="14252"/>
    <cellStyle name="Standaard 16 2 5 4 3" xfId="14253"/>
    <cellStyle name="Standaard 16 2 5 4 3 2" xfId="14254"/>
    <cellStyle name="Standaard 16 2 5 4 4" xfId="14255"/>
    <cellStyle name="Standaard 16 2 5 5" xfId="14256"/>
    <cellStyle name="Standaard 16 2 5 5 2" xfId="14257"/>
    <cellStyle name="Standaard 16 2 5 5 2 2" xfId="14258"/>
    <cellStyle name="Standaard 16 2 5 5 3" xfId="14259"/>
    <cellStyle name="Standaard 16 2 5 6" xfId="14260"/>
    <cellStyle name="Standaard 16 2 5 6 2" xfId="14261"/>
    <cellStyle name="Standaard 16 2 5 7" xfId="14262"/>
    <cellStyle name="Standaard 16 2 5 8" xfId="14263"/>
    <cellStyle name="Standaard 16 2 6" xfId="14264"/>
    <cellStyle name="Standaard 16 2 6 2" xfId="14265"/>
    <cellStyle name="Standaard 16 2 6 2 2" xfId="14266"/>
    <cellStyle name="Standaard 16 2 6 2 2 2" xfId="14267"/>
    <cellStyle name="Standaard 16 2 6 2 2 2 2" xfId="14268"/>
    <cellStyle name="Standaard 16 2 6 2 2 2 2 2" xfId="14269"/>
    <cellStyle name="Standaard 16 2 6 2 2 2 3" xfId="14270"/>
    <cellStyle name="Standaard 16 2 6 2 2 3" xfId="14271"/>
    <cellStyle name="Standaard 16 2 6 2 2 3 2" xfId="14272"/>
    <cellStyle name="Standaard 16 2 6 2 2 4" xfId="14273"/>
    <cellStyle name="Standaard 16 2 6 2 3" xfId="14274"/>
    <cellStyle name="Standaard 16 2 6 2 3 2" xfId="14275"/>
    <cellStyle name="Standaard 16 2 6 2 3 2 2" xfId="14276"/>
    <cellStyle name="Standaard 16 2 6 2 3 3" xfId="14277"/>
    <cellStyle name="Standaard 16 2 6 2 4" xfId="14278"/>
    <cellStyle name="Standaard 16 2 6 2 4 2" xfId="14279"/>
    <cellStyle name="Standaard 16 2 6 2 5" xfId="14280"/>
    <cellStyle name="Standaard 16 2 6 2 6" xfId="14281"/>
    <cellStyle name="Standaard 16 2 6 3" xfId="14282"/>
    <cellStyle name="Standaard 16 2 6 3 2" xfId="14283"/>
    <cellStyle name="Standaard 16 2 6 3 2 2" xfId="14284"/>
    <cellStyle name="Standaard 16 2 6 3 2 2 2" xfId="14285"/>
    <cellStyle name="Standaard 16 2 6 3 2 3" xfId="14286"/>
    <cellStyle name="Standaard 16 2 6 3 3" xfId="14287"/>
    <cellStyle name="Standaard 16 2 6 3 3 2" xfId="14288"/>
    <cellStyle name="Standaard 16 2 6 3 4" xfId="14289"/>
    <cellStyle name="Standaard 16 2 6 4" xfId="14290"/>
    <cellStyle name="Standaard 16 2 6 4 2" xfId="14291"/>
    <cellStyle name="Standaard 16 2 6 4 2 2" xfId="14292"/>
    <cellStyle name="Standaard 16 2 6 4 3" xfId="14293"/>
    <cellStyle name="Standaard 16 2 6 5" xfId="14294"/>
    <cellStyle name="Standaard 16 2 6 5 2" xfId="14295"/>
    <cellStyle name="Standaard 16 2 6 6" xfId="14296"/>
    <cellStyle name="Standaard 16 2 6 7" xfId="14297"/>
    <cellStyle name="Standaard 16 2 7" xfId="14298"/>
    <cellStyle name="Standaard 16 2 7 2" xfId="14299"/>
    <cellStyle name="Standaard 16 2 7 2 2" xfId="14300"/>
    <cellStyle name="Standaard 16 2 7 2 2 2" xfId="14301"/>
    <cellStyle name="Standaard 16 2 7 2 2 2 2" xfId="14302"/>
    <cellStyle name="Standaard 16 2 7 2 2 3" xfId="14303"/>
    <cellStyle name="Standaard 16 2 7 2 3" xfId="14304"/>
    <cellStyle name="Standaard 16 2 7 2 3 2" xfId="14305"/>
    <cellStyle name="Standaard 16 2 7 2 4" xfId="14306"/>
    <cellStyle name="Standaard 16 2 7 3" xfId="14307"/>
    <cellStyle name="Standaard 16 2 7 3 2" xfId="14308"/>
    <cellStyle name="Standaard 16 2 7 3 2 2" xfId="14309"/>
    <cellStyle name="Standaard 16 2 7 3 3" xfId="14310"/>
    <cellStyle name="Standaard 16 2 7 4" xfId="14311"/>
    <cellStyle name="Standaard 16 2 7 4 2" xfId="14312"/>
    <cellStyle name="Standaard 16 2 7 5" xfId="14313"/>
    <cellStyle name="Standaard 16 2 7 6" xfId="14314"/>
    <cellStyle name="Standaard 16 2 8" xfId="14315"/>
    <cellStyle name="Standaard 16 2 8 2" xfId="14316"/>
    <cellStyle name="Standaard 16 2 8 2 2" xfId="14317"/>
    <cellStyle name="Standaard 16 2 8 2 2 2" xfId="14318"/>
    <cellStyle name="Standaard 16 2 8 2 3" xfId="14319"/>
    <cellStyle name="Standaard 16 2 8 3" xfId="14320"/>
    <cellStyle name="Standaard 16 2 8 3 2" xfId="14321"/>
    <cellStyle name="Standaard 16 2 8 4" xfId="14322"/>
    <cellStyle name="Standaard 16 2 9" xfId="14323"/>
    <cellStyle name="Standaard 16 2 9 2" xfId="14324"/>
    <cellStyle name="Standaard 16 2 9 2 2" xfId="14325"/>
    <cellStyle name="Standaard 16 2 9 3" xfId="14326"/>
    <cellStyle name="Standaard 16 3" xfId="14327"/>
    <cellStyle name="Standaard 16 3 10" xfId="14328"/>
    <cellStyle name="Standaard 16 3 11" xfId="14329"/>
    <cellStyle name="Standaard 16 3 2" xfId="14330"/>
    <cellStyle name="Standaard 16 3 2 2" xfId="14331"/>
    <cellStyle name="Standaard 16 3 2 2 2" xfId="14332"/>
    <cellStyle name="Standaard 16 3 2 2 2 2" xfId="14333"/>
    <cellStyle name="Standaard 16 3 2 2 2 2 2" xfId="14334"/>
    <cellStyle name="Standaard 16 3 2 2 2 2 2 2" xfId="14335"/>
    <cellStyle name="Standaard 16 3 2 2 2 2 2 2 2" xfId="14336"/>
    <cellStyle name="Standaard 16 3 2 2 2 2 2 2 2 2" xfId="14337"/>
    <cellStyle name="Standaard 16 3 2 2 2 2 2 2 3" xfId="14338"/>
    <cellStyle name="Standaard 16 3 2 2 2 2 2 3" xfId="14339"/>
    <cellStyle name="Standaard 16 3 2 2 2 2 2 3 2" xfId="14340"/>
    <cellStyle name="Standaard 16 3 2 2 2 2 2 4" xfId="14341"/>
    <cellStyle name="Standaard 16 3 2 2 2 2 3" xfId="14342"/>
    <cellStyle name="Standaard 16 3 2 2 2 2 3 2" xfId="14343"/>
    <cellStyle name="Standaard 16 3 2 2 2 2 3 2 2" xfId="14344"/>
    <cellStyle name="Standaard 16 3 2 2 2 2 3 3" xfId="14345"/>
    <cellStyle name="Standaard 16 3 2 2 2 2 4" xfId="14346"/>
    <cellStyle name="Standaard 16 3 2 2 2 2 4 2" xfId="14347"/>
    <cellStyle name="Standaard 16 3 2 2 2 2 5" xfId="14348"/>
    <cellStyle name="Standaard 16 3 2 2 2 2 6" xfId="14349"/>
    <cellStyle name="Standaard 16 3 2 2 2 3" xfId="14350"/>
    <cellStyle name="Standaard 16 3 2 2 2 3 2" xfId="14351"/>
    <cellStyle name="Standaard 16 3 2 2 2 3 2 2" xfId="14352"/>
    <cellStyle name="Standaard 16 3 2 2 2 3 2 2 2" xfId="14353"/>
    <cellStyle name="Standaard 16 3 2 2 2 3 2 3" xfId="14354"/>
    <cellStyle name="Standaard 16 3 2 2 2 3 3" xfId="14355"/>
    <cellStyle name="Standaard 16 3 2 2 2 3 3 2" xfId="14356"/>
    <cellStyle name="Standaard 16 3 2 2 2 3 4" xfId="14357"/>
    <cellStyle name="Standaard 16 3 2 2 2 4" xfId="14358"/>
    <cellStyle name="Standaard 16 3 2 2 2 4 2" xfId="14359"/>
    <cellStyle name="Standaard 16 3 2 2 2 4 2 2" xfId="14360"/>
    <cellStyle name="Standaard 16 3 2 2 2 4 3" xfId="14361"/>
    <cellStyle name="Standaard 16 3 2 2 2 5" xfId="14362"/>
    <cellStyle name="Standaard 16 3 2 2 2 5 2" xfId="14363"/>
    <cellStyle name="Standaard 16 3 2 2 2 6" xfId="14364"/>
    <cellStyle name="Standaard 16 3 2 2 2 7" xfId="14365"/>
    <cellStyle name="Standaard 16 3 2 2 3" xfId="14366"/>
    <cellStyle name="Standaard 16 3 2 2 3 2" xfId="14367"/>
    <cellStyle name="Standaard 16 3 2 2 3 2 2" xfId="14368"/>
    <cellStyle name="Standaard 16 3 2 2 3 2 2 2" xfId="14369"/>
    <cellStyle name="Standaard 16 3 2 2 3 2 2 2 2" xfId="14370"/>
    <cellStyle name="Standaard 16 3 2 2 3 2 2 3" xfId="14371"/>
    <cellStyle name="Standaard 16 3 2 2 3 2 3" xfId="14372"/>
    <cellStyle name="Standaard 16 3 2 2 3 2 3 2" xfId="14373"/>
    <cellStyle name="Standaard 16 3 2 2 3 2 4" xfId="14374"/>
    <cellStyle name="Standaard 16 3 2 2 3 3" xfId="14375"/>
    <cellStyle name="Standaard 16 3 2 2 3 3 2" xfId="14376"/>
    <cellStyle name="Standaard 16 3 2 2 3 3 2 2" xfId="14377"/>
    <cellStyle name="Standaard 16 3 2 2 3 3 3" xfId="14378"/>
    <cellStyle name="Standaard 16 3 2 2 3 4" xfId="14379"/>
    <cellStyle name="Standaard 16 3 2 2 3 4 2" xfId="14380"/>
    <cellStyle name="Standaard 16 3 2 2 3 5" xfId="14381"/>
    <cellStyle name="Standaard 16 3 2 2 3 6" xfId="14382"/>
    <cellStyle name="Standaard 16 3 2 2 4" xfId="14383"/>
    <cellStyle name="Standaard 16 3 2 2 4 2" xfId="14384"/>
    <cellStyle name="Standaard 16 3 2 2 4 2 2" xfId="14385"/>
    <cellStyle name="Standaard 16 3 2 2 4 2 2 2" xfId="14386"/>
    <cellStyle name="Standaard 16 3 2 2 4 2 3" xfId="14387"/>
    <cellStyle name="Standaard 16 3 2 2 4 3" xfId="14388"/>
    <cellStyle name="Standaard 16 3 2 2 4 3 2" xfId="14389"/>
    <cellStyle name="Standaard 16 3 2 2 4 4" xfId="14390"/>
    <cellStyle name="Standaard 16 3 2 2 5" xfId="14391"/>
    <cellStyle name="Standaard 16 3 2 2 5 2" xfId="14392"/>
    <cellStyle name="Standaard 16 3 2 2 5 2 2" xfId="14393"/>
    <cellStyle name="Standaard 16 3 2 2 5 3" xfId="14394"/>
    <cellStyle name="Standaard 16 3 2 2 6" xfId="14395"/>
    <cellStyle name="Standaard 16 3 2 2 6 2" xfId="14396"/>
    <cellStyle name="Standaard 16 3 2 2 7" xfId="14397"/>
    <cellStyle name="Standaard 16 3 2 2 8" xfId="14398"/>
    <cellStyle name="Standaard 16 3 2 3" xfId="14399"/>
    <cellStyle name="Standaard 16 3 2 3 2" xfId="14400"/>
    <cellStyle name="Standaard 16 3 2 3 2 2" xfId="14401"/>
    <cellStyle name="Standaard 16 3 2 3 2 2 2" xfId="14402"/>
    <cellStyle name="Standaard 16 3 2 3 2 2 2 2" xfId="14403"/>
    <cellStyle name="Standaard 16 3 2 3 2 2 2 2 2" xfId="14404"/>
    <cellStyle name="Standaard 16 3 2 3 2 2 2 3" xfId="14405"/>
    <cellStyle name="Standaard 16 3 2 3 2 2 3" xfId="14406"/>
    <cellStyle name="Standaard 16 3 2 3 2 2 3 2" xfId="14407"/>
    <cellStyle name="Standaard 16 3 2 3 2 2 4" xfId="14408"/>
    <cellStyle name="Standaard 16 3 2 3 2 3" xfId="14409"/>
    <cellStyle name="Standaard 16 3 2 3 2 3 2" xfId="14410"/>
    <cellStyle name="Standaard 16 3 2 3 2 3 2 2" xfId="14411"/>
    <cellStyle name="Standaard 16 3 2 3 2 3 3" xfId="14412"/>
    <cellStyle name="Standaard 16 3 2 3 2 4" xfId="14413"/>
    <cellStyle name="Standaard 16 3 2 3 2 4 2" xfId="14414"/>
    <cellStyle name="Standaard 16 3 2 3 2 5" xfId="14415"/>
    <cellStyle name="Standaard 16 3 2 3 2 6" xfId="14416"/>
    <cellStyle name="Standaard 16 3 2 3 3" xfId="14417"/>
    <cellStyle name="Standaard 16 3 2 3 3 2" xfId="14418"/>
    <cellStyle name="Standaard 16 3 2 3 3 2 2" xfId="14419"/>
    <cellStyle name="Standaard 16 3 2 3 3 2 2 2" xfId="14420"/>
    <cellStyle name="Standaard 16 3 2 3 3 2 3" xfId="14421"/>
    <cellStyle name="Standaard 16 3 2 3 3 3" xfId="14422"/>
    <cellStyle name="Standaard 16 3 2 3 3 3 2" xfId="14423"/>
    <cellStyle name="Standaard 16 3 2 3 3 4" xfId="14424"/>
    <cellStyle name="Standaard 16 3 2 3 4" xfId="14425"/>
    <cellStyle name="Standaard 16 3 2 3 4 2" xfId="14426"/>
    <cellStyle name="Standaard 16 3 2 3 4 2 2" xfId="14427"/>
    <cellStyle name="Standaard 16 3 2 3 4 3" xfId="14428"/>
    <cellStyle name="Standaard 16 3 2 3 5" xfId="14429"/>
    <cellStyle name="Standaard 16 3 2 3 5 2" xfId="14430"/>
    <cellStyle name="Standaard 16 3 2 3 6" xfId="14431"/>
    <cellStyle name="Standaard 16 3 2 3 7" xfId="14432"/>
    <cellStyle name="Standaard 16 3 2 4" xfId="14433"/>
    <cellStyle name="Standaard 16 3 2 4 2" xfId="14434"/>
    <cellStyle name="Standaard 16 3 2 4 2 2" xfId="14435"/>
    <cellStyle name="Standaard 16 3 2 4 2 2 2" xfId="14436"/>
    <cellStyle name="Standaard 16 3 2 4 2 2 2 2" xfId="14437"/>
    <cellStyle name="Standaard 16 3 2 4 2 2 3" xfId="14438"/>
    <cellStyle name="Standaard 16 3 2 4 2 3" xfId="14439"/>
    <cellStyle name="Standaard 16 3 2 4 2 3 2" xfId="14440"/>
    <cellStyle name="Standaard 16 3 2 4 2 4" xfId="14441"/>
    <cellStyle name="Standaard 16 3 2 4 3" xfId="14442"/>
    <cellStyle name="Standaard 16 3 2 4 3 2" xfId="14443"/>
    <cellStyle name="Standaard 16 3 2 4 3 2 2" xfId="14444"/>
    <cellStyle name="Standaard 16 3 2 4 3 3" xfId="14445"/>
    <cellStyle name="Standaard 16 3 2 4 4" xfId="14446"/>
    <cellStyle name="Standaard 16 3 2 4 4 2" xfId="14447"/>
    <cellStyle name="Standaard 16 3 2 4 5" xfId="14448"/>
    <cellStyle name="Standaard 16 3 2 4 6" xfId="14449"/>
    <cellStyle name="Standaard 16 3 2 5" xfId="14450"/>
    <cellStyle name="Standaard 16 3 2 5 2" xfId="14451"/>
    <cellStyle name="Standaard 16 3 2 5 2 2" xfId="14452"/>
    <cellStyle name="Standaard 16 3 2 5 2 2 2" xfId="14453"/>
    <cellStyle name="Standaard 16 3 2 5 2 3" xfId="14454"/>
    <cellStyle name="Standaard 16 3 2 5 3" xfId="14455"/>
    <cellStyle name="Standaard 16 3 2 5 3 2" xfId="14456"/>
    <cellStyle name="Standaard 16 3 2 5 4" xfId="14457"/>
    <cellStyle name="Standaard 16 3 2 6" xfId="14458"/>
    <cellStyle name="Standaard 16 3 2 6 2" xfId="14459"/>
    <cellStyle name="Standaard 16 3 2 6 2 2" xfId="14460"/>
    <cellStyle name="Standaard 16 3 2 6 3" xfId="14461"/>
    <cellStyle name="Standaard 16 3 2 7" xfId="14462"/>
    <cellStyle name="Standaard 16 3 2 7 2" xfId="14463"/>
    <cellStyle name="Standaard 16 3 2 8" xfId="14464"/>
    <cellStyle name="Standaard 16 3 2 9" xfId="14465"/>
    <cellStyle name="Standaard 16 3 3" xfId="14466"/>
    <cellStyle name="Standaard 16 3 3 2" xfId="14467"/>
    <cellStyle name="Standaard 16 3 3 2 2" xfId="14468"/>
    <cellStyle name="Standaard 16 3 3 2 2 2" xfId="14469"/>
    <cellStyle name="Standaard 16 3 3 2 2 2 2" xfId="14470"/>
    <cellStyle name="Standaard 16 3 3 2 2 2 2 2" xfId="14471"/>
    <cellStyle name="Standaard 16 3 3 2 2 2 2 2 2" xfId="14472"/>
    <cellStyle name="Standaard 16 3 3 2 2 2 2 3" xfId="14473"/>
    <cellStyle name="Standaard 16 3 3 2 2 2 3" xfId="14474"/>
    <cellStyle name="Standaard 16 3 3 2 2 2 3 2" xfId="14475"/>
    <cellStyle name="Standaard 16 3 3 2 2 2 4" xfId="14476"/>
    <cellStyle name="Standaard 16 3 3 2 2 3" xfId="14477"/>
    <cellStyle name="Standaard 16 3 3 2 2 3 2" xfId="14478"/>
    <cellStyle name="Standaard 16 3 3 2 2 3 2 2" xfId="14479"/>
    <cellStyle name="Standaard 16 3 3 2 2 3 3" xfId="14480"/>
    <cellStyle name="Standaard 16 3 3 2 2 4" xfId="14481"/>
    <cellStyle name="Standaard 16 3 3 2 2 4 2" xfId="14482"/>
    <cellStyle name="Standaard 16 3 3 2 2 5" xfId="14483"/>
    <cellStyle name="Standaard 16 3 3 2 2 6" xfId="14484"/>
    <cellStyle name="Standaard 16 3 3 2 3" xfId="14485"/>
    <cellStyle name="Standaard 16 3 3 2 3 2" xfId="14486"/>
    <cellStyle name="Standaard 16 3 3 2 3 2 2" xfId="14487"/>
    <cellStyle name="Standaard 16 3 3 2 3 2 2 2" xfId="14488"/>
    <cellStyle name="Standaard 16 3 3 2 3 2 3" xfId="14489"/>
    <cellStyle name="Standaard 16 3 3 2 3 3" xfId="14490"/>
    <cellStyle name="Standaard 16 3 3 2 3 3 2" xfId="14491"/>
    <cellStyle name="Standaard 16 3 3 2 3 4" xfId="14492"/>
    <cellStyle name="Standaard 16 3 3 2 4" xfId="14493"/>
    <cellStyle name="Standaard 16 3 3 2 4 2" xfId="14494"/>
    <cellStyle name="Standaard 16 3 3 2 4 2 2" xfId="14495"/>
    <cellStyle name="Standaard 16 3 3 2 4 3" xfId="14496"/>
    <cellStyle name="Standaard 16 3 3 2 5" xfId="14497"/>
    <cellStyle name="Standaard 16 3 3 2 5 2" xfId="14498"/>
    <cellStyle name="Standaard 16 3 3 2 6" xfId="14499"/>
    <cellStyle name="Standaard 16 3 3 2 7" xfId="14500"/>
    <cellStyle name="Standaard 16 3 3 3" xfId="14501"/>
    <cellStyle name="Standaard 16 3 3 3 2" xfId="14502"/>
    <cellStyle name="Standaard 16 3 3 3 2 2" xfId="14503"/>
    <cellStyle name="Standaard 16 3 3 3 2 2 2" xfId="14504"/>
    <cellStyle name="Standaard 16 3 3 3 2 2 2 2" xfId="14505"/>
    <cellStyle name="Standaard 16 3 3 3 2 2 3" xfId="14506"/>
    <cellStyle name="Standaard 16 3 3 3 2 3" xfId="14507"/>
    <cellStyle name="Standaard 16 3 3 3 2 3 2" xfId="14508"/>
    <cellStyle name="Standaard 16 3 3 3 2 4" xfId="14509"/>
    <cellStyle name="Standaard 16 3 3 3 3" xfId="14510"/>
    <cellStyle name="Standaard 16 3 3 3 3 2" xfId="14511"/>
    <cellStyle name="Standaard 16 3 3 3 3 2 2" xfId="14512"/>
    <cellStyle name="Standaard 16 3 3 3 3 3" xfId="14513"/>
    <cellStyle name="Standaard 16 3 3 3 4" xfId="14514"/>
    <cellStyle name="Standaard 16 3 3 3 4 2" xfId="14515"/>
    <cellStyle name="Standaard 16 3 3 3 5" xfId="14516"/>
    <cellStyle name="Standaard 16 3 3 3 6" xfId="14517"/>
    <cellStyle name="Standaard 16 3 3 4" xfId="14518"/>
    <cellStyle name="Standaard 16 3 3 4 2" xfId="14519"/>
    <cellStyle name="Standaard 16 3 3 4 2 2" xfId="14520"/>
    <cellStyle name="Standaard 16 3 3 4 2 2 2" xfId="14521"/>
    <cellStyle name="Standaard 16 3 3 4 2 3" xfId="14522"/>
    <cellStyle name="Standaard 16 3 3 4 3" xfId="14523"/>
    <cellStyle name="Standaard 16 3 3 4 3 2" xfId="14524"/>
    <cellStyle name="Standaard 16 3 3 4 4" xfId="14525"/>
    <cellStyle name="Standaard 16 3 3 5" xfId="14526"/>
    <cellStyle name="Standaard 16 3 3 5 2" xfId="14527"/>
    <cellStyle name="Standaard 16 3 3 5 2 2" xfId="14528"/>
    <cellStyle name="Standaard 16 3 3 5 3" xfId="14529"/>
    <cellStyle name="Standaard 16 3 3 6" xfId="14530"/>
    <cellStyle name="Standaard 16 3 3 6 2" xfId="14531"/>
    <cellStyle name="Standaard 16 3 3 7" xfId="14532"/>
    <cellStyle name="Standaard 16 3 3 8" xfId="14533"/>
    <cellStyle name="Standaard 16 3 4" xfId="14534"/>
    <cellStyle name="Standaard 16 3 4 2" xfId="14535"/>
    <cellStyle name="Standaard 16 3 4 2 2" xfId="14536"/>
    <cellStyle name="Standaard 16 3 4 2 2 2" xfId="14537"/>
    <cellStyle name="Standaard 16 3 4 2 2 2 2" xfId="14538"/>
    <cellStyle name="Standaard 16 3 4 2 2 2 2 2" xfId="14539"/>
    <cellStyle name="Standaard 16 3 4 2 2 2 2 2 2" xfId="14540"/>
    <cellStyle name="Standaard 16 3 4 2 2 2 2 3" xfId="14541"/>
    <cellStyle name="Standaard 16 3 4 2 2 2 3" xfId="14542"/>
    <cellStyle name="Standaard 16 3 4 2 2 2 3 2" xfId="14543"/>
    <cellStyle name="Standaard 16 3 4 2 2 2 4" xfId="14544"/>
    <cellStyle name="Standaard 16 3 4 2 2 3" xfId="14545"/>
    <cellStyle name="Standaard 16 3 4 2 2 3 2" xfId="14546"/>
    <cellStyle name="Standaard 16 3 4 2 2 3 2 2" xfId="14547"/>
    <cellStyle name="Standaard 16 3 4 2 2 3 3" xfId="14548"/>
    <cellStyle name="Standaard 16 3 4 2 2 4" xfId="14549"/>
    <cellStyle name="Standaard 16 3 4 2 2 4 2" xfId="14550"/>
    <cellStyle name="Standaard 16 3 4 2 2 5" xfId="14551"/>
    <cellStyle name="Standaard 16 3 4 2 2 6" xfId="14552"/>
    <cellStyle name="Standaard 16 3 4 2 3" xfId="14553"/>
    <cellStyle name="Standaard 16 3 4 2 3 2" xfId="14554"/>
    <cellStyle name="Standaard 16 3 4 2 3 2 2" xfId="14555"/>
    <cellStyle name="Standaard 16 3 4 2 3 2 2 2" xfId="14556"/>
    <cellStyle name="Standaard 16 3 4 2 3 2 3" xfId="14557"/>
    <cellStyle name="Standaard 16 3 4 2 3 3" xfId="14558"/>
    <cellStyle name="Standaard 16 3 4 2 3 3 2" xfId="14559"/>
    <cellStyle name="Standaard 16 3 4 2 3 4" xfId="14560"/>
    <cellStyle name="Standaard 16 3 4 2 4" xfId="14561"/>
    <cellStyle name="Standaard 16 3 4 2 4 2" xfId="14562"/>
    <cellStyle name="Standaard 16 3 4 2 4 2 2" xfId="14563"/>
    <cellStyle name="Standaard 16 3 4 2 4 3" xfId="14564"/>
    <cellStyle name="Standaard 16 3 4 2 5" xfId="14565"/>
    <cellStyle name="Standaard 16 3 4 2 5 2" xfId="14566"/>
    <cellStyle name="Standaard 16 3 4 2 6" xfId="14567"/>
    <cellStyle name="Standaard 16 3 4 2 7" xfId="14568"/>
    <cellStyle name="Standaard 16 3 4 3" xfId="14569"/>
    <cellStyle name="Standaard 16 3 4 3 2" xfId="14570"/>
    <cellStyle name="Standaard 16 3 4 3 2 2" xfId="14571"/>
    <cellStyle name="Standaard 16 3 4 3 2 2 2" xfId="14572"/>
    <cellStyle name="Standaard 16 3 4 3 2 2 2 2" xfId="14573"/>
    <cellStyle name="Standaard 16 3 4 3 2 2 3" xfId="14574"/>
    <cellStyle name="Standaard 16 3 4 3 2 3" xfId="14575"/>
    <cellStyle name="Standaard 16 3 4 3 2 3 2" xfId="14576"/>
    <cellStyle name="Standaard 16 3 4 3 2 4" xfId="14577"/>
    <cellStyle name="Standaard 16 3 4 3 3" xfId="14578"/>
    <cellStyle name="Standaard 16 3 4 3 3 2" xfId="14579"/>
    <cellStyle name="Standaard 16 3 4 3 3 2 2" xfId="14580"/>
    <cellStyle name="Standaard 16 3 4 3 3 3" xfId="14581"/>
    <cellStyle name="Standaard 16 3 4 3 4" xfId="14582"/>
    <cellStyle name="Standaard 16 3 4 3 4 2" xfId="14583"/>
    <cellStyle name="Standaard 16 3 4 3 5" xfId="14584"/>
    <cellStyle name="Standaard 16 3 4 3 6" xfId="14585"/>
    <cellStyle name="Standaard 16 3 4 4" xfId="14586"/>
    <cellStyle name="Standaard 16 3 4 4 2" xfId="14587"/>
    <cellStyle name="Standaard 16 3 4 4 2 2" xfId="14588"/>
    <cellStyle name="Standaard 16 3 4 4 2 2 2" xfId="14589"/>
    <cellStyle name="Standaard 16 3 4 4 2 3" xfId="14590"/>
    <cellStyle name="Standaard 16 3 4 4 3" xfId="14591"/>
    <cellStyle name="Standaard 16 3 4 4 3 2" xfId="14592"/>
    <cellStyle name="Standaard 16 3 4 4 4" xfId="14593"/>
    <cellStyle name="Standaard 16 3 4 5" xfId="14594"/>
    <cellStyle name="Standaard 16 3 4 5 2" xfId="14595"/>
    <cellStyle name="Standaard 16 3 4 5 2 2" xfId="14596"/>
    <cellStyle name="Standaard 16 3 4 5 3" xfId="14597"/>
    <cellStyle name="Standaard 16 3 4 6" xfId="14598"/>
    <cellStyle name="Standaard 16 3 4 6 2" xfId="14599"/>
    <cellStyle name="Standaard 16 3 4 7" xfId="14600"/>
    <cellStyle name="Standaard 16 3 4 8" xfId="14601"/>
    <cellStyle name="Standaard 16 3 5" xfId="14602"/>
    <cellStyle name="Standaard 16 3 5 2" xfId="14603"/>
    <cellStyle name="Standaard 16 3 5 2 2" xfId="14604"/>
    <cellStyle name="Standaard 16 3 5 2 2 2" xfId="14605"/>
    <cellStyle name="Standaard 16 3 5 2 2 2 2" xfId="14606"/>
    <cellStyle name="Standaard 16 3 5 2 2 2 2 2" xfId="14607"/>
    <cellStyle name="Standaard 16 3 5 2 2 2 3" xfId="14608"/>
    <cellStyle name="Standaard 16 3 5 2 2 3" xfId="14609"/>
    <cellStyle name="Standaard 16 3 5 2 2 3 2" xfId="14610"/>
    <cellStyle name="Standaard 16 3 5 2 2 4" xfId="14611"/>
    <cellStyle name="Standaard 16 3 5 2 3" xfId="14612"/>
    <cellStyle name="Standaard 16 3 5 2 3 2" xfId="14613"/>
    <cellStyle name="Standaard 16 3 5 2 3 2 2" xfId="14614"/>
    <cellStyle name="Standaard 16 3 5 2 3 3" xfId="14615"/>
    <cellStyle name="Standaard 16 3 5 2 4" xfId="14616"/>
    <cellStyle name="Standaard 16 3 5 2 4 2" xfId="14617"/>
    <cellStyle name="Standaard 16 3 5 2 5" xfId="14618"/>
    <cellStyle name="Standaard 16 3 5 2 6" xfId="14619"/>
    <cellStyle name="Standaard 16 3 5 3" xfId="14620"/>
    <cellStyle name="Standaard 16 3 5 3 2" xfId="14621"/>
    <cellStyle name="Standaard 16 3 5 3 2 2" xfId="14622"/>
    <cellStyle name="Standaard 16 3 5 3 2 2 2" xfId="14623"/>
    <cellStyle name="Standaard 16 3 5 3 2 3" xfId="14624"/>
    <cellStyle name="Standaard 16 3 5 3 3" xfId="14625"/>
    <cellStyle name="Standaard 16 3 5 3 3 2" xfId="14626"/>
    <cellStyle name="Standaard 16 3 5 3 4" xfId="14627"/>
    <cellStyle name="Standaard 16 3 5 4" xfId="14628"/>
    <cellStyle name="Standaard 16 3 5 4 2" xfId="14629"/>
    <cellStyle name="Standaard 16 3 5 4 2 2" xfId="14630"/>
    <cellStyle name="Standaard 16 3 5 4 3" xfId="14631"/>
    <cellStyle name="Standaard 16 3 5 5" xfId="14632"/>
    <cellStyle name="Standaard 16 3 5 5 2" xfId="14633"/>
    <cellStyle name="Standaard 16 3 5 6" xfId="14634"/>
    <cellStyle name="Standaard 16 3 5 7" xfId="14635"/>
    <cellStyle name="Standaard 16 3 6" xfId="14636"/>
    <cellStyle name="Standaard 16 3 6 2" xfId="14637"/>
    <cellStyle name="Standaard 16 3 6 2 2" xfId="14638"/>
    <cellStyle name="Standaard 16 3 6 2 2 2" xfId="14639"/>
    <cellStyle name="Standaard 16 3 6 2 2 2 2" xfId="14640"/>
    <cellStyle name="Standaard 16 3 6 2 2 3" xfId="14641"/>
    <cellStyle name="Standaard 16 3 6 2 3" xfId="14642"/>
    <cellStyle name="Standaard 16 3 6 2 3 2" xfId="14643"/>
    <cellStyle name="Standaard 16 3 6 2 4" xfId="14644"/>
    <cellStyle name="Standaard 16 3 6 3" xfId="14645"/>
    <cellStyle name="Standaard 16 3 6 3 2" xfId="14646"/>
    <cellStyle name="Standaard 16 3 6 3 2 2" xfId="14647"/>
    <cellStyle name="Standaard 16 3 6 3 3" xfId="14648"/>
    <cellStyle name="Standaard 16 3 6 4" xfId="14649"/>
    <cellStyle name="Standaard 16 3 6 4 2" xfId="14650"/>
    <cellStyle name="Standaard 16 3 6 5" xfId="14651"/>
    <cellStyle name="Standaard 16 3 6 6" xfId="14652"/>
    <cellStyle name="Standaard 16 3 7" xfId="14653"/>
    <cellStyle name="Standaard 16 3 7 2" xfId="14654"/>
    <cellStyle name="Standaard 16 3 7 2 2" xfId="14655"/>
    <cellStyle name="Standaard 16 3 7 2 2 2" xfId="14656"/>
    <cellStyle name="Standaard 16 3 7 2 3" xfId="14657"/>
    <cellStyle name="Standaard 16 3 7 3" xfId="14658"/>
    <cellStyle name="Standaard 16 3 7 3 2" xfId="14659"/>
    <cellStyle name="Standaard 16 3 7 4" xfId="14660"/>
    <cellStyle name="Standaard 16 3 8" xfId="14661"/>
    <cellStyle name="Standaard 16 3 8 2" xfId="14662"/>
    <cellStyle name="Standaard 16 3 8 2 2" xfId="14663"/>
    <cellStyle name="Standaard 16 3 8 3" xfId="14664"/>
    <cellStyle name="Standaard 16 3 9" xfId="14665"/>
    <cellStyle name="Standaard 16 3 9 2" xfId="14666"/>
    <cellStyle name="Standaard 16 4" xfId="14667"/>
    <cellStyle name="Standaard 16 4 2" xfId="14668"/>
    <cellStyle name="Standaard 16 4 2 2" xfId="14669"/>
    <cellStyle name="Standaard 16 4 2 2 2" xfId="14670"/>
    <cellStyle name="Standaard 16 4 2 2 2 2" xfId="14671"/>
    <cellStyle name="Standaard 16 4 2 2 2 2 2" xfId="14672"/>
    <cellStyle name="Standaard 16 4 2 2 2 2 2 2" xfId="14673"/>
    <cellStyle name="Standaard 16 4 2 2 2 2 2 2 2" xfId="14674"/>
    <cellStyle name="Standaard 16 4 2 2 2 2 2 3" xfId="14675"/>
    <cellStyle name="Standaard 16 4 2 2 2 2 3" xfId="14676"/>
    <cellStyle name="Standaard 16 4 2 2 2 2 3 2" xfId="14677"/>
    <cellStyle name="Standaard 16 4 2 2 2 2 4" xfId="14678"/>
    <cellStyle name="Standaard 16 4 2 2 2 3" xfId="14679"/>
    <cellStyle name="Standaard 16 4 2 2 2 3 2" xfId="14680"/>
    <cellStyle name="Standaard 16 4 2 2 2 3 2 2" xfId="14681"/>
    <cellStyle name="Standaard 16 4 2 2 2 3 3" xfId="14682"/>
    <cellStyle name="Standaard 16 4 2 2 2 4" xfId="14683"/>
    <cellStyle name="Standaard 16 4 2 2 2 4 2" xfId="14684"/>
    <cellStyle name="Standaard 16 4 2 2 2 5" xfId="14685"/>
    <cellStyle name="Standaard 16 4 2 2 2 6" xfId="14686"/>
    <cellStyle name="Standaard 16 4 2 2 3" xfId="14687"/>
    <cellStyle name="Standaard 16 4 2 2 3 2" xfId="14688"/>
    <cellStyle name="Standaard 16 4 2 2 3 2 2" xfId="14689"/>
    <cellStyle name="Standaard 16 4 2 2 3 2 2 2" xfId="14690"/>
    <cellStyle name="Standaard 16 4 2 2 3 2 3" xfId="14691"/>
    <cellStyle name="Standaard 16 4 2 2 3 3" xfId="14692"/>
    <cellStyle name="Standaard 16 4 2 2 3 3 2" xfId="14693"/>
    <cellStyle name="Standaard 16 4 2 2 3 4" xfId="14694"/>
    <cellStyle name="Standaard 16 4 2 2 4" xfId="14695"/>
    <cellStyle name="Standaard 16 4 2 2 4 2" xfId="14696"/>
    <cellStyle name="Standaard 16 4 2 2 4 2 2" xfId="14697"/>
    <cellStyle name="Standaard 16 4 2 2 4 3" xfId="14698"/>
    <cellStyle name="Standaard 16 4 2 2 5" xfId="14699"/>
    <cellStyle name="Standaard 16 4 2 2 5 2" xfId="14700"/>
    <cellStyle name="Standaard 16 4 2 2 6" xfId="14701"/>
    <cellStyle name="Standaard 16 4 2 2 7" xfId="14702"/>
    <cellStyle name="Standaard 16 4 2 3" xfId="14703"/>
    <cellStyle name="Standaard 16 4 2 3 2" xfId="14704"/>
    <cellStyle name="Standaard 16 4 2 3 2 2" xfId="14705"/>
    <cellStyle name="Standaard 16 4 2 3 2 2 2" xfId="14706"/>
    <cellStyle name="Standaard 16 4 2 3 2 2 2 2" xfId="14707"/>
    <cellStyle name="Standaard 16 4 2 3 2 2 3" xfId="14708"/>
    <cellStyle name="Standaard 16 4 2 3 2 3" xfId="14709"/>
    <cellStyle name="Standaard 16 4 2 3 2 3 2" xfId="14710"/>
    <cellStyle name="Standaard 16 4 2 3 2 4" xfId="14711"/>
    <cellStyle name="Standaard 16 4 2 3 3" xfId="14712"/>
    <cellStyle name="Standaard 16 4 2 3 3 2" xfId="14713"/>
    <cellStyle name="Standaard 16 4 2 3 3 2 2" xfId="14714"/>
    <cellStyle name="Standaard 16 4 2 3 3 3" xfId="14715"/>
    <cellStyle name="Standaard 16 4 2 3 4" xfId="14716"/>
    <cellStyle name="Standaard 16 4 2 3 4 2" xfId="14717"/>
    <cellStyle name="Standaard 16 4 2 3 5" xfId="14718"/>
    <cellStyle name="Standaard 16 4 2 3 6" xfId="14719"/>
    <cellStyle name="Standaard 16 4 2 4" xfId="14720"/>
    <cellStyle name="Standaard 16 4 2 4 2" xfId="14721"/>
    <cellStyle name="Standaard 16 4 2 4 2 2" xfId="14722"/>
    <cellStyle name="Standaard 16 4 2 4 2 2 2" xfId="14723"/>
    <cellStyle name="Standaard 16 4 2 4 2 3" xfId="14724"/>
    <cellStyle name="Standaard 16 4 2 4 3" xfId="14725"/>
    <cellStyle name="Standaard 16 4 2 4 3 2" xfId="14726"/>
    <cellStyle name="Standaard 16 4 2 4 4" xfId="14727"/>
    <cellStyle name="Standaard 16 4 2 5" xfId="14728"/>
    <cellStyle name="Standaard 16 4 2 5 2" xfId="14729"/>
    <cellStyle name="Standaard 16 4 2 5 2 2" xfId="14730"/>
    <cellStyle name="Standaard 16 4 2 5 3" xfId="14731"/>
    <cellStyle name="Standaard 16 4 2 6" xfId="14732"/>
    <cellStyle name="Standaard 16 4 2 6 2" xfId="14733"/>
    <cellStyle name="Standaard 16 4 2 7" xfId="14734"/>
    <cellStyle name="Standaard 16 4 2 8" xfId="14735"/>
    <cellStyle name="Standaard 16 4 3" xfId="14736"/>
    <cellStyle name="Standaard 16 4 3 2" xfId="14737"/>
    <cellStyle name="Standaard 16 4 3 2 2" xfId="14738"/>
    <cellStyle name="Standaard 16 4 3 2 2 2" xfId="14739"/>
    <cellStyle name="Standaard 16 4 3 2 2 2 2" xfId="14740"/>
    <cellStyle name="Standaard 16 4 3 2 2 2 2 2" xfId="14741"/>
    <cellStyle name="Standaard 16 4 3 2 2 2 3" xfId="14742"/>
    <cellStyle name="Standaard 16 4 3 2 2 3" xfId="14743"/>
    <cellStyle name="Standaard 16 4 3 2 2 3 2" xfId="14744"/>
    <cellStyle name="Standaard 16 4 3 2 2 4" xfId="14745"/>
    <cellStyle name="Standaard 16 4 3 2 3" xfId="14746"/>
    <cellStyle name="Standaard 16 4 3 2 3 2" xfId="14747"/>
    <cellStyle name="Standaard 16 4 3 2 3 2 2" xfId="14748"/>
    <cellStyle name="Standaard 16 4 3 2 3 3" xfId="14749"/>
    <cellStyle name="Standaard 16 4 3 2 4" xfId="14750"/>
    <cellStyle name="Standaard 16 4 3 2 4 2" xfId="14751"/>
    <cellStyle name="Standaard 16 4 3 2 5" xfId="14752"/>
    <cellStyle name="Standaard 16 4 3 2 6" xfId="14753"/>
    <cellStyle name="Standaard 16 4 3 3" xfId="14754"/>
    <cellStyle name="Standaard 16 4 3 3 2" xfId="14755"/>
    <cellStyle name="Standaard 16 4 3 3 2 2" xfId="14756"/>
    <cellStyle name="Standaard 16 4 3 3 2 2 2" xfId="14757"/>
    <cellStyle name="Standaard 16 4 3 3 2 3" xfId="14758"/>
    <cellStyle name="Standaard 16 4 3 3 3" xfId="14759"/>
    <cellStyle name="Standaard 16 4 3 3 3 2" xfId="14760"/>
    <cellStyle name="Standaard 16 4 3 3 4" xfId="14761"/>
    <cellStyle name="Standaard 16 4 3 4" xfId="14762"/>
    <cellStyle name="Standaard 16 4 3 4 2" xfId="14763"/>
    <cellStyle name="Standaard 16 4 3 4 2 2" xfId="14764"/>
    <cellStyle name="Standaard 16 4 3 4 3" xfId="14765"/>
    <cellStyle name="Standaard 16 4 3 5" xfId="14766"/>
    <cellStyle name="Standaard 16 4 3 5 2" xfId="14767"/>
    <cellStyle name="Standaard 16 4 3 6" xfId="14768"/>
    <cellStyle name="Standaard 16 4 3 7" xfId="14769"/>
    <cellStyle name="Standaard 16 4 4" xfId="14770"/>
    <cellStyle name="Standaard 16 4 4 2" xfId="14771"/>
    <cellStyle name="Standaard 16 4 4 2 2" xfId="14772"/>
    <cellStyle name="Standaard 16 4 4 2 2 2" xfId="14773"/>
    <cellStyle name="Standaard 16 4 4 2 2 2 2" xfId="14774"/>
    <cellStyle name="Standaard 16 4 4 2 2 3" xfId="14775"/>
    <cellStyle name="Standaard 16 4 4 2 3" xfId="14776"/>
    <cellStyle name="Standaard 16 4 4 2 3 2" xfId="14777"/>
    <cellStyle name="Standaard 16 4 4 2 4" xfId="14778"/>
    <cellStyle name="Standaard 16 4 4 3" xfId="14779"/>
    <cellStyle name="Standaard 16 4 4 3 2" xfId="14780"/>
    <cellStyle name="Standaard 16 4 4 3 2 2" xfId="14781"/>
    <cellStyle name="Standaard 16 4 4 3 3" xfId="14782"/>
    <cellStyle name="Standaard 16 4 4 4" xfId="14783"/>
    <cellStyle name="Standaard 16 4 4 4 2" xfId="14784"/>
    <cellStyle name="Standaard 16 4 4 5" xfId="14785"/>
    <cellStyle name="Standaard 16 4 4 6" xfId="14786"/>
    <cellStyle name="Standaard 16 4 5" xfId="14787"/>
    <cellStyle name="Standaard 16 4 5 2" xfId="14788"/>
    <cellStyle name="Standaard 16 4 5 2 2" xfId="14789"/>
    <cellStyle name="Standaard 16 4 5 2 2 2" xfId="14790"/>
    <cellStyle name="Standaard 16 4 5 2 3" xfId="14791"/>
    <cellStyle name="Standaard 16 4 5 3" xfId="14792"/>
    <cellStyle name="Standaard 16 4 5 3 2" xfId="14793"/>
    <cellStyle name="Standaard 16 4 5 4" xfId="14794"/>
    <cellStyle name="Standaard 16 4 6" xfId="14795"/>
    <cellStyle name="Standaard 16 4 6 2" xfId="14796"/>
    <cellStyle name="Standaard 16 4 6 2 2" xfId="14797"/>
    <cellStyle name="Standaard 16 4 6 3" xfId="14798"/>
    <cellStyle name="Standaard 16 4 7" xfId="14799"/>
    <cellStyle name="Standaard 16 4 7 2" xfId="14800"/>
    <cellStyle name="Standaard 16 4 8" xfId="14801"/>
    <cellStyle name="Standaard 16 4 9" xfId="14802"/>
    <cellStyle name="Standaard 16 5" xfId="14803"/>
    <cellStyle name="Standaard 16 5 2" xfId="14804"/>
    <cellStyle name="Standaard 16 5 2 2" xfId="14805"/>
    <cellStyle name="Standaard 16 5 2 2 2" xfId="14806"/>
    <cellStyle name="Standaard 16 5 2 2 2 2" xfId="14807"/>
    <cellStyle name="Standaard 16 5 2 2 2 2 2" xfId="14808"/>
    <cellStyle name="Standaard 16 5 2 2 2 2 2 2" xfId="14809"/>
    <cellStyle name="Standaard 16 5 2 2 2 2 3" xfId="14810"/>
    <cellStyle name="Standaard 16 5 2 2 2 3" xfId="14811"/>
    <cellStyle name="Standaard 16 5 2 2 2 3 2" xfId="14812"/>
    <cellStyle name="Standaard 16 5 2 2 2 4" xfId="14813"/>
    <cellStyle name="Standaard 16 5 2 2 3" xfId="14814"/>
    <cellStyle name="Standaard 16 5 2 2 3 2" xfId="14815"/>
    <cellStyle name="Standaard 16 5 2 2 3 2 2" xfId="14816"/>
    <cellStyle name="Standaard 16 5 2 2 3 3" xfId="14817"/>
    <cellStyle name="Standaard 16 5 2 2 4" xfId="14818"/>
    <cellStyle name="Standaard 16 5 2 2 4 2" xfId="14819"/>
    <cellStyle name="Standaard 16 5 2 2 5" xfId="14820"/>
    <cellStyle name="Standaard 16 5 2 2 6" xfId="14821"/>
    <cellStyle name="Standaard 16 5 2 3" xfId="14822"/>
    <cellStyle name="Standaard 16 5 2 3 2" xfId="14823"/>
    <cellStyle name="Standaard 16 5 2 3 2 2" xfId="14824"/>
    <cellStyle name="Standaard 16 5 2 3 2 2 2" xfId="14825"/>
    <cellStyle name="Standaard 16 5 2 3 2 3" xfId="14826"/>
    <cellStyle name="Standaard 16 5 2 3 3" xfId="14827"/>
    <cellStyle name="Standaard 16 5 2 3 3 2" xfId="14828"/>
    <cellStyle name="Standaard 16 5 2 3 4" xfId="14829"/>
    <cellStyle name="Standaard 16 5 2 4" xfId="14830"/>
    <cellStyle name="Standaard 16 5 2 4 2" xfId="14831"/>
    <cellStyle name="Standaard 16 5 2 4 2 2" xfId="14832"/>
    <cellStyle name="Standaard 16 5 2 4 3" xfId="14833"/>
    <cellStyle name="Standaard 16 5 2 5" xfId="14834"/>
    <cellStyle name="Standaard 16 5 2 5 2" xfId="14835"/>
    <cellStyle name="Standaard 16 5 2 6" xfId="14836"/>
    <cellStyle name="Standaard 16 5 2 7" xfId="14837"/>
    <cellStyle name="Standaard 16 5 3" xfId="14838"/>
    <cellStyle name="Standaard 16 5 3 2" xfId="14839"/>
    <cellStyle name="Standaard 16 5 3 2 2" xfId="14840"/>
    <cellStyle name="Standaard 16 5 3 2 2 2" xfId="14841"/>
    <cellStyle name="Standaard 16 5 3 2 2 2 2" xfId="14842"/>
    <cellStyle name="Standaard 16 5 3 2 2 3" xfId="14843"/>
    <cellStyle name="Standaard 16 5 3 2 3" xfId="14844"/>
    <cellStyle name="Standaard 16 5 3 2 3 2" xfId="14845"/>
    <cellStyle name="Standaard 16 5 3 2 4" xfId="14846"/>
    <cellStyle name="Standaard 16 5 3 3" xfId="14847"/>
    <cellStyle name="Standaard 16 5 3 3 2" xfId="14848"/>
    <cellStyle name="Standaard 16 5 3 3 2 2" xfId="14849"/>
    <cellStyle name="Standaard 16 5 3 3 3" xfId="14850"/>
    <cellStyle name="Standaard 16 5 3 4" xfId="14851"/>
    <cellStyle name="Standaard 16 5 3 4 2" xfId="14852"/>
    <cellStyle name="Standaard 16 5 3 5" xfId="14853"/>
    <cellStyle name="Standaard 16 5 3 6" xfId="14854"/>
    <cellStyle name="Standaard 16 5 4" xfId="14855"/>
    <cellStyle name="Standaard 16 5 4 2" xfId="14856"/>
    <cellStyle name="Standaard 16 5 4 2 2" xfId="14857"/>
    <cellStyle name="Standaard 16 5 4 2 2 2" xfId="14858"/>
    <cellStyle name="Standaard 16 5 4 2 3" xfId="14859"/>
    <cellStyle name="Standaard 16 5 4 3" xfId="14860"/>
    <cellStyle name="Standaard 16 5 4 3 2" xfId="14861"/>
    <cellStyle name="Standaard 16 5 4 4" xfId="14862"/>
    <cellStyle name="Standaard 16 5 5" xfId="14863"/>
    <cellStyle name="Standaard 16 5 5 2" xfId="14864"/>
    <cellStyle name="Standaard 16 5 5 2 2" xfId="14865"/>
    <cellStyle name="Standaard 16 5 5 3" xfId="14866"/>
    <cellStyle name="Standaard 16 5 6" xfId="14867"/>
    <cellStyle name="Standaard 16 5 6 2" xfId="14868"/>
    <cellStyle name="Standaard 16 5 7" xfId="14869"/>
    <cellStyle name="Standaard 16 5 8" xfId="14870"/>
    <cellStyle name="Standaard 16 6" xfId="14871"/>
    <cellStyle name="Standaard 16 6 2" xfId="14872"/>
    <cellStyle name="Standaard 16 6 2 2" xfId="14873"/>
    <cellStyle name="Standaard 16 6 2 2 2" xfId="14874"/>
    <cellStyle name="Standaard 16 6 2 2 2 2" xfId="14875"/>
    <cellStyle name="Standaard 16 6 2 2 2 2 2" xfId="14876"/>
    <cellStyle name="Standaard 16 6 2 2 2 2 2 2" xfId="14877"/>
    <cellStyle name="Standaard 16 6 2 2 2 2 3" xfId="14878"/>
    <cellStyle name="Standaard 16 6 2 2 2 3" xfId="14879"/>
    <cellStyle name="Standaard 16 6 2 2 2 3 2" xfId="14880"/>
    <cellStyle name="Standaard 16 6 2 2 2 4" xfId="14881"/>
    <cellStyle name="Standaard 16 6 2 2 3" xfId="14882"/>
    <cellStyle name="Standaard 16 6 2 2 3 2" xfId="14883"/>
    <cellStyle name="Standaard 16 6 2 2 3 2 2" xfId="14884"/>
    <cellStyle name="Standaard 16 6 2 2 3 3" xfId="14885"/>
    <cellStyle name="Standaard 16 6 2 2 4" xfId="14886"/>
    <cellStyle name="Standaard 16 6 2 2 4 2" xfId="14887"/>
    <cellStyle name="Standaard 16 6 2 2 5" xfId="14888"/>
    <cellStyle name="Standaard 16 6 2 2 6" xfId="14889"/>
    <cellStyle name="Standaard 16 6 2 3" xfId="14890"/>
    <cellStyle name="Standaard 16 6 2 3 2" xfId="14891"/>
    <cellStyle name="Standaard 16 6 2 3 2 2" xfId="14892"/>
    <cellStyle name="Standaard 16 6 2 3 2 2 2" xfId="14893"/>
    <cellStyle name="Standaard 16 6 2 3 2 3" xfId="14894"/>
    <cellStyle name="Standaard 16 6 2 3 3" xfId="14895"/>
    <cellStyle name="Standaard 16 6 2 3 3 2" xfId="14896"/>
    <cellStyle name="Standaard 16 6 2 3 4" xfId="14897"/>
    <cellStyle name="Standaard 16 6 2 4" xfId="14898"/>
    <cellStyle name="Standaard 16 6 2 4 2" xfId="14899"/>
    <cellStyle name="Standaard 16 6 2 4 2 2" xfId="14900"/>
    <cellStyle name="Standaard 16 6 2 4 3" xfId="14901"/>
    <cellStyle name="Standaard 16 6 2 5" xfId="14902"/>
    <cellStyle name="Standaard 16 6 2 5 2" xfId="14903"/>
    <cellStyle name="Standaard 16 6 2 6" xfId="14904"/>
    <cellStyle name="Standaard 16 6 2 7" xfId="14905"/>
    <cellStyle name="Standaard 16 6 3" xfId="14906"/>
    <cellStyle name="Standaard 16 6 3 2" xfId="14907"/>
    <cellStyle name="Standaard 16 6 3 2 2" xfId="14908"/>
    <cellStyle name="Standaard 16 6 3 2 2 2" xfId="14909"/>
    <cellStyle name="Standaard 16 6 3 2 2 2 2" xfId="14910"/>
    <cellStyle name="Standaard 16 6 3 2 2 3" xfId="14911"/>
    <cellStyle name="Standaard 16 6 3 2 3" xfId="14912"/>
    <cellStyle name="Standaard 16 6 3 2 3 2" xfId="14913"/>
    <cellStyle name="Standaard 16 6 3 2 4" xfId="14914"/>
    <cellStyle name="Standaard 16 6 3 3" xfId="14915"/>
    <cellStyle name="Standaard 16 6 3 3 2" xfId="14916"/>
    <cellStyle name="Standaard 16 6 3 3 2 2" xfId="14917"/>
    <cellStyle name="Standaard 16 6 3 3 3" xfId="14918"/>
    <cellStyle name="Standaard 16 6 3 4" xfId="14919"/>
    <cellStyle name="Standaard 16 6 3 4 2" xfId="14920"/>
    <cellStyle name="Standaard 16 6 3 5" xfId="14921"/>
    <cellStyle name="Standaard 16 6 3 6" xfId="14922"/>
    <cellStyle name="Standaard 16 6 4" xfId="14923"/>
    <cellStyle name="Standaard 16 6 4 2" xfId="14924"/>
    <cellStyle name="Standaard 16 6 4 2 2" xfId="14925"/>
    <cellStyle name="Standaard 16 6 4 2 2 2" xfId="14926"/>
    <cellStyle name="Standaard 16 6 4 2 3" xfId="14927"/>
    <cellStyle name="Standaard 16 6 4 3" xfId="14928"/>
    <cellStyle name="Standaard 16 6 4 3 2" xfId="14929"/>
    <cellStyle name="Standaard 16 6 4 4" xfId="14930"/>
    <cellStyle name="Standaard 16 6 5" xfId="14931"/>
    <cellStyle name="Standaard 16 6 5 2" xfId="14932"/>
    <cellStyle name="Standaard 16 6 5 2 2" xfId="14933"/>
    <cellStyle name="Standaard 16 6 5 3" xfId="14934"/>
    <cellStyle name="Standaard 16 6 6" xfId="14935"/>
    <cellStyle name="Standaard 16 6 6 2" xfId="14936"/>
    <cellStyle name="Standaard 16 6 7" xfId="14937"/>
    <cellStyle name="Standaard 16 6 8" xfId="14938"/>
    <cellStyle name="Standaard 16 7" xfId="14939"/>
    <cellStyle name="Standaard 16 7 2" xfId="14940"/>
    <cellStyle name="Standaard 16 7 2 2" xfId="14941"/>
    <cellStyle name="Standaard 16 7 2 2 2" xfId="14942"/>
    <cellStyle name="Standaard 16 7 2 2 2 2" xfId="14943"/>
    <cellStyle name="Standaard 16 7 2 2 2 2 2" xfId="14944"/>
    <cellStyle name="Standaard 16 7 2 2 2 3" xfId="14945"/>
    <cellStyle name="Standaard 16 7 2 2 3" xfId="14946"/>
    <cellStyle name="Standaard 16 7 2 2 3 2" xfId="14947"/>
    <cellStyle name="Standaard 16 7 2 2 4" xfId="14948"/>
    <cellStyle name="Standaard 16 7 2 3" xfId="14949"/>
    <cellStyle name="Standaard 16 7 2 3 2" xfId="14950"/>
    <cellStyle name="Standaard 16 7 2 3 2 2" xfId="14951"/>
    <cellStyle name="Standaard 16 7 2 3 3" xfId="14952"/>
    <cellStyle name="Standaard 16 7 2 4" xfId="14953"/>
    <cellStyle name="Standaard 16 7 2 4 2" xfId="14954"/>
    <cellStyle name="Standaard 16 7 2 5" xfId="14955"/>
    <cellStyle name="Standaard 16 7 2 6" xfId="14956"/>
    <cellStyle name="Standaard 16 7 3" xfId="14957"/>
    <cellStyle name="Standaard 16 7 3 2" xfId="14958"/>
    <cellStyle name="Standaard 16 7 3 2 2" xfId="14959"/>
    <cellStyle name="Standaard 16 7 3 2 2 2" xfId="14960"/>
    <cellStyle name="Standaard 16 7 3 2 3" xfId="14961"/>
    <cellStyle name="Standaard 16 7 3 3" xfId="14962"/>
    <cellStyle name="Standaard 16 7 3 3 2" xfId="14963"/>
    <cellStyle name="Standaard 16 7 3 4" xfId="14964"/>
    <cellStyle name="Standaard 16 7 4" xfId="14965"/>
    <cellStyle name="Standaard 16 7 4 2" xfId="14966"/>
    <cellStyle name="Standaard 16 7 4 2 2" xfId="14967"/>
    <cellStyle name="Standaard 16 7 4 3" xfId="14968"/>
    <cellStyle name="Standaard 16 7 5" xfId="14969"/>
    <cellStyle name="Standaard 16 7 5 2" xfId="14970"/>
    <cellStyle name="Standaard 16 7 6" xfId="14971"/>
    <cellStyle name="Standaard 16 7 7" xfId="14972"/>
    <cellStyle name="Standaard 16 8" xfId="14973"/>
    <cellStyle name="Standaard 16 8 2" xfId="14974"/>
    <cellStyle name="Standaard 16 8 2 2" xfId="14975"/>
    <cellStyle name="Standaard 16 8 2 2 2" xfId="14976"/>
    <cellStyle name="Standaard 16 8 2 2 2 2" xfId="14977"/>
    <cellStyle name="Standaard 16 8 2 2 3" xfId="14978"/>
    <cellStyle name="Standaard 16 8 2 3" xfId="14979"/>
    <cellStyle name="Standaard 16 8 2 3 2" xfId="14980"/>
    <cellStyle name="Standaard 16 8 2 4" xfId="14981"/>
    <cellStyle name="Standaard 16 8 3" xfId="14982"/>
    <cellStyle name="Standaard 16 8 3 2" xfId="14983"/>
    <cellStyle name="Standaard 16 8 3 2 2" xfId="14984"/>
    <cellStyle name="Standaard 16 8 3 3" xfId="14985"/>
    <cellStyle name="Standaard 16 8 4" xfId="14986"/>
    <cellStyle name="Standaard 16 8 4 2" xfId="14987"/>
    <cellStyle name="Standaard 16 8 5" xfId="14988"/>
    <cellStyle name="Standaard 16 8 6" xfId="14989"/>
    <cellStyle name="Standaard 16 9" xfId="14990"/>
    <cellStyle name="Standaard 16 9 2" xfId="14991"/>
    <cellStyle name="Standaard 16 9 2 2" xfId="14992"/>
    <cellStyle name="Standaard 16 9 2 2 2" xfId="14993"/>
    <cellStyle name="Standaard 16 9 2 3" xfId="14994"/>
    <cellStyle name="Standaard 16 9 3" xfId="14995"/>
    <cellStyle name="Standaard 16 9 3 2" xfId="14996"/>
    <cellStyle name="Standaard 16 9 4" xfId="14997"/>
    <cellStyle name="Standaard 17" xfId="14998"/>
    <cellStyle name="Standaard 17 2" xfId="14999"/>
    <cellStyle name="Standaard 18" xfId="15000"/>
    <cellStyle name="Standaard 18 10" xfId="15001"/>
    <cellStyle name="Standaard 18 10 2" xfId="15002"/>
    <cellStyle name="Standaard 18 10 2 2" xfId="15003"/>
    <cellStyle name="Standaard 18 10 3" xfId="15004"/>
    <cellStyle name="Standaard 18 11" xfId="15005"/>
    <cellStyle name="Standaard 18 11 2" xfId="15006"/>
    <cellStyle name="Standaard 18 12" xfId="15007"/>
    <cellStyle name="Standaard 18 13" xfId="15008"/>
    <cellStyle name="Standaard 18 2" xfId="15009"/>
    <cellStyle name="Standaard 18 2 10" xfId="15010"/>
    <cellStyle name="Standaard 18 2 10 2" xfId="15011"/>
    <cellStyle name="Standaard 18 2 11" xfId="15012"/>
    <cellStyle name="Standaard 18 2 12" xfId="15013"/>
    <cellStyle name="Standaard 18 2 2" xfId="15014"/>
    <cellStyle name="Standaard 18 2 2 10" xfId="15015"/>
    <cellStyle name="Standaard 18 2 2 11" xfId="15016"/>
    <cellStyle name="Standaard 18 2 2 2" xfId="15017"/>
    <cellStyle name="Standaard 18 2 2 2 2" xfId="15018"/>
    <cellStyle name="Standaard 18 2 2 2 2 2" xfId="15019"/>
    <cellStyle name="Standaard 18 2 2 2 2 2 2" xfId="15020"/>
    <cellStyle name="Standaard 18 2 2 2 2 2 2 2" xfId="15021"/>
    <cellStyle name="Standaard 18 2 2 2 2 2 2 2 2" xfId="15022"/>
    <cellStyle name="Standaard 18 2 2 2 2 2 2 2 2 2" xfId="15023"/>
    <cellStyle name="Standaard 18 2 2 2 2 2 2 2 2 2 2" xfId="15024"/>
    <cellStyle name="Standaard 18 2 2 2 2 2 2 2 2 3" xfId="15025"/>
    <cellStyle name="Standaard 18 2 2 2 2 2 2 2 3" xfId="15026"/>
    <cellStyle name="Standaard 18 2 2 2 2 2 2 2 3 2" xfId="15027"/>
    <cellStyle name="Standaard 18 2 2 2 2 2 2 2 4" xfId="15028"/>
    <cellStyle name="Standaard 18 2 2 2 2 2 2 3" xfId="15029"/>
    <cellStyle name="Standaard 18 2 2 2 2 2 2 3 2" xfId="15030"/>
    <cellStyle name="Standaard 18 2 2 2 2 2 2 3 2 2" xfId="15031"/>
    <cellStyle name="Standaard 18 2 2 2 2 2 2 3 3" xfId="15032"/>
    <cellStyle name="Standaard 18 2 2 2 2 2 2 4" xfId="15033"/>
    <cellStyle name="Standaard 18 2 2 2 2 2 2 4 2" xfId="15034"/>
    <cellStyle name="Standaard 18 2 2 2 2 2 2 5" xfId="15035"/>
    <cellStyle name="Standaard 18 2 2 2 2 2 2 6" xfId="15036"/>
    <cellStyle name="Standaard 18 2 2 2 2 2 3" xfId="15037"/>
    <cellStyle name="Standaard 18 2 2 2 2 2 3 2" xfId="15038"/>
    <cellStyle name="Standaard 18 2 2 2 2 2 3 2 2" xfId="15039"/>
    <cellStyle name="Standaard 18 2 2 2 2 2 3 2 2 2" xfId="15040"/>
    <cellStyle name="Standaard 18 2 2 2 2 2 3 2 3" xfId="15041"/>
    <cellStyle name="Standaard 18 2 2 2 2 2 3 3" xfId="15042"/>
    <cellStyle name="Standaard 18 2 2 2 2 2 3 3 2" xfId="15043"/>
    <cellStyle name="Standaard 18 2 2 2 2 2 3 4" xfId="15044"/>
    <cellStyle name="Standaard 18 2 2 2 2 2 4" xfId="15045"/>
    <cellStyle name="Standaard 18 2 2 2 2 2 4 2" xfId="15046"/>
    <cellStyle name="Standaard 18 2 2 2 2 2 4 2 2" xfId="15047"/>
    <cellStyle name="Standaard 18 2 2 2 2 2 4 3" xfId="15048"/>
    <cellStyle name="Standaard 18 2 2 2 2 2 5" xfId="15049"/>
    <cellStyle name="Standaard 18 2 2 2 2 2 5 2" xfId="15050"/>
    <cellStyle name="Standaard 18 2 2 2 2 2 6" xfId="15051"/>
    <cellStyle name="Standaard 18 2 2 2 2 2 7" xfId="15052"/>
    <cellStyle name="Standaard 18 2 2 2 2 3" xfId="15053"/>
    <cellStyle name="Standaard 18 2 2 2 2 3 2" xfId="15054"/>
    <cellStyle name="Standaard 18 2 2 2 2 3 2 2" xfId="15055"/>
    <cellStyle name="Standaard 18 2 2 2 2 3 2 2 2" xfId="15056"/>
    <cellStyle name="Standaard 18 2 2 2 2 3 2 2 2 2" xfId="15057"/>
    <cellStyle name="Standaard 18 2 2 2 2 3 2 2 3" xfId="15058"/>
    <cellStyle name="Standaard 18 2 2 2 2 3 2 3" xfId="15059"/>
    <cellStyle name="Standaard 18 2 2 2 2 3 2 3 2" xfId="15060"/>
    <cellStyle name="Standaard 18 2 2 2 2 3 2 4" xfId="15061"/>
    <cellStyle name="Standaard 18 2 2 2 2 3 3" xfId="15062"/>
    <cellStyle name="Standaard 18 2 2 2 2 3 3 2" xfId="15063"/>
    <cellStyle name="Standaard 18 2 2 2 2 3 3 2 2" xfId="15064"/>
    <cellStyle name="Standaard 18 2 2 2 2 3 3 3" xfId="15065"/>
    <cellStyle name="Standaard 18 2 2 2 2 3 4" xfId="15066"/>
    <cellStyle name="Standaard 18 2 2 2 2 3 4 2" xfId="15067"/>
    <cellStyle name="Standaard 18 2 2 2 2 3 5" xfId="15068"/>
    <cellStyle name="Standaard 18 2 2 2 2 3 6" xfId="15069"/>
    <cellStyle name="Standaard 18 2 2 2 2 4" xfId="15070"/>
    <cellStyle name="Standaard 18 2 2 2 2 4 2" xfId="15071"/>
    <cellStyle name="Standaard 18 2 2 2 2 4 2 2" xfId="15072"/>
    <cellStyle name="Standaard 18 2 2 2 2 4 2 2 2" xfId="15073"/>
    <cellStyle name="Standaard 18 2 2 2 2 4 2 3" xfId="15074"/>
    <cellStyle name="Standaard 18 2 2 2 2 4 3" xfId="15075"/>
    <cellStyle name="Standaard 18 2 2 2 2 4 3 2" xfId="15076"/>
    <cellStyle name="Standaard 18 2 2 2 2 4 4" xfId="15077"/>
    <cellStyle name="Standaard 18 2 2 2 2 5" xfId="15078"/>
    <cellStyle name="Standaard 18 2 2 2 2 5 2" xfId="15079"/>
    <cellStyle name="Standaard 18 2 2 2 2 5 2 2" xfId="15080"/>
    <cellStyle name="Standaard 18 2 2 2 2 5 3" xfId="15081"/>
    <cellStyle name="Standaard 18 2 2 2 2 6" xfId="15082"/>
    <cellStyle name="Standaard 18 2 2 2 2 6 2" xfId="15083"/>
    <cellStyle name="Standaard 18 2 2 2 2 7" xfId="15084"/>
    <cellStyle name="Standaard 18 2 2 2 2 8" xfId="15085"/>
    <cellStyle name="Standaard 18 2 2 2 3" xfId="15086"/>
    <cellStyle name="Standaard 18 2 2 2 3 2" xfId="15087"/>
    <cellStyle name="Standaard 18 2 2 2 3 2 2" xfId="15088"/>
    <cellStyle name="Standaard 18 2 2 2 3 2 2 2" xfId="15089"/>
    <cellStyle name="Standaard 18 2 2 2 3 2 2 2 2" xfId="15090"/>
    <cellStyle name="Standaard 18 2 2 2 3 2 2 2 2 2" xfId="15091"/>
    <cellStyle name="Standaard 18 2 2 2 3 2 2 2 3" xfId="15092"/>
    <cellStyle name="Standaard 18 2 2 2 3 2 2 3" xfId="15093"/>
    <cellStyle name="Standaard 18 2 2 2 3 2 2 3 2" xfId="15094"/>
    <cellStyle name="Standaard 18 2 2 2 3 2 2 4" xfId="15095"/>
    <cellStyle name="Standaard 18 2 2 2 3 2 3" xfId="15096"/>
    <cellStyle name="Standaard 18 2 2 2 3 2 3 2" xfId="15097"/>
    <cellStyle name="Standaard 18 2 2 2 3 2 3 2 2" xfId="15098"/>
    <cellStyle name="Standaard 18 2 2 2 3 2 3 3" xfId="15099"/>
    <cellStyle name="Standaard 18 2 2 2 3 2 4" xfId="15100"/>
    <cellStyle name="Standaard 18 2 2 2 3 2 4 2" xfId="15101"/>
    <cellStyle name="Standaard 18 2 2 2 3 2 5" xfId="15102"/>
    <cellStyle name="Standaard 18 2 2 2 3 2 6" xfId="15103"/>
    <cellStyle name="Standaard 18 2 2 2 3 3" xfId="15104"/>
    <cellStyle name="Standaard 18 2 2 2 3 3 2" xfId="15105"/>
    <cellStyle name="Standaard 18 2 2 2 3 3 2 2" xfId="15106"/>
    <cellStyle name="Standaard 18 2 2 2 3 3 2 2 2" xfId="15107"/>
    <cellStyle name="Standaard 18 2 2 2 3 3 2 3" xfId="15108"/>
    <cellStyle name="Standaard 18 2 2 2 3 3 3" xfId="15109"/>
    <cellStyle name="Standaard 18 2 2 2 3 3 3 2" xfId="15110"/>
    <cellStyle name="Standaard 18 2 2 2 3 3 4" xfId="15111"/>
    <cellStyle name="Standaard 18 2 2 2 3 4" xfId="15112"/>
    <cellStyle name="Standaard 18 2 2 2 3 4 2" xfId="15113"/>
    <cellStyle name="Standaard 18 2 2 2 3 4 2 2" xfId="15114"/>
    <cellStyle name="Standaard 18 2 2 2 3 4 3" xfId="15115"/>
    <cellStyle name="Standaard 18 2 2 2 3 5" xfId="15116"/>
    <cellStyle name="Standaard 18 2 2 2 3 5 2" xfId="15117"/>
    <cellStyle name="Standaard 18 2 2 2 3 6" xfId="15118"/>
    <cellStyle name="Standaard 18 2 2 2 3 7" xfId="15119"/>
    <cellStyle name="Standaard 18 2 2 2 4" xfId="15120"/>
    <cellStyle name="Standaard 18 2 2 2 4 2" xfId="15121"/>
    <cellStyle name="Standaard 18 2 2 2 4 2 2" xfId="15122"/>
    <cellStyle name="Standaard 18 2 2 2 4 2 2 2" xfId="15123"/>
    <cellStyle name="Standaard 18 2 2 2 4 2 2 2 2" xfId="15124"/>
    <cellStyle name="Standaard 18 2 2 2 4 2 2 3" xfId="15125"/>
    <cellStyle name="Standaard 18 2 2 2 4 2 3" xfId="15126"/>
    <cellStyle name="Standaard 18 2 2 2 4 2 3 2" xfId="15127"/>
    <cellStyle name="Standaard 18 2 2 2 4 2 4" xfId="15128"/>
    <cellStyle name="Standaard 18 2 2 2 4 3" xfId="15129"/>
    <cellStyle name="Standaard 18 2 2 2 4 3 2" xfId="15130"/>
    <cellStyle name="Standaard 18 2 2 2 4 3 2 2" xfId="15131"/>
    <cellStyle name="Standaard 18 2 2 2 4 3 3" xfId="15132"/>
    <cellStyle name="Standaard 18 2 2 2 4 4" xfId="15133"/>
    <cellStyle name="Standaard 18 2 2 2 4 4 2" xfId="15134"/>
    <cellStyle name="Standaard 18 2 2 2 4 5" xfId="15135"/>
    <cellStyle name="Standaard 18 2 2 2 4 6" xfId="15136"/>
    <cellStyle name="Standaard 18 2 2 2 5" xfId="15137"/>
    <cellStyle name="Standaard 18 2 2 2 5 2" xfId="15138"/>
    <cellStyle name="Standaard 18 2 2 2 5 2 2" xfId="15139"/>
    <cellStyle name="Standaard 18 2 2 2 5 2 2 2" xfId="15140"/>
    <cellStyle name="Standaard 18 2 2 2 5 2 3" xfId="15141"/>
    <cellStyle name="Standaard 18 2 2 2 5 3" xfId="15142"/>
    <cellStyle name="Standaard 18 2 2 2 5 3 2" xfId="15143"/>
    <cellStyle name="Standaard 18 2 2 2 5 4" xfId="15144"/>
    <cellStyle name="Standaard 18 2 2 2 6" xfId="15145"/>
    <cellStyle name="Standaard 18 2 2 2 6 2" xfId="15146"/>
    <cellStyle name="Standaard 18 2 2 2 6 2 2" xfId="15147"/>
    <cellStyle name="Standaard 18 2 2 2 6 3" xfId="15148"/>
    <cellStyle name="Standaard 18 2 2 2 7" xfId="15149"/>
    <cellStyle name="Standaard 18 2 2 2 7 2" xfId="15150"/>
    <cellStyle name="Standaard 18 2 2 2 8" xfId="15151"/>
    <cellStyle name="Standaard 18 2 2 2 9" xfId="15152"/>
    <cellStyle name="Standaard 18 2 2 3" xfId="15153"/>
    <cellStyle name="Standaard 18 2 2 3 2" xfId="15154"/>
    <cellStyle name="Standaard 18 2 2 3 2 2" xfId="15155"/>
    <cellStyle name="Standaard 18 2 2 3 2 2 2" xfId="15156"/>
    <cellStyle name="Standaard 18 2 2 3 2 2 2 2" xfId="15157"/>
    <cellStyle name="Standaard 18 2 2 3 2 2 2 2 2" xfId="15158"/>
    <cellStyle name="Standaard 18 2 2 3 2 2 2 2 2 2" xfId="15159"/>
    <cellStyle name="Standaard 18 2 2 3 2 2 2 2 3" xfId="15160"/>
    <cellStyle name="Standaard 18 2 2 3 2 2 2 3" xfId="15161"/>
    <cellStyle name="Standaard 18 2 2 3 2 2 2 3 2" xfId="15162"/>
    <cellStyle name="Standaard 18 2 2 3 2 2 2 4" xfId="15163"/>
    <cellStyle name="Standaard 18 2 2 3 2 2 3" xfId="15164"/>
    <cellStyle name="Standaard 18 2 2 3 2 2 3 2" xfId="15165"/>
    <cellStyle name="Standaard 18 2 2 3 2 2 3 2 2" xfId="15166"/>
    <cellStyle name="Standaard 18 2 2 3 2 2 3 3" xfId="15167"/>
    <cellStyle name="Standaard 18 2 2 3 2 2 4" xfId="15168"/>
    <cellStyle name="Standaard 18 2 2 3 2 2 4 2" xfId="15169"/>
    <cellStyle name="Standaard 18 2 2 3 2 2 5" xfId="15170"/>
    <cellStyle name="Standaard 18 2 2 3 2 2 6" xfId="15171"/>
    <cellStyle name="Standaard 18 2 2 3 2 3" xfId="15172"/>
    <cellStyle name="Standaard 18 2 2 3 2 3 2" xfId="15173"/>
    <cellStyle name="Standaard 18 2 2 3 2 3 2 2" xfId="15174"/>
    <cellStyle name="Standaard 18 2 2 3 2 3 2 2 2" xfId="15175"/>
    <cellStyle name="Standaard 18 2 2 3 2 3 2 3" xfId="15176"/>
    <cellStyle name="Standaard 18 2 2 3 2 3 3" xfId="15177"/>
    <cellStyle name="Standaard 18 2 2 3 2 3 3 2" xfId="15178"/>
    <cellStyle name="Standaard 18 2 2 3 2 3 4" xfId="15179"/>
    <cellStyle name="Standaard 18 2 2 3 2 4" xfId="15180"/>
    <cellStyle name="Standaard 18 2 2 3 2 4 2" xfId="15181"/>
    <cellStyle name="Standaard 18 2 2 3 2 4 2 2" xfId="15182"/>
    <cellStyle name="Standaard 18 2 2 3 2 4 3" xfId="15183"/>
    <cellStyle name="Standaard 18 2 2 3 2 5" xfId="15184"/>
    <cellStyle name="Standaard 18 2 2 3 2 5 2" xfId="15185"/>
    <cellStyle name="Standaard 18 2 2 3 2 6" xfId="15186"/>
    <cellStyle name="Standaard 18 2 2 3 2 7" xfId="15187"/>
    <cellStyle name="Standaard 18 2 2 3 3" xfId="15188"/>
    <cellStyle name="Standaard 18 2 2 3 3 2" xfId="15189"/>
    <cellStyle name="Standaard 18 2 2 3 3 2 2" xfId="15190"/>
    <cellStyle name="Standaard 18 2 2 3 3 2 2 2" xfId="15191"/>
    <cellStyle name="Standaard 18 2 2 3 3 2 2 2 2" xfId="15192"/>
    <cellStyle name="Standaard 18 2 2 3 3 2 2 3" xfId="15193"/>
    <cellStyle name="Standaard 18 2 2 3 3 2 3" xfId="15194"/>
    <cellStyle name="Standaard 18 2 2 3 3 2 3 2" xfId="15195"/>
    <cellStyle name="Standaard 18 2 2 3 3 2 4" xfId="15196"/>
    <cellStyle name="Standaard 18 2 2 3 3 3" xfId="15197"/>
    <cellStyle name="Standaard 18 2 2 3 3 3 2" xfId="15198"/>
    <cellStyle name="Standaard 18 2 2 3 3 3 2 2" xfId="15199"/>
    <cellStyle name="Standaard 18 2 2 3 3 3 3" xfId="15200"/>
    <cellStyle name="Standaard 18 2 2 3 3 4" xfId="15201"/>
    <cellStyle name="Standaard 18 2 2 3 3 4 2" xfId="15202"/>
    <cellStyle name="Standaard 18 2 2 3 3 5" xfId="15203"/>
    <cellStyle name="Standaard 18 2 2 3 3 6" xfId="15204"/>
    <cellStyle name="Standaard 18 2 2 3 4" xfId="15205"/>
    <cellStyle name="Standaard 18 2 2 3 4 2" xfId="15206"/>
    <cellStyle name="Standaard 18 2 2 3 4 2 2" xfId="15207"/>
    <cellStyle name="Standaard 18 2 2 3 4 2 2 2" xfId="15208"/>
    <cellStyle name="Standaard 18 2 2 3 4 2 3" xfId="15209"/>
    <cellStyle name="Standaard 18 2 2 3 4 3" xfId="15210"/>
    <cellStyle name="Standaard 18 2 2 3 4 3 2" xfId="15211"/>
    <cellStyle name="Standaard 18 2 2 3 4 4" xfId="15212"/>
    <cellStyle name="Standaard 18 2 2 3 5" xfId="15213"/>
    <cellStyle name="Standaard 18 2 2 3 5 2" xfId="15214"/>
    <cellStyle name="Standaard 18 2 2 3 5 2 2" xfId="15215"/>
    <cellStyle name="Standaard 18 2 2 3 5 3" xfId="15216"/>
    <cellStyle name="Standaard 18 2 2 3 6" xfId="15217"/>
    <cellStyle name="Standaard 18 2 2 3 6 2" xfId="15218"/>
    <cellStyle name="Standaard 18 2 2 3 7" xfId="15219"/>
    <cellStyle name="Standaard 18 2 2 3 8" xfId="15220"/>
    <cellStyle name="Standaard 18 2 2 4" xfId="15221"/>
    <cellStyle name="Standaard 18 2 2 4 2" xfId="15222"/>
    <cellStyle name="Standaard 18 2 2 4 2 2" xfId="15223"/>
    <cellStyle name="Standaard 18 2 2 4 2 2 2" xfId="15224"/>
    <cellStyle name="Standaard 18 2 2 4 2 2 2 2" xfId="15225"/>
    <cellStyle name="Standaard 18 2 2 4 2 2 2 2 2" xfId="15226"/>
    <cellStyle name="Standaard 18 2 2 4 2 2 2 2 2 2" xfId="15227"/>
    <cellStyle name="Standaard 18 2 2 4 2 2 2 2 3" xfId="15228"/>
    <cellStyle name="Standaard 18 2 2 4 2 2 2 3" xfId="15229"/>
    <cellStyle name="Standaard 18 2 2 4 2 2 2 3 2" xfId="15230"/>
    <cellStyle name="Standaard 18 2 2 4 2 2 2 4" xfId="15231"/>
    <cellStyle name="Standaard 18 2 2 4 2 2 3" xfId="15232"/>
    <cellStyle name="Standaard 18 2 2 4 2 2 3 2" xfId="15233"/>
    <cellStyle name="Standaard 18 2 2 4 2 2 3 2 2" xfId="15234"/>
    <cellStyle name="Standaard 18 2 2 4 2 2 3 3" xfId="15235"/>
    <cellStyle name="Standaard 18 2 2 4 2 2 4" xfId="15236"/>
    <cellStyle name="Standaard 18 2 2 4 2 2 4 2" xfId="15237"/>
    <cellStyle name="Standaard 18 2 2 4 2 2 5" xfId="15238"/>
    <cellStyle name="Standaard 18 2 2 4 2 2 6" xfId="15239"/>
    <cellStyle name="Standaard 18 2 2 4 2 3" xfId="15240"/>
    <cellStyle name="Standaard 18 2 2 4 2 3 2" xfId="15241"/>
    <cellStyle name="Standaard 18 2 2 4 2 3 2 2" xfId="15242"/>
    <cellStyle name="Standaard 18 2 2 4 2 3 2 2 2" xfId="15243"/>
    <cellStyle name="Standaard 18 2 2 4 2 3 2 3" xfId="15244"/>
    <cellStyle name="Standaard 18 2 2 4 2 3 3" xfId="15245"/>
    <cellStyle name="Standaard 18 2 2 4 2 3 3 2" xfId="15246"/>
    <cellStyle name="Standaard 18 2 2 4 2 3 4" xfId="15247"/>
    <cellStyle name="Standaard 18 2 2 4 2 4" xfId="15248"/>
    <cellStyle name="Standaard 18 2 2 4 2 4 2" xfId="15249"/>
    <cellStyle name="Standaard 18 2 2 4 2 4 2 2" xfId="15250"/>
    <cellStyle name="Standaard 18 2 2 4 2 4 3" xfId="15251"/>
    <cellStyle name="Standaard 18 2 2 4 2 5" xfId="15252"/>
    <cellStyle name="Standaard 18 2 2 4 2 5 2" xfId="15253"/>
    <cellStyle name="Standaard 18 2 2 4 2 6" xfId="15254"/>
    <cellStyle name="Standaard 18 2 2 4 2 7" xfId="15255"/>
    <cellStyle name="Standaard 18 2 2 4 3" xfId="15256"/>
    <cellStyle name="Standaard 18 2 2 4 3 2" xfId="15257"/>
    <cellStyle name="Standaard 18 2 2 4 3 2 2" xfId="15258"/>
    <cellStyle name="Standaard 18 2 2 4 3 2 2 2" xfId="15259"/>
    <cellStyle name="Standaard 18 2 2 4 3 2 2 2 2" xfId="15260"/>
    <cellStyle name="Standaard 18 2 2 4 3 2 2 3" xfId="15261"/>
    <cellStyle name="Standaard 18 2 2 4 3 2 3" xfId="15262"/>
    <cellStyle name="Standaard 18 2 2 4 3 2 3 2" xfId="15263"/>
    <cellStyle name="Standaard 18 2 2 4 3 2 4" xfId="15264"/>
    <cellStyle name="Standaard 18 2 2 4 3 3" xfId="15265"/>
    <cellStyle name="Standaard 18 2 2 4 3 3 2" xfId="15266"/>
    <cellStyle name="Standaard 18 2 2 4 3 3 2 2" xfId="15267"/>
    <cellStyle name="Standaard 18 2 2 4 3 3 3" xfId="15268"/>
    <cellStyle name="Standaard 18 2 2 4 3 4" xfId="15269"/>
    <cellStyle name="Standaard 18 2 2 4 3 4 2" xfId="15270"/>
    <cellStyle name="Standaard 18 2 2 4 3 5" xfId="15271"/>
    <cellStyle name="Standaard 18 2 2 4 3 6" xfId="15272"/>
    <cellStyle name="Standaard 18 2 2 4 4" xfId="15273"/>
    <cellStyle name="Standaard 18 2 2 4 4 2" xfId="15274"/>
    <cellStyle name="Standaard 18 2 2 4 4 2 2" xfId="15275"/>
    <cellStyle name="Standaard 18 2 2 4 4 2 2 2" xfId="15276"/>
    <cellStyle name="Standaard 18 2 2 4 4 2 3" xfId="15277"/>
    <cellStyle name="Standaard 18 2 2 4 4 3" xfId="15278"/>
    <cellStyle name="Standaard 18 2 2 4 4 3 2" xfId="15279"/>
    <cellStyle name="Standaard 18 2 2 4 4 4" xfId="15280"/>
    <cellStyle name="Standaard 18 2 2 4 5" xfId="15281"/>
    <cellStyle name="Standaard 18 2 2 4 5 2" xfId="15282"/>
    <cellStyle name="Standaard 18 2 2 4 5 2 2" xfId="15283"/>
    <cellStyle name="Standaard 18 2 2 4 5 3" xfId="15284"/>
    <cellStyle name="Standaard 18 2 2 4 6" xfId="15285"/>
    <cellStyle name="Standaard 18 2 2 4 6 2" xfId="15286"/>
    <cellStyle name="Standaard 18 2 2 4 7" xfId="15287"/>
    <cellStyle name="Standaard 18 2 2 4 8" xfId="15288"/>
    <cellStyle name="Standaard 18 2 2 5" xfId="15289"/>
    <cellStyle name="Standaard 18 2 2 5 2" xfId="15290"/>
    <cellStyle name="Standaard 18 2 2 5 2 2" xfId="15291"/>
    <cellStyle name="Standaard 18 2 2 5 2 2 2" xfId="15292"/>
    <cellStyle name="Standaard 18 2 2 5 2 2 2 2" xfId="15293"/>
    <cellStyle name="Standaard 18 2 2 5 2 2 2 2 2" xfId="15294"/>
    <cellStyle name="Standaard 18 2 2 5 2 2 2 3" xfId="15295"/>
    <cellStyle name="Standaard 18 2 2 5 2 2 3" xfId="15296"/>
    <cellStyle name="Standaard 18 2 2 5 2 2 3 2" xfId="15297"/>
    <cellStyle name="Standaard 18 2 2 5 2 2 4" xfId="15298"/>
    <cellStyle name="Standaard 18 2 2 5 2 3" xfId="15299"/>
    <cellStyle name="Standaard 18 2 2 5 2 3 2" xfId="15300"/>
    <cellStyle name="Standaard 18 2 2 5 2 3 2 2" xfId="15301"/>
    <cellStyle name="Standaard 18 2 2 5 2 3 3" xfId="15302"/>
    <cellStyle name="Standaard 18 2 2 5 2 4" xfId="15303"/>
    <cellStyle name="Standaard 18 2 2 5 2 4 2" xfId="15304"/>
    <cellStyle name="Standaard 18 2 2 5 2 5" xfId="15305"/>
    <cellStyle name="Standaard 18 2 2 5 2 6" xfId="15306"/>
    <cellStyle name="Standaard 18 2 2 5 3" xfId="15307"/>
    <cellStyle name="Standaard 18 2 2 5 3 2" xfId="15308"/>
    <cellStyle name="Standaard 18 2 2 5 3 2 2" xfId="15309"/>
    <cellStyle name="Standaard 18 2 2 5 3 2 2 2" xfId="15310"/>
    <cellStyle name="Standaard 18 2 2 5 3 2 3" xfId="15311"/>
    <cellStyle name="Standaard 18 2 2 5 3 3" xfId="15312"/>
    <cellStyle name="Standaard 18 2 2 5 3 3 2" xfId="15313"/>
    <cellStyle name="Standaard 18 2 2 5 3 4" xfId="15314"/>
    <cellStyle name="Standaard 18 2 2 5 4" xfId="15315"/>
    <cellStyle name="Standaard 18 2 2 5 4 2" xfId="15316"/>
    <cellStyle name="Standaard 18 2 2 5 4 2 2" xfId="15317"/>
    <cellStyle name="Standaard 18 2 2 5 4 3" xfId="15318"/>
    <cellStyle name="Standaard 18 2 2 5 5" xfId="15319"/>
    <cellStyle name="Standaard 18 2 2 5 5 2" xfId="15320"/>
    <cellStyle name="Standaard 18 2 2 5 6" xfId="15321"/>
    <cellStyle name="Standaard 18 2 2 5 7" xfId="15322"/>
    <cellStyle name="Standaard 18 2 2 6" xfId="15323"/>
    <cellStyle name="Standaard 18 2 2 6 2" xfId="15324"/>
    <cellStyle name="Standaard 18 2 2 6 2 2" xfId="15325"/>
    <cellStyle name="Standaard 18 2 2 6 2 2 2" xfId="15326"/>
    <cellStyle name="Standaard 18 2 2 6 2 2 2 2" xfId="15327"/>
    <cellStyle name="Standaard 18 2 2 6 2 2 3" xfId="15328"/>
    <cellStyle name="Standaard 18 2 2 6 2 3" xfId="15329"/>
    <cellStyle name="Standaard 18 2 2 6 2 3 2" xfId="15330"/>
    <cellStyle name="Standaard 18 2 2 6 2 4" xfId="15331"/>
    <cellStyle name="Standaard 18 2 2 6 3" xfId="15332"/>
    <cellStyle name="Standaard 18 2 2 6 3 2" xfId="15333"/>
    <cellStyle name="Standaard 18 2 2 6 3 2 2" xfId="15334"/>
    <cellStyle name="Standaard 18 2 2 6 3 3" xfId="15335"/>
    <cellStyle name="Standaard 18 2 2 6 4" xfId="15336"/>
    <cellStyle name="Standaard 18 2 2 6 4 2" xfId="15337"/>
    <cellStyle name="Standaard 18 2 2 6 5" xfId="15338"/>
    <cellStyle name="Standaard 18 2 2 6 6" xfId="15339"/>
    <cellStyle name="Standaard 18 2 2 7" xfId="15340"/>
    <cellStyle name="Standaard 18 2 2 7 2" xfId="15341"/>
    <cellStyle name="Standaard 18 2 2 7 2 2" xfId="15342"/>
    <cellStyle name="Standaard 18 2 2 7 2 2 2" xfId="15343"/>
    <cellStyle name="Standaard 18 2 2 7 2 3" xfId="15344"/>
    <cellStyle name="Standaard 18 2 2 7 3" xfId="15345"/>
    <cellStyle name="Standaard 18 2 2 7 3 2" xfId="15346"/>
    <cellStyle name="Standaard 18 2 2 7 4" xfId="15347"/>
    <cellStyle name="Standaard 18 2 2 8" xfId="15348"/>
    <cellStyle name="Standaard 18 2 2 8 2" xfId="15349"/>
    <cellStyle name="Standaard 18 2 2 8 2 2" xfId="15350"/>
    <cellStyle name="Standaard 18 2 2 8 3" xfId="15351"/>
    <cellStyle name="Standaard 18 2 2 9" xfId="15352"/>
    <cellStyle name="Standaard 18 2 2 9 2" xfId="15353"/>
    <cellStyle name="Standaard 18 2 3" xfId="15354"/>
    <cellStyle name="Standaard 18 2 3 2" xfId="15355"/>
    <cellStyle name="Standaard 18 2 3 2 2" xfId="15356"/>
    <cellStyle name="Standaard 18 2 3 2 2 2" xfId="15357"/>
    <cellStyle name="Standaard 18 2 3 2 2 2 2" xfId="15358"/>
    <cellStyle name="Standaard 18 2 3 2 2 2 2 2" xfId="15359"/>
    <cellStyle name="Standaard 18 2 3 2 2 2 2 2 2" xfId="15360"/>
    <cellStyle name="Standaard 18 2 3 2 2 2 2 2 2 2" xfId="15361"/>
    <cellStyle name="Standaard 18 2 3 2 2 2 2 2 3" xfId="15362"/>
    <cellStyle name="Standaard 18 2 3 2 2 2 2 3" xfId="15363"/>
    <cellStyle name="Standaard 18 2 3 2 2 2 2 3 2" xfId="15364"/>
    <cellStyle name="Standaard 18 2 3 2 2 2 2 4" xfId="15365"/>
    <cellStyle name="Standaard 18 2 3 2 2 2 3" xfId="15366"/>
    <cellStyle name="Standaard 18 2 3 2 2 2 3 2" xfId="15367"/>
    <cellStyle name="Standaard 18 2 3 2 2 2 3 2 2" xfId="15368"/>
    <cellStyle name="Standaard 18 2 3 2 2 2 3 3" xfId="15369"/>
    <cellStyle name="Standaard 18 2 3 2 2 2 4" xfId="15370"/>
    <cellStyle name="Standaard 18 2 3 2 2 2 4 2" xfId="15371"/>
    <cellStyle name="Standaard 18 2 3 2 2 2 5" xfId="15372"/>
    <cellStyle name="Standaard 18 2 3 2 2 2 6" xfId="15373"/>
    <cellStyle name="Standaard 18 2 3 2 2 3" xfId="15374"/>
    <cellStyle name="Standaard 18 2 3 2 2 3 2" xfId="15375"/>
    <cellStyle name="Standaard 18 2 3 2 2 3 2 2" xfId="15376"/>
    <cellStyle name="Standaard 18 2 3 2 2 3 2 2 2" xfId="15377"/>
    <cellStyle name="Standaard 18 2 3 2 2 3 2 3" xfId="15378"/>
    <cellStyle name="Standaard 18 2 3 2 2 3 3" xfId="15379"/>
    <cellStyle name="Standaard 18 2 3 2 2 3 3 2" xfId="15380"/>
    <cellStyle name="Standaard 18 2 3 2 2 3 4" xfId="15381"/>
    <cellStyle name="Standaard 18 2 3 2 2 4" xfId="15382"/>
    <cellStyle name="Standaard 18 2 3 2 2 4 2" xfId="15383"/>
    <cellStyle name="Standaard 18 2 3 2 2 4 2 2" xfId="15384"/>
    <cellStyle name="Standaard 18 2 3 2 2 4 3" xfId="15385"/>
    <cellStyle name="Standaard 18 2 3 2 2 5" xfId="15386"/>
    <cellStyle name="Standaard 18 2 3 2 2 5 2" xfId="15387"/>
    <cellStyle name="Standaard 18 2 3 2 2 6" xfId="15388"/>
    <cellStyle name="Standaard 18 2 3 2 2 7" xfId="15389"/>
    <cellStyle name="Standaard 18 2 3 2 3" xfId="15390"/>
    <cellStyle name="Standaard 18 2 3 2 3 2" xfId="15391"/>
    <cellStyle name="Standaard 18 2 3 2 3 2 2" xfId="15392"/>
    <cellStyle name="Standaard 18 2 3 2 3 2 2 2" xfId="15393"/>
    <cellStyle name="Standaard 18 2 3 2 3 2 2 2 2" xfId="15394"/>
    <cellStyle name="Standaard 18 2 3 2 3 2 2 3" xfId="15395"/>
    <cellStyle name="Standaard 18 2 3 2 3 2 3" xfId="15396"/>
    <cellStyle name="Standaard 18 2 3 2 3 2 3 2" xfId="15397"/>
    <cellStyle name="Standaard 18 2 3 2 3 2 4" xfId="15398"/>
    <cellStyle name="Standaard 18 2 3 2 3 3" xfId="15399"/>
    <cellStyle name="Standaard 18 2 3 2 3 3 2" xfId="15400"/>
    <cellStyle name="Standaard 18 2 3 2 3 3 2 2" xfId="15401"/>
    <cellStyle name="Standaard 18 2 3 2 3 3 3" xfId="15402"/>
    <cellStyle name="Standaard 18 2 3 2 3 4" xfId="15403"/>
    <cellStyle name="Standaard 18 2 3 2 3 4 2" xfId="15404"/>
    <cellStyle name="Standaard 18 2 3 2 3 5" xfId="15405"/>
    <cellStyle name="Standaard 18 2 3 2 3 6" xfId="15406"/>
    <cellStyle name="Standaard 18 2 3 2 4" xfId="15407"/>
    <cellStyle name="Standaard 18 2 3 2 4 2" xfId="15408"/>
    <cellStyle name="Standaard 18 2 3 2 4 2 2" xfId="15409"/>
    <cellStyle name="Standaard 18 2 3 2 4 2 2 2" xfId="15410"/>
    <cellStyle name="Standaard 18 2 3 2 4 2 3" xfId="15411"/>
    <cellStyle name="Standaard 18 2 3 2 4 3" xfId="15412"/>
    <cellStyle name="Standaard 18 2 3 2 4 3 2" xfId="15413"/>
    <cellStyle name="Standaard 18 2 3 2 4 4" xfId="15414"/>
    <cellStyle name="Standaard 18 2 3 2 5" xfId="15415"/>
    <cellStyle name="Standaard 18 2 3 2 5 2" xfId="15416"/>
    <cellStyle name="Standaard 18 2 3 2 5 2 2" xfId="15417"/>
    <cellStyle name="Standaard 18 2 3 2 5 3" xfId="15418"/>
    <cellStyle name="Standaard 18 2 3 2 6" xfId="15419"/>
    <cellStyle name="Standaard 18 2 3 2 6 2" xfId="15420"/>
    <cellStyle name="Standaard 18 2 3 2 7" xfId="15421"/>
    <cellStyle name="Standaard 18 2 3 2 8" xfId="15422"/>
    <cellStyle name="Standaard 18 2 3 3" xfId="15423"/>
    <cellStyle name="Standaard 18 2 3 3 2" xfId="15424"/>
    <cellStyle name="Standaard 18 2 3 3 2 2" xfId="15425"/>
    <cellStyle name="Standaard 18 2 3 3 2 2 2" xfId="15426"/>
    <cellStyle name="Standaard 18 2 3 3 2 2 2 2" xfId="15427"/>
    <cellStyle name="Standaard 18 2 3 3 2 2 2 2 2" xfId="15428"/>
    <cellStyle name="Standaard 18 2 3 3 2 2 2 3" xfId="15429"/>
    <cellStyle name="Standaard 18 2 3 3 2 2 3" xfId="15430"/>
    <cellStyle name="Standaard 18 2 3 3 2 2 3 2" xfId="15431"/>
    <cellStyle name="Standaard 18 2 3 3 2 2 4" xfId="15432"/>
    <cellStyle name="Standaard 18 2 3 3 2 3" xfId="15433"/>
    <cellStyle name="Standaard 18 2 3 3 2 3 2" xfId="15434"/>
    <cellStyle name="Standaard 18 2 3 3 2 3 2 2" xfId="15435"/>
    <cellStyle name="Standaard 18 2 3 3 2 3 3" xfId="15436"/>
    <cellStyle name="Standaard 18 2 3 3 2 4" xfId="15437"/>
    <cellStyle name="Standaard 18 2 3 3 2 4 2" xfId="15438"/>
    <cellStyle name="Standaard 18 2 3 3 2 5" xfId="15439"/>
    <cellStyle name="Standaard 18 2 3 3 2 6" xfId="15440"/>
    <cellStyle name="Standaard 18 2 3 3 3" xfId="15441"/>
    <cellStyle name="Standaard 18 2 3 3 3 2" xfId="15442"/>
    <cellStyle name="Standaard 18 2 3 3 3 2 2" xfId="15443"/>
    <cellStyle name="Standaard 18 2 3 3 3 2 2 2" xfId="15444"/>
    <cellStyle name="Standaard 18 2 3 3 3 2 3" xfId="15445"/>
    <cellStyle name="Standaard 18 2 3 3 3 3" xfId="15446"/>
    <cellStyle name="Standaard 18 2 3 3 3 3 2" xfId="15447"/>
    <cellStyle name="Standaard 18 2 3 3 3 4" xfId="15448"/>
    <cellStyle name="Standaard 18 2 3 3 4" xfId="15449"/>
    <cellStyle name="Standaard 18 2 3 3 4 2" xfId="15450"/>
    <cellStyle name="Standaard 18 2 3 3 4 2 2" xfId="15451"/>
    <cellStyle name="Standaard 18 2 3 3 4 3" xfId="15452"/>
    <cellStyle name="Standaard 18 2 3 3 5" xfId="15453"/>
    <cellStyle name="Standaard 18 2 3 3 5 2" xfId="15454"/>
    <cellStyle name="Standaard 18 2 3 3 6" xfId="15455"/>
    <cellStyle name="Standaard 18 2 3 3 7" xfId="15456"/>
    <cellStyle name="Standaard 18 2 3 4" xfId="15457"/>
    <cellStyle name="Standaard 18 2 3 4 2" xfId="15458"/>
    <cellStyle name="Standaard 18 2 3 4 2 2" xfId="15459"/>
    <cellStyle name="Standaard 18 2 3 4 2 2 2" xfId="15460"/>
    <cellStyle name="Standaard 18 2 3 4 2 2 2 2" xfId="15461"/>
    <cellStyle name="Standaard 18 2 3 4 2 2 3" xfId="15462"/>
    <cellStyle name="Standaard 18 2 3 4 2 3" xfId="15463"/>
    <cellStyle name="Standaard 18 2 3 4 2 3 2" xfId="15464"/>
    <cellStyle name="Standaard 18 2 3 4 2 4" xfId="15465"/>
    <cellStyle name="Standaard 18 2 3 4 3" xfId="15466"/>
    <cellStyle name="Standaard 18 2 3 4 3 2" xfId="15467"/>
    <cellStyle name="Standaard 18 2 3 4 3 2 2" xfId="15468"/>
    <cellStyle name="Standaard 18 2 3 4 3 3" xfId="15469"/>
    <cellStyle name="Standaard 18 2 3 4 4" xfId="15470"/>
    <cellStyle name="Standaard 18 2 3 4 4 2" xfId="15471"/>
    <cellStyle name="Standaard 18 2 3 4 5" xfId="15472"/>
    <cellStyle name="Standaard 18 2 3 4 6" xfId="15473"/>
    <cellStyle name="Standaard 18 2 3 5" xfId="15474"/>
    <cellStyle name="Standaard 18 2 3 5 2" xfId="15475"/>
    <cellStyle name="Standaard 18 2 3 5 2 2" xfId="15476"/>
    <cellStyle name="Standaard 18 2 3 5 2 2 2" xfId="15477"/>
    <cellStyle name="Standaard 18 2 3 5 2 3" xfId="15478"/>
    <cellStyle name="Standaard 18 2 3 5 3" xfId="15479"/>
    <cellStyle name="Standaard 18 2 3 5 3 2" xfId="15480"/>
    <cellStyle name="Standaard 18 2 3 5 4" xfId="15481"/>
    <cellStyle name="Standaard 18 2 3 6" xfId="15482"/>
    <cellStyle name="Standaard 18 2 3 6 2" xfId="15483"/>
    <cellStyle name="Standaard 18 2 3 6 2 2" xfId="15484"/>
    <cellStyle name="Standaard 18 2 3 6 3" xfId="15485"/>
    <cellStyle name="Standaard 18 2 3 7" xfId="15486"/>
    <cellStyle name="Standaard 18 2 3 7 2" xfId="15487"/>
    <cellStyle name="Standaard 18 2 3 8" xfId="15488"/>
    <cellStyle name="Standaard 18 2 3 9" xfId="15489"/>
    <cellStyle name="Standaard 18 2 4" xfId="15490"/>
    <cellStyle name="Standaard 18 2 4 2" xfId="15491"/>
    <cellStyle name="Standaard 18 2 4 2 2" xfId="15492"/>
    <cellStyle name="Standaard 18 2 4 2 2 2" xfId="15493"/>
    <cellStyle name="Standaard 18 2 4 2 2 2 2" xfId="15494"/>
    <cellStyle name="Standaard 18 2 4 2 2 2 2 2" xfId="15495"/>
    <cellStyle name="Standaard 18 2 4 2 2 2 2 2 2" xfId="15496"/>
    <cellStyle name="Standaard 18 2 4 2 2 2 2 3" xfId="15497"/>
    <cellStyle name="Standaard 18 2 4 2 2 2 3" xfId="15498"/>
    <cellStyle name="Standaard 18 2 4 2 2 2 3 2" xfId="15499"/>
    <cellStyle name="Standaard 18 2 4 2 2 2 4" xfId="15500"/>
    <cellStyle name="Standaard 18 2 4 2 2 3" xfId="15501"/>
    <cellStyle name="Standaard 18 2 4 2 2 3 2" xfId="15502"/>
    <cellStyle name="Standaard 18 2 4 2 2 3 2 2" xfId="15503"/>
    <cellStyle name="Standaard 18 2 4 2 2 3 3" xfId="15504"/>
    <cellStyle name="Standaard 18 2 4 2 2 4" xfId="15505"/>
    <cellStyle name="Standaard 18 2 4 2 2 4 2" xfId="15506"/>
    <cellStyle name="Standaard 18 2 4 2 2 5" xfId="15507"/>
    <cellStyle name="Standaard 18 2 4 2 2 6" xfId="15508"/>
    <cellStyle name="Standaard 18 2 4 2 3" xfId="15509"/>
    <cellStyle name="Standaard 18 2 4 2 3 2" xfId="15510"/>
    <cellStyle name="Standaard 18 2 4 2 3 2 2" xfId="15511"/>
    <cellStyle name="Standaard 18 2 4 2 3 2 2 2" xfId="15512"/>
    <cellStyle name="Standaard 18 2 4 2 3 2 3" xfId="15513"/>
    <cellStyle name="Standaard 18 2 4 2 3 3" xfId="15514"/>
    <cellStyle name="Standaard 18 2 4 2 3 3 2" xfId="15515"/>
    <cellStyle name="Standaard 18 2 4 2 3 4" xfId="15516"/>
    <cellStyle name="Standaard 18 2 4 2 4" xfId="15517"/>
    <cellStyle name="Standaard 18 2 4 2 4 2" xfId="15518"/>
    <cellStyle name="Standaard 18 2 4 2 4 2 2" xfId="15519"/>
    <cellStyle name="Standaard 18 2 4 2 4 3" xfId="15520"/>
    <cellStyle name="Standaard 18 2 4 2 5" xfId="15521"/>
    <cellStyle name="Standaard 18 2 4 2 5 2" xfId="15522"/>
    <cellStyle name="Standaard 18 2 4 2 6" xfId="15523"/>
    <cellStyle name="Standaard 18 2 4 2 7" xfId="15524"/>
    <cellStyle name="Standaard 18 2 4 3" xfId="15525"/>
    <cellStyle name="Standaard 18 2 4 3 2" xfId="15526"/>
    <cellStyle name="Standaard 18 2 4 3 2 2" xfId="15527"/>
    <cellStyle name="Standaard 18 2 4 3 2 2 2" xfId="15528"/>
    <cellStyle name="Standaard 18 2 4 3 2 2 2 2" xfId="15529"/>
    <cellStyle name="Standaard 18 2 4 3 2 2 3" xfId="15530"/>
    <cellStyle name="Standaard 18 2 4 3 2 3" xfId="15531"/>
    <cellStyle name="Standaard 18 2 4 3 2 3 2" xfId="15532"/>
    <cellStyle name="Standaard 18 2 4 3 2 4" xfId="15533"/>
    <cellStyle name="Standaard 18 2 4 3 3" xfId="15534"/>
    <cellStyle name="Standaard 18 2 4 3 3 2" xfId="15535"/>
    <cellStyle name="Standaard 18 2 4 3 3 2 2" xfId="15536"/>
    <cellStyle name="Standaard 18 2 4 3 3 3" xfId="15537"/>
    <cellStyle name="Standaard 18 2 4 3 4" xfId="15538"/>
    <cellStyle name="Standaard 18 2 4 3 4 2" xfId="15539"/>
    <cellStyle name="Standaard 18 2 4 3 5" xfId="15540"/>
    <cellStyle name="Standaard 18 2 4 3 6" xfId="15541"/>
    <cellStyle name="Standaard 18 2 4 4" xfId="15542"/>
    <cellStyle name="Standaard 18 2 4 4 2" xfId="15543"/>
    <cellStyle name="Standaard 18 2 4 4 2 2" xfId="15544"/>
    <cellStyle name="Standaard 18 2 4 4 2 2 2" xfId="15545"/>
    <cellStyle name="Standaard 18 2 4 4 2 3" xfId="15546"/>
    <cellStyle name="Standaard 18 2 4 4 3" xfId="15547"/>
    <cellStyle name="Standaard 18 2 4 4 3 2" xfId="15548"/>
    <cellStyle name="Standaard 18 2 4 4 4" xfId="15549"/>
    <cellStyle name="Standaard 18 2 4 5" xfId="15550"/>
    <cellStyle name="Standaard 18 2 4 5 2" xfId="15551"/>
    <cellStyle name="Standaard 18 2 4 5 2 2" xfId="15552"/>
    <cellStyle name="Standaard 18 2 4 5 3" xfId="15553"/>
    <cellStyle name="Standaard 18 2 4 6" xfId="15554"/>
    <cellStyle name="Standaard 18 2 4 6 2" xfId="15555"/>
    <cellStyle name="Standaard 18 2 4 7" xfId="15556"/>
    <cellStyle name="Standaard 18 2 4 8" xfId="15557"/>
    <cellStyle name="Standaard 18 2 5" xfId="15558"/>
    <cellStyle name="Standaard 18 2 5 2" xfId="15559"/>
    <cellStyle name="Standaard 18 2 5 2 2" xfId="15560"/>
    <cellStyle name="Standaard 18 2 5 2 2 2" xfId="15561"/>
    <cellStyle name="Standaard 18 2 5 2 2 2 2" xfId="15562"/>
    <cellStyle name="Standaard 18 2 5 2 2 2 2 2" xfId="15563"/>
    <cellStyle name="Standaard 18 2 5 2 2 2 2 2 2" xfId="15564"/>
    <cellStyle name="Standaard 18 2 5 2 2 2 2 3" xfId="15565"/>
    <cellStyle name="Standaard 18 2 5 2 2 2 3" xfId="15566"/>
    <cellStyle name="Standaard 18 2 5 2 2 2 3 2" xfId="15567"/>
    <cellStyle name="Standaard 18 2 5 2 2 2 4" xfId="15568"/>
    <cellStyle name="Standaard 18 2 5 2 2 3" xfId="15569"/>
    <cellStyle name="Standaard 18 2 5 2 2 3 2" xfId="15570"/>
    <cellStyle name="Standaard 18 2 5 2 2 3 2 2" xfId="15571"/>
    <cellStyle name="Standaard 18 2 5 2 2 3 3" xfId="15572"/>
    <cellStyle name="Standaard 18 2 5 2 2 4" xfId="15573"/>
    <cellStyle name="Standaard 18 2 5 2 2 4 2" xfId="15574"/>
    <cellStyle name="Standaard 18 2 5 2 2 5" xfId="15575"/>
    <cellStyle name="Standaard 18 2 5 2 2 6" xfId="15576"/>
    <cellStyle name="Standaard 18 2 5 2 3" xfId="15577"/>
    <cellStyle name="Standaard 18 2 5 2 3 2" xfId="15578"/>
    <cellStyle name="Standaard 18 2 5 2 3 2 2" xfId="15579"/>
    <cellStyle name="Standaard 18 2 5 2 3 2 2 2" xfId="15580"/>
    <cellStyle name="Standaard 18 2 5 2 3 2 3" xfId="15581"/>
    <cellStyle name="Standaard 18 2 5 2 3 3" xfId="15582"/>
    <cellStyle name="Standaard 18 2 5 2 3 3 2" xfId="15583"/>
    <cellStyle name="Standaard 18 2 5 2 3 4" xfId="15584"/>
    <cellStyle name="Standaard 18 2 5 2 4" xfId="15585"/>
    <cellStyle name="Standaard 18 2 5 2 4 2" xfId="15586"/>
    <cellStyle name="Standaard 18 2 5 2 4 2 2" xfId="15587"/>
    <cellStyle name="Standaard 18 2 5 2 4 3" xfId="15588"/>
    <cellStyle name="Standaard 18 2 5 2 5" xfId="15589"/>
    <cellStyle name="Standaard 18 2 5 2 5 2" xfId="15590"/>
    <cellStyle name="Standaard 18 2 5 2 6" xfId="15591"/>
    <cellStyle name="Standaard 18 2 5 2 7" xfId="15592"/>
    <cellStyle name="Standaard 18 2 5 3" xfId="15593"/>
    <cellStyle name="Standaard 18 2 5 3 2" xfId="15594"/>
    <cellStyle name="Standaard 18 2 5 3 2 2" xfId="15595"/>
    <cellStyle name="Standaard 18 2 5 3 2 2 2" xfId="15596"/>
    <cellStyle name="Standaard 18 2 5 3 2 2 2 2" xfId="15597"/>
    <cellStyle name="Standaard 18 2 5 3 2 2 3" xfId="15598"/>
    <cellStyle name="Standaard 18 2 5 3 2 3" xfId="15599"/>
    <cellStyle name="Standaard 18 2 5 3 2 3 2" xfId="15600"/>
    <cellStyle name="Standaard 18 2 5 3 2 4" xfId="15601"/>
    <cellStyle name="Standaard 18 2 5 3 3" xfId="15602"/>
    <cellStyle name="Standaard 18 2 5 3 3 2" xfId="15603"/>
    <cellStyle name="Standaard 18 2 5 3 3 2 2" xfId="15604"/>
    <cellStyle name="Standaard 18 2 5 3 3 3" xfId="15605"/>
    <cellStyle name="Standaard 18 2 5 3 4" xfId="15606"/>
    <cellStyle name="Standaard 18 2 5 3 4 2" xfId="15607"/>
    <cellStyle name="Standaard 18 2 5 3 5" xfId="15608"/>
    <cellStyle name="Standaard 18 2 5 3 6" xfId="15609"/>
    <cellStyle name="Standaard 18 2 5 4" xfId="15610"/>
    <cellStyle name="Standaard 18 2 5 4 2" xfId="15611"/>
    <cellStyle name="Standaard 18 2 5 4 2 2" xfId="15612"/>
    <cellStyle name="Standaard 18 2 5 4 2 2 2" xfId="15613"/>
    <cellStyle name="Standaard 18 2 5 4 2 3" xfId="15614"/>
    <cellStyle name="Standaard 18 2 5 4 3" xfId="15615"/>
    <cellStyle name="Standaard 18 2 5 4 3 2" xfId="15616"/>
    <cellStyle name="Standaard 18 2 5 4 4" xfId="15617"/>
    <cellStyle name="Standaard 18 2 5 5" xfId="15618"/>
    <cellStyle name="Standaard 18 2 5 5 2" xfId="15619"/>
    <cellStyle name="Standaard 18 2 5 5 2 2" xfId="15620"/>
    <cellStyle name="Standaard 18 2 5 5 3" xfId="15621"/>
    <cellStyle name="Standaard 18 2 5 6" xfId="15622"/>
    <cellStyle name="Standaard 18 2 5 6 2" xfId="15623"/>
    <cellStyle name="Standaard 18 2 5 7" xfId="15624"/>
    <cellStyle name="Standaard 18 2 5 8" xfId="15625"/>
    <cellStyle name="Standaard 18 2 6" xfId="15626"/>
    <cellStyle name="Standaard 18 2 6 2" xfId="15627"/>
    <cellStyle name="Standaard 18 2 6 2 2" xfId="15628"/>
    <cellStyle name="Standaard 18 2 6 2 2 2" xfId="15629"/>
    <cellStyle name="Standaard 18 2 6 2 2 2 2" xfId="15630"/>
    <cellStyle name="Standaard 18 2 6 2 2 2 2 2" xfId="15631"/>
    <cellStyle name="Standaard 18 2 6 2 2 2 3" xfId="15632"/>
    <cellStyle name="Standaard 18 2 6 2 2 3" xfId="15633"/>
    <cellStyle name="Standaard 18 2 6 2 2 3 2" xfId="15634"/>
    <cellStyle name="Standaard 18 2 6 2 2 4" xfId="15635"/>
    <cellStyle name="Standaard 18 2 6 2 3" xfId="15636"/>
    <cellStyle name="Standaard 18 2 6 2 3 2" xfId="15637"/>
    <cellStyle name="Standaard 18 2 6 2 3 2 2" xfId="15638"/>
    <cellStyle name="Standaard 18 2 6 2 3 3" xfId="15639"/>
    <cellStyle name="Standaard 18 2 6 2 4" xfId="15640"/>
    <cellStyle name="Standaard 18 2 6 2 4 2" xfId="15641"/>
    <cellStyle name="Standaard 18 2 6 2 5" xfId="15642"/>
    <cellStyle name="Standaard 18 2 6 2 6" xfId="15643"/>
    <cellStyle name="Standaard 18 2 6 3" xfId="15644"/>
    <cellStyle name="Standaard 18 2 6 3 2" xfId="15645"/>
    <cellStyle name="Standaard 18 2 6 3 2 2" xfId="15646"/>
    <cellStyle name="Standaard 18 2 6 3 2 2 2" xfId="15647"/>
    <cellStyle name="Standaard 18 2 6 3 2 3" xfId="15648"/>
    <cellStyle name="Standaard 18 2 6 3 3" xfId="15649"/>
    <cellStyle name="Standaard 18 2 6 3 3 2" xfId="15650"/>
    <cellStyle name="Standaard 18 2 6 3 4" xfId="15651"/>
    <cellStyle name="Standaard 18 2 6 4" xfId="15652"/>
    <cellStyle name="Standaard 18 2 6 4 2" xfId="15653"/>
    <cellStyle name="Standaard 18 2 6 4 2 2" xfId="15654"/>
    <cellStyle name="Standaard 18 2 6 4 3" xfId="15655"/>
    <cellStyle name="Standaard 18 2 6 5" xfId="15656"/>
    <cellStyle name="Standaard 18 2 6 5 2" xfId="15657"/>
    <cellStyle name="Standaard 18 2 6 6" xfId="15658"/>
    <cellStyle name="Standaard 18 2 6 7" xfId="15659"/>
    <cellStyle name="Standaard 18 2 7" xfId="15660"/>
    <cellStyle name="Standaard 18 2 7 2" xfId="15661"/>
    <cellStyle name="Standaard 18 2 7 2 2" xfId="15662"/>
    <cellStyle name="Standaard 18 2 7 2 2 2" xfId="15663"/>
    <cellStyle name="Standaard 18 2 7 2 2 2 2" xfId="15664"/>
    <cellStyle name="Standaard 18 2 7 2 2 3" xfId="15665"/>
    <cellStyle name="Standaard 18 2 7 2 3" xfId="15666"/>
    <cellStyle name="Standaard 18 2 7 2 3 2" xfId="15667"/>
    <cellStyle name="Standaard 18 2 7 2 4" xfId="15668"/>
    <cellStyle name="Standaard 18 2 7 3" xfId="15669"/>
    <cellStyle name="Standaard 18 2 7 3 2" xfId="15670"/>
    <cellStyle name="Standaard 18 2 7 3 2 2" xfId="15671"/>
    <cellStyle name="Standaard 18 2 7 3 3" xfId="15672"/>
    <cellStyle name="Standaard 18 2 7 4" xfId="15673"/>
    <cellStyle name="Standaard 18 2 7 4 2" xfId="15674"/>
    <cellStyle name="Standaard 18 2 7 5" xfId="15675"/>
    <cellStyle name="Standaard 18 2 7 6" xfId="15676"/>
    <cellStyle name="Standaard 18 2 8" xfId="15677"/>
    <cellStyle name="Standaard 18 2 8 2" xfId="15678"/>
    <cellStyle name="Standaard 18 2 8 2 2" xfId="15679"/>
    <cellStyle name="Standaard 18 2 8 2 2 2" xfId="15680"/>
    <cellStyle name="Standaard 18 2 8 2 3" xfId="15681"/>
    <cellStyle name="Standaard 18 2 8 3" xfId="15682"/>
    <cellStyle name="Standaard 18 2 8 3 2" xfId="15683"/>
    <cellStyle name="Standaard 18 2 8 4" xfId="15684"/>
    <cellStyle name="Standaard 18 2 9" xfId="15685"/>
    <cellStyle name="Standaard 18 2 9 2" xfId="15686"/>
    <cellStyle name="Standaard 18 2 9 2 2" xfId="15687"/>
    <cellStyle name="Standaard 18 2 9 3" xfId="15688"/>
    <cellStyle name="Standaard 18 3" xfId="15689"/>
    <cellStyle name="Standaard 18 3 10" xfId="15690"/>
    <cellStyle name="Standaard 18 3 11" xfId="15691"/>
    <cellStyle name="Standaard 18 3 2" xfId="15692"/>
    <cellStyle name="Standaard 18 3 2 2" xfId="15693"/>
    <cellStyle name="Standaard 18 3 2 2 2" xfId="15694"/>
    <cellStyle name="Standaard 18 3 2 2 2 2" xfId="15695"/>
    <cellStyle name="Standaard 18 3 2 2 2 2 2" xfId="15696"/>
    <cellStyle name="Standaard 18 3 2 2 2 2 2 2" xfId="15697"/>
    <cellStyle name="Standaard 18 3 2 2 2 2 2 2 2" xfId="15698"/>
    <cellStyle name="Standaard 18 3 2 2 2 2 2 2 2 2" xfId="15699"/>
    <cellStyle name="Standaard 18 3 2 2 2 2 2 2 3" xfId="15700"/>
    <cellStyle name="Standaard 18 3 2 2 2 2 2 3" xfId="15701"/>
    <cellStyle name="Standaard 18 3 2 2 2 2 2 3 2" xfId="15702"/>
    <cellStyle name="Standaard 18 3 2 2 2 2 2 4" xfId="15703"/>
    <cellStyle name="Standaard 18 3 2 2 2 2 3" xfId="15704"/>
    <cellStyle name="Standaard 18 3 2 2 2 2 3 2" xfId="15705"/>
    <cellStyle name="Standaard 18 3 2 2 2 2 3 2 2" xfId="15706"/>
    <cellStyle name="Standaard 18 3 2 2 2 2 3 3" xfId="15707"/>
    <cellStyle name="Standaard 18 3 2 2 2 2 4" xfId="15708"/>
    <cellStyle name="Standaard 18 3 2 2 2 2 4 2" xfId="15709"/>
    <cellStyle name="Standaard 18 3 2 2 2 2 5" xfId="15710"/>
    <cellStyle name="Standaard 18 3 2 2 2 2 6" xfId="15711"/>
    <cellStyle name="Standaard 18 3 2 2 2 3" xfId="15712"/>
    <cellStyle name="Standaard 18 3 2 2 2 3 2" xfId="15713"/>
    <cellStyle name="Standaard 18 3 2 2 2 3 2 2" xfId="15714"/>
    <cellStyle name="Standaard 18 3 2 2 2 3 2 2 2" xfId="15715"/>
    <cellStyle name="Standaard 18 3 2 2 2 3 2 3" xfId="15716"/>
    <cellStyle name="Standaard 18 3 2 2 2 3 3" xfId="15717"/>
    <cellStyle name="Standaard 18 3 2 2 2 3 3 2" xfId="15718"/>
    <cellStyle name="Standaard 18 3 2 2 2 3 4" xfId="15719"/>
    <cellStyle name="Standaard 18 3 2 2 2 4" xfId="15720"/>
    <cellStyle name="Standaard 18 3 2 2 2 4 2" xfId="15721"/>
    <cellStyle name="Standaard 18 3 2 2 2 4 2 2" xfId="15722"/>
    <cellStyle name="Standaard 18 3 2 2 2 4 3" xfId="15723"/>
    <cellStyle name="Standaard 18 3 2 2 2 5" xfId="15724"/>
    <cellStyle name="Standaard 18 3 2 2 2 5 2" xfId="15725"/>
    <cellStyle name="Standaard 18 3 2 2 2 6" xfId="15726"/>
    <cellStyle name="Standaard 18 3 2 2 2 7" xfId="15727"/>
    <cellStyle name="Standaard 18 3 2 2 3" xfId="15728"/>
    <cellStyle name="Standaard 18 3 2 2 3 2" xfId="15729"/>
    <cellStyle name="Standaard 18 3 2 2 3 2 2" xfId="15730"/>
    <cellStyle name="Standaard 18 3 2 2 3 2 2 2" xfId="15731"/>
    <cellStyle name="Standaard 18 3 2 2 3 2 2 2 2" xfId="15732"/>
    <cellStyle name="Standaard 18 3 2 2 3 2 2 3" xfId="15733"/>
    <cellStyle name="Standaard 18 3 2 2 3 2 3" xfId="15734"/>
    <cellStyle name="Standaard 18 3 2 2 3 2 3 2" xfId="15735"/>
    <cellStyle name="Standaard 18 3 2 2 3 2 4" xfId="15736"/>
    <cellStyle name="Standaard 18 3 2 2 3 3" xfId="15737"/>
    <cellStyle name="Standaard 18 3 2 2 3 3 2" xfId="15738"/>
    <cellStyle name="Standaard 18 3 2 2 3 3 2 2" xfId="15739"/>
    <cellStyle name="Standaard 18 3 2 2 3 3 3" xfId="15740"/>
    <cellStyle name="Standaard 18 3 2 2 3 4" xfId="15741"/>
    <cellStyle name="Standaard 18 3 2 2 3 4 2" xfId="15742"/>
    <cellStyle name="Standaard 18 3 2 2 3 5" xfId="15743"/>
    <cellStyle name="Standaard 18 3 2 2 3 6" xfId="15744"/>
    <cellStyle name="Standaard 18 3 2 2 4" xfId="15745"/>
    <cellStyle name="Standaard 18 3 2 2 4 2" xfId="15746"/>
    <cellStyle name="Standaard 18 3 2 2 4 2 2" xfId="15747"/>
    <cellStyle name="Standaard 18 3 2 2 4 2 2 2" xfId="15748"/>
    <cellStyle name="Standaard 18 3 2 2 4 2 3" xfId="15749"/>
    <cellStyle name="Standaard 18 3 2 2 4 3" xfId="15750"/>
    <cellStyle name="Standaard 18 3 2 2 4 3 2" xfId="15751"/>
    <cellStyle name="Standaard 18 3 2 2 4 4" xfId="15752"/>
    <cellStyle name="Standaard 18 3 2 2 5" xfId="15753"/>
    <cellStyle name="Standaard 18 3 2 2 5 2" xfId="15754"/>
    <cellStyle name="Standaard 18 3 2 2 5 2 2" xfId="15755"/>
    <cellStyle name="Standaard 18 3 2 2 5 3" xfId="15756"/>
    <cellStyle name="Standaard 18 3 2 2 6" xfId="15757"/>
    <cellStyle name="Standaard 18 3 2 2 6 2" xfId="15758"/>
    <cellStyle name="Standaard 18 3 2 2 7" xfId="15759"/>
    <cellStyle name="Standaard 18 3 2 2 8" xfId="15760"/>
    <cellStyle name="Standaard 18 3 2 3" xfId="15761"/>
    <cellStyle name="Standaard 18 3 2 3 2" xfId="15762"/>
    <cellStyle name="Standaard 18 3 2 3 2 2" xfId="15763"/>
    <cellStyle name="Standaard 18 3 2 3 2 2 2" xfId="15764"/>
    <cellStyle name="Standaard 18 3 2 3 2 2 2 2" xfId="15765"/>
    <cellStyle name="Standaard 18 3 2 3 2 2 2 2 2" xfId="15766"/>
    <cellStyle name="Standaard 18 3 2 3 2 2 2 3" xfId="15767"/>
    <cellStyle name="Standaard 18 3 2 3 2 2 3" xfId="15768"/>
    <cellStyle name="Standaard 18 3 2 3 2 2 3 2" xfId="15769"/>
    <cellStyle name="Standaard 18 3 2 3 2 2 4" xfId="15770"/>
    <cellStyle name="Standaard 18 3 2 3 2 3" xfId="15771"/>
    <cellStyle name="Standaard 18 3 2 3 2 3 2" xfId="15772"/>
    <cellStyle name="Standaard 18 3 2 3 2 3 2 2" xfId="15773"/>
    <cellStyle name="Standaard 18 3 2 3 2 3 3" xfId="15774"/>
    <cellStyle name="Standaard 18 3 2 3 2 4" xfId="15775"/>
    <cellStyle name="Standaard 18 3 2 3 2 4 2" xfId="15776"/>
    <cellStyle name="Standaard 18 3 2 3 2 5" xfId="15777"/>
    <cellStyle name="Standaard 18 3 2 3 2 6" xfId="15778"/>
    <cellStyle name="Standaard 18 3 2 3 3" xfId="15779"/>
    <cellStyle name="Standaard 18 3 2 3 3 2" xfId="15780"/>
    <cellStyle name="Standaard 18 3 2 3 3 2 2" xfId="15781"/>
    <cellStyle name="Standaard 18 3 2 3 3 2 2 2" xfId="15782"/>
    <cellStyle name="Standaard 18 3 2 3 3 2 3" xfId="15783"/>
    <cellStyle name="Standaard 18 3 2 3 3 3" xfId="15784"/>
    <cellStyle name="Standaard 18 3 2 3 3 3 2" xfId="15785"/>
    <cellStyle name="Standaard 18 3 2 3 3 4" xfId="15786"/>
    <cellStyle name="Standaard 18 3 2 3 4" xfId="15787"/>
    <cellStyle name="Standaard 18 3 2 3 4 2" xfId="15788"/>
    <cellStyle name="Standaard 18 3 2 3 4 2 2" xfId="15789"/>
    <cellStyle name="Standaard 18 3 2 3 4 3" xfId="15790"/>
    <cellStyle name="Standaard 18 3 2 3 5" xfId="15791"/>
    <cellStyle name="Standaard 18 3 2 3 5 2" xfId="15792"/>
    <cellStyle name="Standaard 18 3 2 3 6" xfId="15793"/>
    <cellStyle name="Standaard 18 3 2 3 7" xfId="15794"/>
    <cellStyle name="Standaard 18 3 2 4" xfId="15795"/>
    <cellStyle name="Standaard 18 3 2 4 2" xfId="15796"/>
    <cellStyle name="Standaard 18 3 2 4 2 2" xfId="15797"/>
    <cellStyle name="Standaard 18 3 2 4 2 2 2" xfId="15798"/>
    <cellStyle name="Standaard 18 3 2 4 2 2 2 2" xfId="15799"/>
    <cellStyle name="Standaard 18 3 2 4 2 2 3" xfId="15800"/>
    <cellStyle name="Standaard 18 3 2 4 2 3" xfId="15801"/>
    <cellStyle name="Standaard 18 3 2 4 2 3 2" xfId="15802"/>
    <cellStyle name="Standaard 18 3 2 4 2 4" xfId="15803"/>
    <cellStyle name="Standaard 18 3 2 4 3" xfId="15804"/>
    <cellStyle name="Standaard 18 3 2 4 3 2" xfId="15805"/>
    <cellStyle name="Standaard 18 3 2 4 3 2 2" xfId="15806"/>
    <cellStyle name="Standaard 18 3 2 4 3 3" xfId="15807"/>
    <cellStyle name="Standaard 18 3 2 4 4" xfId="15808"/>
    <cellStyle name="Standaard 18 3 2 4 4 2" xfId="15809"/>
    <cellStyle name="Standaard 18 3 2 4 5" xfId="15810"/>
    <cellStyle name="Standaard 18 3 2 4 6" xfId="15811"/>
    <cellStyle name="Standaard 18 3 2 5" xfId="15812"/>
    <cellStyle name="Standaard 18 3 2 5 2" xfId="15813"/>
    <cellStyle name="Standaard 18 3 2 5 2 2" xfId="15814"/>
    <cellStyle name="Standaard 18 3 2 5 2 2 2" xfId="15815"/>
    <cellStyle name="Standaard 18 3 2 5 2 3" xfId="15816"/>
    <cellStyle name="Standaard 18 3 2 5 3" xfId="15817"/>
    <cellStyle name="Standaard 18 3 2 5 3 2" xfId="15818"/>
    <cellStyle name="Standaard 18 3 2 5 4" xfId="15819"/>
    <cellStyle name="Standaard 18 3 2 6" xfId="15820"/>
    <cellStyle name="Standaard 18 3 2 6 2" xfId="15821"/>
    <cellStyle name="Standaard 18 3 2 6 2 2" xfId="15822"/>
    <cellStyle name="Standaard 18 3 2 6 3" xfId="15823"/>
    <cellStyle name="Standaard 18 3 2 7" xfId="15824"/>
    <cellStyle name="Standaard 18 3 2 7 2" xfId="15825"/>
    <cellStyle name="Standaard 18 3 2 8" xfId="15826"/>
    <cellStyle name="Standaard 18 3 2 9" xfId="15827"/>
    <cellStyle name="Standaard 18 3 3" xfId="15828"/>
    <cellStyle name="Standaard 18 3 3 2" xfId="15829"/>
    <cellStyle name="Standaard 18 3 3 2 2" xfId="15830"/>
    <cellStyle name="Standaard 18 3 3 2 2 2" xfId="15831"/>
    <cellStyle name="Standaard 18 3 3 2 2 2 2" xfId="15832"/>
    <cellStyle name="Standaard 18 3 3 2 2 2 2 2" xfId="15833"/>
    <cellStyle name="Standaard 18 3 3 2 2 2 2 2 2" xfId="15834"/>
    <cellStyle name="Standaard 18 3 3 2 2 2 2 3" xfId="15835"/>
    <cellStyle name="Standaard 18 3 3 2 2 2 3" xfId="15836"/>
    <cellStyle name="Standaard 18 3 3 2 2 2 3 2" xfId="15837"/>
    <cellStyle name="Standaard 18 3 3 2 2 2 4" xfId="15838"/>
    <cellStyle name="Standaard 18 3 3 2 2 3" xfId="15839"/>
    <cellStyle name="Standaard 18 3 3 2 2 3 2" xfId="15840"/>
    <cellStyle name="Standaard 18 3 3 2 2 3 2 2" xfId="15841"/>
    <cellStyle name="Standaard 18 3 3 2 2 3 3" xfId="15842"/>
    <cellStyle name="Standaard 18 3 3 2 2 4" xfId="15843"/>
    <cellStyle name="Standaard 18 3 3 2 2 4 2" xfId="15844"/>
    <cellStyle name="Standaard 18 3 3 2 2 5" xfId="15845"/>
    <cellStyle name="Standaard 18 3 3 2 2 6" xfId="15846"/>
    <cellStyle name="Standaard 18 3 3 2 3" xfId="15847"/>
    <cellStyle name="Standaard 18 3 3 2 3 2" xfId="15848"/>
    <cellStyle name="Standaard 18 3 3 2 3 2 2" xfId="15849"/>
    <cellStyle name="Standaard 18 3 3 2 3 2 2 2" xfId="15850"/>
    <cellStyle name="Standaard 18 3 3 2 3 2 3" xfId="15851"/>
    <cellStyle name="Standaard 18 3 3 2 3 3" xfId="15852"/>
    <cellStyle name="Standaard 18 3 3 2 3 3 2" xfId="15853"/>
    <cellStyle name="Standaard 18 3 3 2 3 4" xfId="15854"/>
    <cellStyle name="Standaard 18 3 3 2 4" xfId="15855"/>
    <cellStyle name="Standaard 18 3 3 2 4 2" xfId="15856"/>
    <cellStyle name="Standaard 18 3 3 2 4 2 2" xfId="15857"/>
    <cellStyle name="Standaard 18 3 3 2 4 3" xfId="15858"/>
    <cellStyle name="Standaard 18 3 3 2 5" xfId="15859"/>
    <cellStyle name="Standaard 18 3 3 2 5 2" xfId="15860"/>
    <cellStyle name="Standaard 18 3 3 2 6" xfId="15861"/>
    <cellStyle name="Standaard 18 3 3 2 7" xfId="15862"/>
    <cellStyle name="Standaard 18 3 3 3" xfId="15863"/>
    <cellStyle name="Standaard 18 3 3 3 2" xfId="15864"/>
    <cellStyle name="Standaard 18 3 3 3 2 2" xfId="15865"/>
    <cellStyle name="Standaard 18 3 3 3 2 2 2" xfId="15866"/>
    <cellStyle name="Standaard 18 3 3 3 2 2 2 2" xfId="15867"/>
    <cellStyle name="Standaard 18 3 3 3 2 2 3" xfId="15868"/>
    <cellStyle name="Standaard 18 3 3 3 2 3" xfId="15869"/>
    <cellStyle name="Standaard 18 3 3 3 2 3 2" xfId="15870"/>
    <cellStyle name="Standaard 18 3 3 3 2 4" xfId="15871"/>
    <cellStyle name="Standaard 18 3 3 3 3" xfId="15872"/>
    <cellStyle name="Standaard 18 3 3 3 3 2" xfId="15873"/>
    <cellStyle name="Standaard 18 3 3 3 3 2 2" xfId="15874"/>
    <cellStyle name="Standaard 18 3 3 3 3 3" xfId="15875"/>
    <cellStyle name="Standaard 18 3 3 3 4" xfId="15876"/>
    <cellStyle name="Standaard 18 3 3 3 4 2" xfId="15877"/>
    <cellStyle name="Standaard 18 3 3 3 5" xfId="15878"/>
    <cellStyle name="Standaard 18 3 3 3 6" xfId="15879"/>
    <cellStyle name="Standaard 18 3 3 4" xfId="15880"/>
    <cellStyle name="Standaard 18 3 3 4 2" xfId="15881"/>
    <cellStyle name="Standaard 18 3 3 4 2 2" xfId="15882"/>
    <cellStyle name="Standaard 18 3 3 4 2 2 2" xfId="15883"/>
    <cellStyle name="Standaard 18 3 3 4 2 3" xfId="15884"/>
    <cellStyle name="Standaard 18 3 3 4 3" xfId="15885"/>
    <cellStyle name="Standaard 18 3 3 4 3 2" xfId="15886"/>
    <cellStyle name="Standaard 18 3 3 4 4" xfId="15887"/>
    <cellStyle name="Standaard 18 3 3 5" xfId="15888"/>
    <cellStyle name="Standaard 18 3 3 5 2" xfId="15889"/>
    <cellStyle name="Standaard 18 3 3 5 2 2" xfId="15890"/>
    <cellStyle name="Standaard 18 3 3 5 3" xfId="15891"/>
    <cellStyle name="Standaard 18 3 3 6" xfId="15892"/>
    <cellStyle name="Standaard 18 3 3 6 2" xfId="15893"/>
    <cellStyle name="Standaard 18 3 3 7" xfId="15894"/>
    <cellStyle name="Standaard 18 3 3 8" xfId="15895"/>
    <cellStyle name="Standaard 18 3 4" xfId="15896"/>
    <cellStyle name="Standaard 18 3 4 2" xfId="15897"/>
    <cellStyle name="Standaard 18 3 4 2 2" xfId="15898"/>
    <cellStyle name="Standaard 18 3 4 2 2 2" xfId="15899"/>
    <cellStyle name="Standaard 18 3 4 2 2 2 2" xfId="15900"/>
    <cellStyle name="Standaard 18 3 4 2 2 2 2 2" xfId="15901"/>
    <cellStyle name="Standaard 18 3 4 2 2 2 2 2 2" xfId="15902"/>
    <cellStyle name="Standaard 18 3 4 2 2 2 2 3" xfId="15903"/>
    <cellStyle name="Standaard 18 3 4 2 2 2 3" xfId="15904"/>
    <cellStyle name="Standaard 18 3 4 2 2 2 3 2" xfId="15905"/>
    <cellStyle name="Standaard 18 3 4 2 2 2 4" xfId="15906"/>
    <cellStyle name="Standaard 18 3 4 2 2 3" xfId="15907"/>
    <cellStyle name="Standaard 18 3 4 2 2 3 2" xfId="15908"/>
    <cellStyle name="Standaard 18 3 4 2 2 3 2 2" xfId="15909"/>
    <cellStyle name="Standaard 18 3 4 2 2 3 3" xfId="15910"/>
    <cellStyle name="Standaard 18 3 4 2 2 4" xfId="15911"/>
    <cellStyle name="Standaard 18 3 4 2 2 4 2" xfId="15912"/>
    <cellStyle name="Standaard 18 3 4 2 2 5" xfId="15913"/>
    <cellStyle name="Standaard 18 3 4 2 2 6" xfId="15914"/>
    <cellStyle name="Standaard 18 3 4 2 3" xfId="15915"/>
    <cellStyle name="Standaard 18 3 4 2 3 2" xfId="15916"/>
    <cellStyle name="Standaard 18 3 4 2 3 2 2" xfId="15917"/>
    <cellStyle name="Standaard 18 3 4 2 3 2 2 2" xfId="15918"/>
    <cellStyle name="Standaard 18 3 4 2 3 2 3" xfId="15919"/>
    <cellStyle name="Standaard 18 3 4 2 3 3" xfId="15920"/>
    <cellStyle name="Standaard 18 3 4 2 3 3 2" xfId="15921"/>
    <cellStyle name="Standaard 18 3 4 2 3 4" xfId="15922"/>
    <cellStyle name="Standaard 18 3 4 2 4" xfId="15923"/>
    <cellStyle name="Standaard 18 3 4 2 4 2" xfId="15924"/>
    <cellStyle name="Standaard 18 3 4 2 4 2 2" xfId="15925"/>
    <cellStyle name="Standaard 18 3 4 2 4 3" xfId="15926"/>
    <cellStyle name="Standaard 18 3 4 2 5" xfId="15927"/>
    <cellStyle name="Standaard 18 3 4 2 5 2" xfId="15928"/>
    <cellStyle name="Standaard 18 3 4 2 6" xfId="15929"/>
    <cellStyle name="Standaard 18 3 4 2 7" xfId="15930"/>
    <cellStyle name="Standaard 18 3 4 3" xfId="15931"/>
    <cellStyle name="Standaard 18 3 4 3 2" xfId="15932"/>
    <cellStyle name="Standaard 18 3 4 3 2 2" xfId="15933"/>
    <cellStyle name="Standaard 18 3 4 3 2 2 2" xfId="15934"/>
    <cellStyle name="Standaard 18 3 4 3 2 2 2 2" xfId="15935"/>
    <cellStyle name="Standaard 18 3 4 3 2 2 3" xfId="15936"/>
    <cellStyle name="Standaard 18 3 4 3 2 3" xfId="15937"/>
    <cellStyle name="Standaard 18 3 4 3 2 3 2" xfId="15938"/>
    <cellStyle name="Standaard 18 3 4 3 2 4" xfId="15939"/>
    <cellStyle name="Standaard 18 3 4 3 3" xfId="15940"/>
    <cellStyle name="Standaard 18 3 4 3 3 2" xfId="15941"/>
    <cellStyle name="Standaard 18 3 4 3 3 2 2" xfId="15942"/>
    <cellStyle name="Standaard 18 3 4 3 3 3" xfId="15943"/>
    <cellStyle name="Standaard 18 3 4 3 4" xfId="15944"/>
    <cellStyle name="Standaard 18 3 4 3 4 2" xfId="15945"/>
    <cellStyle name="Standaard 18 3 4 3 5" xfId="15946"/>
    <cellStyle name="Standaard 18 3 4 3 6" xfId="15947"/>
    <cellStyle name="Standaard 18 3 4 4" xfId="15948"/>
    <cellStyle name="Standaard 18 3 4 4 2" xfId="15949"/>
    <cellStyle name="Standaard 18 3 4 4 2 2" xfId="15950"/>
    <cellStyle name="Standaard 18 3 4 4 2 2 2" xfId="15951"/>
    <cellStyle name="Standaard 18 3 4 4 2 3" xfId="15952"/>
    <cellStyle name="Standaard 18 3 4 4 3" xfId="15953"/>
    <cellStyle name="Standaard 18 3 4 4 3 2" xfId="15954"/>
    <cellStyle name="Standaard 18 3 4 4 4" xfId="15955"/>
    <cellStyle name="Standaard 18 3 4 5" xfId="15956"/>
    <cellStyle name="Standaard 18 3 4 5 2" xfId="15957"/>
    <cellStyle name="Standaard 18 3 4 5 2 2" xfId="15958"/>
    <cellStyle name="Standaard 18 3 4 5 3" xfId="15959"/>
    <cellStyle name="Standaard 18 3 4 6" xfId="15960"/>
    <cellStyle name="Standaard 18 3 4 6 2" xfId="15961"/>
    <cellStyle name="Standaard 18 3 4 7" xfId="15962"/>
    <cellStyle name="Standaard 18 3 4 8" xfId="15963"/>
    <cellStyle name="Standaard 18 3 5" xfId="15964"/>
    <cellStyle name="Standaard 18 3 5 2" xfId="15965"/>
    <cellStyle name="Standaard 18 3 5 2 2" xfId="15966"/>
    <cellStyle name="Standaard 18 3 5 2 2 2" xfId="15967"/>
    <cellStyle name="Standaard 18 3 5 2 2 2 2" xfId="15968"/>
    <cellStyle name="Standaard 18 3 5 2 2 2 2 2" xfId="15969"/>
    <cellStyle name="Standaard 18 3 5 2 2 2 3" xfId="15970"/>
    <cellStyle name="Standaard 18 3 5 2 2 3" xfId="15971"/>
    <cellStyle name="Standaard 18 3 5 2 2 3 2" xfId="15972"/>
    <cellStyle name="Standaard 18 3 5 2 2 4" xfId="15973"/>
    <cellStyle name="Standaard 18 3 5 2 3" xfId="15974"/>
    <cellStyle name="Standaard 18 3 5 2 3 2" xfId="15975"/>
    <cellStyle name="Standaard 18 3 5 2 3 2 2" xfId="15976"/>
    <cellStyle name="Standaard 18 3 5 2 3 3" xfId="15977"/>
    <cellStyle name="Standaard 18 3 5 2 4" xfId="15978"/>
    <cellStyle name="Standaard 18 3 5 2 4 2" xfId="15979"/>
    <cellStyle name="Standaard 18 3 5 2 5" xfId="15980"/>
    <cellStyle name="Standaard 18 3 5 2 6" xfId="15981"/>
    <cellStyle name="Standaard 18 3 5 3" xfId="15982"/>
    <cellStyle name="Standaard 18 3 5 3 2" xfId="15983"/>
    <cellStyle name="Standaard 18 3 5 3 2 2" xfId="15984"/>
    <cellStyle name="Standaard 18 3 5 3 2 2 2" xfId="15985"/>
    <cellStyle name="Standaard 18 3 5 3 2 3" xfId="15986"/>
    <cellStyle name="Standaard 18 3 5 3 3" xfId="15987"/>
    <cellStyle name="Standaard 18 3 5 3 3 2" xfId="15988"/>
    <cellStyle name="Standaard 18 3 5 3 4" xfId="15989"/>
    <cellStyle name="Standaard 18 3 5 4" xfId="15990"/>
    <cellStyle name="Standaard 18 3 5 4 2" xfId="15991"/>
    <cellStyle name="Standaard 18 3 5 4 2 2" xfId="15992"/>
    <cellStyle name="Standaard 18 3 5 4 3" xfId="15993"/>
    <cellStyle name="Standaard 18 3 5 5" xfId="15994"/>
    <cellStyle name="Standaard 18 3 5 5 2" xfId="15995"/>
    <cellStyle name="Standaard 18 3 5 6" xfId="15996"/>
    <cellStyle name="Standaard 18 3 5 7" xfId="15997"/>
    <cellStyle name="Standaard 18 3 6" xfId="15998"/>
    <cellStyle name="Standaard 18 3 6 2" xfId="15999"/>
    <cellStyle name="Standaard 18 3 6 2 2" xfId="16000"/>
    <cellStyle name="Standaard 18 3 6 2 2 2" xfId="16001"/>
    <cellStyle name="Standaard 18 3 6 2 2 2 2" xfId="16002"/>
    <cellStyle name="Standaard 18 3 6 2 2 3" xfId="16003"/>
    <cellStyle name="Standaard 18 3 6 2 3" xfId="16004"/>
    <cellStyle name="Standaard 18 3 6 2 3 2" xfId="16005"/>
    <cellStyle name="Standaard 18 3 6 2 4" xfId="16006"/>
    <cellStyle name="Standaard 18 3 6 3" xfId="16007"/>
    <cellStyle name="Standaard 18 3 6 3 2" xfId="16008"/>
    <cellStyle name="Standaard 18 3 6 3 2 2" xfId="16009"/>
    <cellStyle name="Standaard 18 3 6 3 3" xfId="16010"/>
    <cellStyle name="Standaard 18 3 6 4" xfId="16011"/>
    <cellStyle name="Standaard 18 3 6 4 2" xfId="16012"/>
    <cellStyle name="Standaard 18 3 6 5" xfId="16013"/>
    <cellStyle name="Standaard 18 3 6 6" xfId="16014"/>
    <cellStyle name="Standaard 18 3 7" xfId="16015"/>
    <cellStyle name="Standaard 18 3 7 2" xfId="16016"/>
    <cellStyle name="Standaard 18 3 7 2 2" xfId="16017"/>
    <cellStyle name="Standaard 18 3 7 2 2 2" xfId="16018"/>
    <cellStyle name="Standaard 18 3 7 2 3" xfId="16019"/>
    <cellStyle name="Standaard 18 3 7 3" xfId="16020"/>
    <cellStyle name="Standaard 18 3 7 3 2" xfId="16021"/>
    <cellStyle name="Standaard 18 3 7 4" xfId="16022"/>
    <cellStyle name="Standaard 18 3 8" xfId="16023"/>
    <cellStyle name="Standaard 18 3 8 2" xfId="16024"/>
    <cellStyle name="Standaard 18 3 8 2 2" xfId="16025"/>
    <cellStyle name="Standaard 18 3 8 3" xfId="16026"/>
    <cellStyle name="Standaard 18 3 9" xfId="16027"/>
    <cellStyle name="Standaard 18 3 9 2" xfId="16028"/>
    <cellStyle name="Standaard 18 4" xfId="16029"/>
    <cellStyle name="Standaard 18 4 2" xfId="16030"/>
    <cellStyle name="Standaard 18 4 2 2" xfId="16031"/>
    <cellStyle name="Standaard 18 4 2 2 2" xfId="16032"/>
    <cellStyle name="Standaard 18 4 2 2 2 2" xfId="16033"/>
    <cellStyle name="Standaard 18 4 2 2 2 2 2" xfId="16034"/>
    <cellStyle name="Standaard 18 4 2 2 2 2 2 2" xfId="16035"/>
    <cellStyle name="Standaard 18 4 2 2 2 2 2 2 2" xfId="16036"/>
    <cellStyle name="Standaard 18 4 2 2 2 2 2 3" xfId="16037"/>
    <cellStyle name="Standaard 18 4 2 2 2 2 3" xfId="16038"/>
    <cellStyle name="Standaard 18 4 2 2 2 2 3 2" xfId="16039"/>
    <cellStyle name="Standaard 18 4 2 2 2 2 4" xfId="16040"/>
    <cellStyle name="Standaard 18 4 2 2 2 3" xfId="16041"/>
    <cellStyle name="Standaard 18 4 2 2 2 3 2" xfId="16042"/>
    <cellStyle name="Standaard 18 4 2 2 2 3 2 2" xfId="16043"/>
    <cellStyle name="Standaard 18 4 2 2 2 3 3" xfId="16044"/>
    <cellStyle name="Standaard 18 4 2 2 2 4" xfId="16045"/>
    <cellStyle name="Standaard 18 4 2 2 2 4 2" xfId="16046"/>
    <cellStyle name="Standaard 18 4 2 2 2 5" xfId="16047"/>
    <cellStyle name="Standaard 18 4 2 2 2 6" xfId="16048"/>
    <cellStyle name="Standaard 18 4 2 2 3" xfId="16049"/>
    <cellStyle name="Standaard 18 4 2 2 3 2" xfId="16050"/>
    <cellStyle name="Standaard 18 4 2 2 3 2 2" xfId="16051"/>
    <cellStyle name="Standaard 18 4 2 2 3 2 2 2" xfId="16052"/>
    <cellStyle name="Standaard 18 4 2 2 3 2 3" xfId="16053"/>
    <cellStyle name="Standaard 18 4 2 2 3 3" xfId="16054"/>
    <cellStyle name="Standaard 18 4 2 2 3 3 2" xfId="16055"/>
    <cellStyle name="Standaard 18 4 2 2 3 4" xfId="16056"/>
    <cellStyle name="Standaard 18 4 2 2 4" xfId="16057"/>
    <cellStyle name="Standaard 18 4 2 2 4 2" xfId="16058"/>
    <cellStyle name="Standaard 18 4 2 2 4 2 2" xfId="16059"/>
    <cellStyle name="Standaard 18 4 2 2 4 3" xfId="16060"/>
    <cellStyle name="Standaard 18 4 2 2 5" xfId="16061"/>
    <cellStyle name="Standaard 18 4 2 2 5 2" xfId="16062"/>
    <cellStyle name="Standaard 18 4 2 2 6" xfId="16063"/>
    <cellStyle name="Standaard 18 4 2 2 7" xfId="16064"/>
    <cellStyle name="Standaard 18 4 2 3" xfId="16065"/>
    <cellStyle name="Standaard 18 4 2 3 2" xfId="16066"/>
    <cellStyle name="Standaard 18 4 2 3 2 2" xfId="16067"/>
    <cellStyle name="Standaard 18 4 2 3 2 2 2" xfId="16068"/>
    <cellStyle name="Standaard 18 4 2 3 2 2 2 2" xfId="16069"/>
    <cellStyle name="Standaard 18 4 2 3 2 2 3" xfId="16070"/>
    <cellStyle name="Standaard 18 4 2 3 2 3" xfId="16071"/>
    <cellStyle name="Standaard 18 4 2 3 2 3 2" xfId="16072"/>
    <cellStyle name="Standaard 18 4 2 3 2 4" xfId="16073"/>
    <cellStyle name="Standaard 18 4 2 3 3" xfId="16074"/>
    <cellStyle name="Standaard 18 4 2 3 3 2" xfId="16075"/>
    <cellStyle name="Standaard 18 4 2 3 3 2 2" xfId="16076"/>
    <cellStyle name="Standaard 18 4 2 3 3 3" xfId="16077"/>
    <cellStyle name="Standaard 18 4 2 3 4" xfId="16078"/>
    <cellStyle name="Standaard 18 4 2 3 4 2" xfId="16079"/>
    <cellStyle name="Standaard 18 4 2 3 5" xfId="16080"/>
    <cellStyle name="Standaard 18 4 2 3 6" xfId="16081"/>
    <cellStyle name="Standaard 18 4 2 4" xfId="16082"/>
    <cellStyle name="Standaard 18 4 2 4 2" xfId="16083"/>
    <cellStyle name="Standaard 18 4 2 4 2 2" xfId="16084"/>
    <cellStyle name="Standaard 18 4 2 4 2 2 2" xfId="16085"/>
    <cellStyle name="Standaard 18 4 2 4 2 3" xfId="16086"/>
    <cellStyle name="Standaard 18 4 2 4 3" xfId="16087"/>
    <cellStyle name="Standaard 18 4 2 4 3 2" xfId="16088"/>
    <cellStyle name="Standaard 18 4 2 4 4" xfId="16089"/>
    <cellStyle name="Standaard 18 4 2 5" xfId="16090"/>
    <cellStyle name="Standaard 18 4 2 5 2" xfId="16091"/>
    <cellStyle name="Standaard 18 4 2 5 2 2" xfId="16092"/>
    <cellStyle name="Standaard 18 4 2 5 3" xfId="16093"/>
    <cellStyle name="Standaard 18 4 2 6" xfId="16094"/>
    <cellStyle name="Standaard 18 4 2 6 2" xfId="16095"/>
    <cellStyle name="Standaard 18 4 2 7" xfId="16096"/>
    <cellStyle name="Standaard 18 4 2 8" xfId="16097"/>
    <cellStyle name="Standaard 18 4 3" xfId="16098"/>
    <cellStyle name="Standaard 18 4 3 2" xfId="16099"/>
    <cellStyle name="Standaard 18 4 3 2 2" xfId="16100"/>
    <cellStyle name="Standaard 18 4 3 2 2 2" xfId="16101"/>
    <cellStyle name="Standaard 18 4 3 2 2 2 2" xfId="16102"/>
    <cellStyle name="Standaard 18 4 3 2 2 2 2 2" xfId="16103"/>
    <cellStyle name="Standaard 18 4 3 2 2 2 3" xfId="16104"/>
    <cellStyle name="Standaard 18 4 3 2 2 3" xfId="16105"/>
    <cellStyle name="Standaard 18 4 3 2 2 3 2" xfId="16106"/>
    <cellStyle name="Standaard 18 4 3 2 2 4" xfId="16107"/>
    <cellStyle name="Standaard 18 4 3 2 3" xfId="16108"/>
    <cellStyle name="Standaard 18 4 3 2 3 2" xfId="16109"/>
    <cellStyle name="Standaard 18 4 3 2 3 2 2" xfId="16110"/>
    <cellStyle name="Standaard 18 4 3 2 3 3" xfId="16111"/>
    <cellStyle name="Standaard 18 4 3 2 4" xfId="16112"/>
    <cellStyle name="Standaard 18 4 3 2 4 2" xfId="16113"/>
    <cellStyle name="Standaard 18 4 3 2 5" xfId="16114"/>
    <cellStyle name="Standaard 18 4 3 2 6" xfId="16115"/>
    <cellStyle name="Standaard 18 4 3 3" xfId="16116"/>
    <cellStyle name="Standaard 18 4 3 3 2" xfId="16117"/>
    <cellStyle name="Standaard 18 4 3 3 2 2" xfId="16118"/>
    <cellStyle name="Standaard 18 4 3 3 2 2 2" xfId="16119"/>
    <cellStyle name="Standaard 18 4 3 3 2 3" xfId="16120"/>
    <cellStyle name="Standaard 18 4 3 3 3" xfId="16121"/>
    <cellStyle name="Standaard 18 4 3 3 3 2" xfId="16122"/>
    <cellStyle name="Standaard 18 4 3 3 4" xfId="16123"/>
    <cellStyle name="Standaard 18 4 3 4" xfId="16124"/>
    <cellStyle name="Standaard 18 4 3 4 2" xfId="16125"/>
    <cellStyle name="Standaard 18 4 3 4 2 2" xfId="16126"/>
    <cellStyle name="Standaard 18 4 3 4 3" xfId="16127"/>
    <cellStyle name="Standaard 18 4 3 5" xfId="16128"/>
    <cellStyle name="Standaard 18 4 3 5 2" xfId="16129"/>
    <cellStyle name="Standaard 18 4 3 6" xfId="16130"/>
    <cellStyle name="Standaard 18 4 3 7" xfId="16131"/>
    <cellStyle name="Standaard 18 4 4" xfId="16132"/>
    <cellStyle name="Standaard 18 4 4 2" xfId="16133"/>
    <cellStyle name="Standaard 18 4 4 2 2" xfId="16134"/>
    <cellStyle name="Standaard 18 4 4 2 2 2" xfId="16135"/>
    <cellStyle name="Standaard 18 4 4 2 2 2 2" xfId="16136"/>
    <cellStyle name="Standaard 18 4 4 2 2 3" xfId="16137"/>
    <cellStyle name="Standaard 18 4 4 2 3" xfId="16138"/>
    <cellStyle name="Standaard 18 4 4 2 3 2" xfId="16139"/>
    <cellStyle name="Standaard 18 4 4 2 4" xfId="16140"/>
    <cellStyle name="Standaard 18 4 4 3" xfId="16141"/>
    <cellStyle name="Standaard 18 4 4 3 2" xfId="16142"/>
    <cellStyle name="Standaard 18 4 4 3 2 2" xfId="16143"/>
    <cellStyle name="Standaard 18 4 4 3 3" xfId="16144"/>
    <cellStyle name="Standaard 18 4 4 4" xfId="16145"/>
    <cellStyle name="Standaard 18 4 4 4 2" xfId="16146"/>
    <cellStyle name="Standaard 18 4 4 5" xfId="16147"/>
    <cellStyle name="Standaard 18 4 4 6" xfId="16148"/>
    <cellStyle name="Standaard 18 4 5" xfId="16149"/>
    <cellStyle name="Standaard 18 4 5 2" xfId="16150"/>
    <cellStyle name="Standaard 18 4 5 2 2" xfId="16151"/>
    <cellStyle name="Standaard 18 4 5 2 2 2" xfId="16152"/>
    <cellStyle name="Standaard 18 4 5 2 3" xfId="16153"/>
    <cellStyle name="Standaard 18 4 5 3" xfId="16154"/>
    <cellStyle name="Standaard 18 4 5 3 2" xfId="16155"/>
    <cellStyle name="Standaard 18 4 5 4" xfId="16156"/>
    <cellStyle name="Standaard 18 4 6" xfId="16157"/>
    <cellStyle name="Standaard 18 4 6 2" xfId="16158"/>
    <cellStyle name="Standaard 18 4 6 2 2" xfId="16159"/>
    <cellStyle name="Standaard 18 4 6 3" xfId="16160"/>
    <cellStyle name="Standaard 18 4 7" xfId="16161"/>
    <cellStyle name="Standaard 18 4 7 2" xfId="16162"/>
    <cellStyle name="Standaard 18 4 8" xfId="16163"/>
    <cellStyle name="Standaard 18 4 9" xfId="16164"/>
    <cellStyle name="Standaard 18 5" xfId="16165"/>
    <cellStyle name="Standaard 18 5 2" xfId="16166"/>
    <cellStyle name="Standaard 18 5 2 2" xfId="16167"/>
    <cellStyle name="Standaard 18 5 2 2 2" xfId="16168"/>
    <cellStyle name="Standaard 18 5 2 2 2 2" xfId="16169"/>
    <cellStyle name="Standaard 18 5 2 2 2 2 2" xfId="16170"/>
    <cellStyle name="Standaard 18 5 2 2 2 2 2 2" xfId="16171"/>
    <cellStyle name="Standaard 18 5 2 2 2 2 3" xfId="16172"/>
    <cellStyle name="Standaard 18 5 2 2 2 3" xfId="16173"/>
    <cellStyle name="Standaard 18 5 2 2 2 3 2" xfId="16174"/>
    <cellStyle name="Standaard 18 5 2 2 2 4" xfId="16175"/>
    <cellStyle name="Standaard 18 5 2 2 3" xfId="16176"/>
    <cellStyle name="Standaard 18 5 2 2 3 2" xfId="16177"/>
    <cellStyle name="Standaard 18 5 2 2 3 2 2" xfId="16178"/>
    <cellStyle name="Standaard 18 5 2 2 3 3" xfId="16179"/>
    <cellStyle name="Standaard 18 5 2 2 4" xfId="16180"/>
    <cellStyle name="Standaard 18 5 2 2 4 2" xfId="16181"/>
    <cellStyle name="Standaard 18 5 2 2 5" xfId="16182"/>
    <cellStyle name="Standaard 18 5 2 2 6" xfId="16183"/>
    <cellStyle name="Standaard 18 5 2 3" xfId="16184"/>
    <cellStyle name="Standaard 18 5 2 3 2" xfId="16185"/>
    <cellStyle name="Standaard 18 5 2 3 2 2" xfId="16186"/>
    <cellStyle name="Standaard 18 5 2 3 2 2 2" xfId="16187"/>
    <cellStyle name="Standaard 18 5 2 3 2 3" xfId="16188"/>
    <cellStyle name="Standaard 18 5 2 3 3" xfId="16189"/>
    <cellStyle name="Standaard 18 5 2 3 3 2" xfId="16190"/>
    <cellStyle name="Standaard 18 5 2 3 4" xfId="16191"/>
    <cellStyle name="Standaard 18 5 2 4" xfId="16192"/>
    <cellStyle name="Standaard 18 5 2 4 2" xfId="16193"/>
    <cellStyle name="Standaard 18 5 2 4 2 2" xfId="16194"/>
    <cellStyle name="Standaard 18 5 2 4 3" xfId="16195"/>
    <cellStyle name="Standaard 18 5 2 5" xfId="16196"/>
    <cellStyle name="Standaard 18 5 2 5 2" xfId="16197"/>
    <cellStyle name="Standaard 18 5 2 6" xfId="16198"/>
    <cellStyle name="Standaard 18 5 2 7" xfId="16199"/>
    <cellStyle name="Standaard 18 5 3" xfId="16200"/>
    <cellStyle name="Standaard 18 5 3 2" xfId="16201"/>
    <cellStyle name="Standaard 18 5 3 2 2" xfId="16202"/>
    <cellStyle name="Standaard 18 5 3 2 2 2" xfId="16203"/>
    <cellStyle name="Standaard 18 5 3 2 2 2 2" xfId="16204"/>
    <cellStyle name="Standaard 18 5 3 2 2 3" xfId="16205"/>
    <cellStyle name="Standaard 18 5 3 2 3" xfId="16206"/>
    <cellStyle name="Standaard 18 5 3 2 3 2" xfId="16207"/>
    <cellStyle name="Standaard 18 5 3 2 4" xfId="16208"/>
    <cellStyle name="Standaard 18 5 3 3" xfId="16209"/>
    <cellStyle name="Standaard 18 5 3 3 2" xfId="16210"/>
    <cellStyle name="Standaard 18 5 3 3 2 2" xfId="16211"/>
    <cellStyle name="Standaard 18 5 3 3 3" xfId="16212"/>
    <cellStyle name="Standaard 18 5 3 4" xfId="16213"/>
    <cellStyle name="Standaard 18 5 3 4 2" xfId="16214"/>
    <cellStyle name="Standaard 18 5 3 5" xfId="16215"/>
    <cellStyle name="Standaard 18 5 3 6" xfId="16216"/>
    <cellStyle name="Standaard 18 5 4" xfId="16217"/>
    <cellStyle name="Standaard 18 5 4 2" xfId="16218"/>
    <cellStyle name="Standaard 18 5 4 2 2" xfId="16219"/>
    <cellStyle name="Standaard 18 5 4 2 2 2" xfId="16220"/>
    <cellStyle name="Standaard 18 5 4 2 3" xfId="16221"/>
    <cellStyle name="Standaard 18 5 4 3" xfId="16222"/>
    <cellStyle name="Standaard 18 5 4 3 2" xfId="16223"/>
    <cellStyle name="Standaard 18 5 4 4" xfId="16224"/>
    <cellStyle name="Standaard 18 5 5" xfId="16225"/>
    <cellStyle name="Standaard 18 5 5 2" xfId="16226"/>
    <cellStyle name="Standaard 18 5 5 2 2" xfId="16227"/>
    <cellStyle name="Standaard 18 5 5 3" xfId="16228"/>
    <cellStyle name="Standaard 18 5 6" xfId="16229"/>
    <cellStyle name="Standaard 18 5 6 2" xfId="16230"/>
    <cellStyle name="Standaard 18 5 7" xfId="16231"/>
    <cellStyle name="Standaard 18 5 8" xfId="16232"/>
    <cellStyle name="Standaard 18 6" xfId="16233"/>
    <cellStyle name="Standaard 18 6 2" xfId="16234"/>
    <cellStyle name="Standaard 18 6 2 2" xfId="16235"/>
    <cellStyle name="Standaard 18 6 2 2 2" xfId="16236"/>
    <cellStyle name="Standaard 18 6 2 2 2 2" xfId="16237"/>
    <cellStyle name="Standaard 18 6 2 2 2 2 2" xfId="16238"/>
    <cellStyle name="Standaard 18 6 2 2 2 2 2 2" xfId="16239"/>
    <cellStyle name="Standaard 18 6 2 2 2 2 3" xfId="16240"/>
    <cellStyle name="Standaard 18 6 2 2 2 3" xfId="16241"/>
    <cellStyle name="Standaard 18 6 2 2 2 3 2" xfId="16242"/>
    <cellStyle name="Standaard 18 6 2 2 2 4" xfId="16243"/>
    <cellStyle name="Standaard 18 6 2 2 3" xfId="16244"/>
    <cellStyle name="Standaard 18 6 2 2 3 2" xfId="16245"/>
    <cellStyle name="Standaard 18 6 2 2 3 2 2" xfId="16246"/>
    <cellStyle name="Standaard 18 6 2 2 3 3" xfId="16247"/>
    <cellStyle name="Standaard 18 6 2 2 4" xfId="16248"/>
    <cellStyle name="Standaard 18 6 2 2 4 2" xfId="16249"/>
    <cellStyle name="Standaard 18 6 2 2 5" xfId="16250"/>
    <cellStyle name="Standaard 18 6 2 2 6" xfId="16251"/>
    <cellStyle name="Standaard 18 6 2 3" xfId="16252"/>
    <cellStyle name="Standaard 18 6 2 3 2" xfId="16253"/>
    <cellStyle name="Standaard 18 6 2 3 2 2" xfId="16254"/>
    <cellStyle name="Standaard 18 6 2 3 2 2 2" xfId="16255"/>
    <cellStyle name="Standaard 18 6 2 3 2 3" xfId="16256"/>
    <cellStyle name="Standaard 18 6 2 3 3" xfId="16257"/>
    <cellStyle name="Standaard 18 6 2 3 3 2" xfId="16258"/>
    <cellStyle name="Standaard 18 6 2 3 4" xfId="16259"/>
    <cellStyle name="Standaard 18 6 2 4" xfId="16260"/>
    <cellStyle name="Standaard 18 6 2 4 2" xfId="16261"/>
    <cellStyle name="Standaard 18 6 2 4 2 2" xfId="16262"/>
    <cellStyle name="Standaard 18 6 2 4 3" xfId="16263"/>
    <cellStyle name="Standaard 18 6 2 5" xfId="16264"/>
    <cellStyle name="Standaard 18 6 2 5 2" xfId="16265"/>
    <cellStyle name="Standaard 18 6 2 6" xfId="16266"/>
    <cellStyle name="Standaard 18 6 2 7" xfId="16267"/>
    <cellStyle name="Standaard 18 6 3" xfId="16268"/>
    <cellStyle name="Standaard 18 6 3 2" xfId="16269"/>
    <cellStyle name="Standaard 18 6 3 2 2" xfId="16270"/>
    <cellStyle name="Standaard 18 6 3 2 2 2" xfId="16271"/>
    <cellStyle name="Standaard 18 6 3 2 2 2 2" xfId="16272"/>
    <cellStyle name="Standaard 18 6 3 2 2 3" xfId="16273"/>
    <cellStyle name="Standaard 18 6 3 2 3" xfId="16274"/>
    <cellStyle name="Standaard 18 6 3 2 3 2" xfId="16275"/>
    <cellStyle name="Standaard 18 6 3 2 4" xfId="16276"/>
    <cellStyle name="Standaard 18 6 3 3" xfId="16277"/>
    <cellStyle name="Standaard 18 6 3 3 2" xfId="16278"/>
    <cellStyle name="Standaard 18 6 3 3 2 2" xfId="16279"/>
    <cellStyle name="Standaard 18 6 3 3 3" xfId="16280"/>
    <cellStyle name="Standaard 18 6 3 4" xfId="16281"/>
    <cellStyle name="Standaard 18 6 3 4 2" xfId="16282"/>
    <cellStyle name="Standaard 18 6 3 5" xfId="16283"/>
    <cellStyle name="Standaard 18 6 3 6" xfId="16284"/>
    <cellStyle name="Standaard 18 6 4" xfId="16285"/>
    <cellStyle name="Standaard 18 6 4 2" xfId="16286"/>
    <cellStyle name="Standaard 18 6 4 2 2" xfId="16287"/>
    <cellStyle name="Standaard 18 6 4 2 2 2" xfId="16288"/>
    <cellStyle name="Standaard 18 6 4 2 3" xfId="16289"/>
    <cellStyle name="Standaard 18 6 4 3" xfId="16290"/>
    <cellStyle name="Standaard 18 6 4 3 2" xfId="16291"/>
    <cellStyle name="Standaard 18 6 4 4" xfId="16292"/>
    <cellStyle name="Standaard 18 6 5" xfId="16293"/>
    <cellStyle name="Standaard 18 6 5 2" xfId="16294"/>
    <cellStyle name="Standaard 18 6 5 2 2" xfId="16295"/>
    <cellStyle name="Standaard 18 6 5 3" xfId="16296"/>
    <cellStyle name="Standaard 18 6 6" xfId="16297"/>
    <cellStyle name="Standaard 18 6 6 2" xfId="16298"/>
    <cellStyle name="Standaard 18 6 7" xfId="16299"/>
    <cellStyle name="Standaard 18 6 8" xfId="16300"/>
    <cellStyle name="Standaard 18 7" xfId="16301"/>
    <cellStyle name="Standaard 18 7 2" xfId="16302"/>
    <cellStyle name="Standaard 18 7 2 2" xfId="16303"/>
    <cellStyle name="Standaard 18 7 2 2 2" xfId="16304"/>
    <cellStyle name="Standaard 18 7 2 2 2 2" xfId="16305"/>
    <cellStyle name="Standaard 18 7 2 2 2 2 2" xfId="16306"/>
    <cellStyle name="Standaard 18 7 2 2 2 3" xfId="16307"/>
    <cellStyle name="Standaard 18 7 2 2 3" xfId="16308"/>
    <cellStyle name="Standaard 18 7 2 2 3 2" xfId="16309"/>
    <cellStyle name="Standaard 18 7 2 2 4" xfId="16310"/>
    <cellStyle name="Standaard 18 7 2 3" xfId="16311"/>
    <cellStyle name="Standaard 18 7 2 3 2" xfId="16312"/>
    <cellStyle name="Standaard 18 7 2 3 2 2" xfId="16313"/>
    <cellStyle name="Standaard 18 7 2 3 3" xfId="16314"/>
    <cellStyle name="Standaard 18 7 2 4" xfId="16315"/>
    <cellStyle name="Standaard 18 7 2 4 2" xfId="16316"/>
    <cellStyle name="Standaard 18 7 2 5" xfId="16317"/>
    <cellStyle name="Standaard 18 7 2 6" xfId="16318"/>
    <cellStyle name="Standaard 18 7 3" xfId="16319"/>
    <cellStyle name="Standaard 18 7 3 2" xfId="16320"/>
    <cellStyle name="Standaard 18 7 3 2 2" xfId="16321"/>
    <cellStyle name="Standaard 18 7 3 2 2 2" xfId="16322"/>
    <cellStyle name="Standaard 18 7 3 2 3" xfId="16323"/>
    <cellStyle name="Standaard 18 7 3 3" xfId="16324"/>
    <cellStyle name="Standaard 18 7 3 3 2" xfId="16325"/>
    <cellStyle name="Standaard 18 7 3 4" xfId="16326"/>
    <cellStyle name="Standaard 18 7 4" xfId="16327"/>
    <cellStyle name="Standaard 18 7 4 2" xfId="16328"/>
    <cellStyle name="Standaard 18 7 4 2 2" xfId="16329"/>
    <cellStyle name="Standaard 18 7 4 3" xfId="16330"/>
    <cellStyle name="Standaard 18 7 5" xfId="16331"/>
    <cellStyle name="Standaard 18 7 5 2" xfId="16332"/>
    <cellStyle name="Standaard 18 7 6" xfId="16333"/>
    <cellStyle name="Standaard 18 7 7" xfId="16334"/>
    <cellStyle name="Standaard 18 8" xfId="16335"/>
    <cellStyle name="Standaard 18 8 2" xfId="16336"/>
    <cellStyle name="Standaard 18 8 2 2" xfId="16337"/>
    <cellStyle name="Standaard 18 8 2 2 2" xfId="16338"/>
    <cellStyle name="Standaard 18 8 2 2 2 2" xfId="16339"/>
    <cellStyle name="Standaard 18 8 2 2 3" xfId="16340"/>
    <cellStyle name="Standaard 18 8 2 3" xfId="16341"/>
    <cellStyle name="Standaard 18 8 2 3 2" xfId="16342"/>
    <cellStyle name="Standaard 18 8 2 4" xfId="16343"/>
    <cellStyle name="Standaard 18 8 3" xfId="16344"/>
    <cellStyle name="Standaard 18 8 3 2" xfId="16345"/>
    <cellStyle name="Standaard 18 8 3 2 2" xfId="16346"/>
    <cellStyle name="Standaard 18 8 3 3" xfId="16347"/>
    <cellStyle name="Standaard 18 8 4" xfId="16348"/>
    <cellStyle name="Standaard 18 8 4 2" xfId="16349"/>
    <cellStyle name="Standaard 18 8 5" xfId="16350"/>
    <cellStyle name="Standaard 18 8 6" xfId="16351"/>
    <cellStyle name="Standaard 18 9" xfId="16352"/>
    <cellStyle name="Standaard 18 9 2" xfId="16353"/>
    <cellStyle name="Standaard 18 9 2 2" xfId="16354"/>
    <cellStyle name="Standaard 18 9 2 2 2" xfId="16355"/>
    <cellStyle name="Standaard 18 9 2 3" xfId="16356"/>
    <cellStyle name="Standaard 18 9 3" xfId="16357"/>
    <cellStyle name="Standaard 18 9 3 2" xfId="16358"/>
    <cellStyle name="Standaard 18 9 4" xfId="16359"/>
    <cellStyle name="Standaard 19" xfId="16360"/>
    <cellStyle name="Standaard 19 10" xfId="16361"/>
    <cellStyle name="Standaard 19 10 2" xfId="16362"/>
    <cellStyle name="Standaard 19 10 2 2" xfId="16363"/>
    <cellStyle name="Standaard 19 10 3" xfId="16364"/>
    <cellStyle name="Standaard 19 11" xfId="16365"/>
    <cellStyle name="Standaard 19 11 2" xfId="16366"/>
    <cellStyle name="Standaard 19 12" xfId="16367"/>
    <cellStyle name="Standaard 19 13" xfId="16368"/>
    <cellStyle name="Standaard 19 2" xfId="16369"/>
    <cellStyle name="Standaard 19 2 10" xfId="16370"/>
    <cellStyle name="Standaard 19 2 10 2" xfId="16371"/>
    <cellStyle name="Standaard 19 2 11" xfId="16372"/>
    <cellStyle name="Standaard 19 2 12" xfId="16373"/>
    <cellStyle name="Standaard 19 2 2" xfId="16374"/>
    <cellStyle name="Standaard 19 2 2 10" xfId="16375"/>
    <cellStyle name="Standaard 19 2 2 11" xfId="16376"/>
    <cellStyle name="Standaard 19 2 2 2" xfId="16377"/>
    <cellStyle name="Standaard 19 2 2 2 2" xfId="16378"/>
    <cellStyle name="Standaard 19 2 2 2 2 2" xfId="16379"/>
    <cellStyle name="Standaard 19 2 2 2 2 2 2" xfId="16380"/>
    <cellStyle name="Standaard 19 2 2 2 2 2 2 2" xfId="16381"/>
    <cellStyle name="Standaard 19 2 2 2 2 2 2 2 2" xfId="16382"/>
    <cellStyle name="Standaard 19 2 2 2 2 2 2 2 2 2" xfId="16383"/>
    <cellStyle name="Standaard 19 2 2 2 2 2 2 2 2 2 2" xfId="16384"/>
    <cellStyle name="Standaard 19 2 2 2 2 2 2 2 2 3" xfId="16385"/>
    <cellStyle name="Standaard 19 2 2 2 2 2 2 2 3" xfId="16386"/>
    <cellStyle name="Standaard 19 2 2 2 2 2 2 2 3 2" xfId="16387"/>
    <cellStyle name="Standaard 19 2 2 2 2 2 2 2 4" xfId="16388"/>
    <cellStyle name="Standaard 19 2 2 2 2 2 2 3" xfId="16389"/>
    <cellStyle name="Standaard 19 2 2 2 2 2 2 3 2" xfId="16390"/>
    <cellStyle name="Standaard 19 2 2 2 2 2 2 3 2 2" xfId="16391"/>
    <cellStyle name="Standaard 19 2 2 2 2 2 2 3 3" xfId="16392"/>
    <cellStyle name="Standaard 19 2 2 2 2 2 2 4" xfId="16393"/>
    <cellStyle name="Standaard 19 2 2 2 2 2 2 4 2" xfId="16394"/>
    <cellStyle name="Standaard 19 2 2 2 2 2 2 5" xfId="16395"/>
    <cellStyle name="Standaard 19 2 2 2 2 2 2 6" xfId="16396"/>
    <cellStyle name="Standaard 19 2 2 2 2 2 3" xfId="16397"/>
    <cellStyle name="Standaard 19 2 2 2 2 2 3 2" xfId="16398"/>
    <cellStyle name="Standaard 19 2 2 2 2 2 3 2 2" xfId="16399"/>
    <cellStyle name="Standaard 19 2 2 2 2 2 3 2 2 2" xfId="16400"/>
    <cellStyle name="Standaard 19 2 2 2 2 2 3 2 3" xfId="16401"/>
    <cellStyle name="Standaard 19 2 2 2 2 2 3 3" xfId="16402"/>
    <cellStyle name="Standaard 19 2 2 2 2 2 3 3 2" xfId="16403"/>
    <cellStyle name="Standaard 19 2 2 2 2 2 3 4" xfId="16404"/>
    <cellStyle name="Standaard 19 2 2 2 2 2 4" xfId="16405"/>
    <cellStyle name="Standaard 19 2 2 2 2 2 4 2" xfId="16406"/>
    <cellStyle name="Standaard 19 2 2 2 2 2 4 2 2" xfId="16407"/>
    <cellStyle name="Standaard 19 2 2 2 2 2 4 3" xfId="16408"/>
    <cellStyle name="Standaard 19 2 2 2 2 2 5" xfId="16409"/>
    <cellStyle name="Standaard 19 2 2 2 2 2 5 2" xfId="16410"/>
    <cellStyle name="Standaard 19 2 2 2 2 2 6" xfId="16411"/>
    <cellStyle name="Standaard 19 2 2 2 2 2 7" xfId="16412"/>
    <cellStyle name="Standaard 19 2 2 2 2 3" xfId="16413"/>
    <cellStyle name="Standaard 19 2 2 2 2 3 2" xfId="16414"/>
    <cellStyle name="Standaard 19 2 2 2 2 3 2 2" xfId="16415"/>
    <cellStyle name="Standaard 19 2 2 2 2 3 2 2 2" xfId="16416"/>
    <cellStyle name="Standaard 19 2 2 2 2 3 2 2 2 2" xfId="16417"/>
    <cellStyle name="Standaard 19 2 2 2 2 3 2 2 3" xfId="16418"/>
    <cellStyle name="Standaard 19 2 2 2 2 3 2 3" xfId="16419"/>
    <cellStyle name="Standaard 19 2 2 2 2 3 2 3 2" xfId="16420"/>
    <cellStyle name="Standaard 19 2 2 2 2 3 2 4" xfId="16421"/>
    <cellStyle name="Standaard 19 2 2 2 2 3 3" xfId="16422"/>
    <cellStyle name="Standaard 19 2 2 2 2 3 3 2" xfId="16423"/>
    <cellStyle name="Standaard 19 2 2 2 2 3 3 2 2" xfId="16424"/>
    <cellStyle name="Standaard 19 2 2 2 2 3 3 3" xfId="16425"/>
    <cellStyle name="Standaard 19 2 2 2 2 3 4" xfId="16426"/>
    <cellStyle name="Standaard 19 2 2 2 2 3 4 2" xfId="16427"/>
    <cellStyle name="Standaard 19 2 2 2 2 3 5" xfId="16428"/>
    <cellStyle name="Standaard 19 2 2 2 2 3 6" xfId="16429"/>
    <cellStyle name="Standaard 19 2 2 2 2 4" xfId="16430"/>
    <cellStyle name="Standaard 19 2 2 2 2 4 2" xfId="16431"/>
    <cellStyle name="Standaard 19 2 2 2 2 4 2 2" xfId="16432"/>
    <cellStyle name="Standaard 19 2 2 2 2 4 2 2 2" xfId="16433"/>
    <cellStyle name="Standaard 19 2 2 2 2 4 2 3" xfId="16434"/>
    <cellStyle name="Standaard 19 2 2 2 2 4 3" xfId="16435"/>
    <cellStyle name="Standaard 19 2 2 2 2 4 3 2" xfId="16436"/>
    <cellStyle name="Standaard 19 2 2 2 2 4 4" xfId="16437"/>
    <cellStyle name="Standaard 19 2 2 2 2 5" xfId="16438"/>
    <cellStyle name="Standaard 19 2 2 2 2 5 2" xfId="16439"/>
    <cellStyle name="Standaard 19 2 2 2 2 5 2 2" xfId="16440"/>
    <cellStyle name="Standaard 19 2 2 2 2 5 3" xfId="16441"/>
    <cellStyle name="Standaard 19 2 2 2 2 6" xfId="16442"/>
    <cellStyle name="Standaard 19 2 2 2 2 6 2" xfId="16443"/>
    <cellStyle name="Standaard 19 2 2 2 2 7" xfId="16444"/>
    <cellStyle name="Standaard 19 2 2 2 2 8" xfId="16445"/>
    <cellStyle name="Standaard 19 2 2 2 3" xfId="16446"/>
    <cellStyle name="Standaard 19 2 2 2 3 2" xfId="16447"/>
    <cellStyle name="Standaard 19 2 2 2 3 2 2" xfId="16448"/>
    <cellStyle name="Standaard 19 2 2 2 3 2 2 2" xfId="16449"/>
    <cellStyle name="Standaard 19 2 2 2 3 2 2 2 2" xfId="16450"/>
    <cellStyle name="Standaard 19 2 2 2 3 2 2 2 2 2" xfId="16451"/>
    <cellStyle name="Standaard 19 2 2 2 3 2 2 2 3" xfId="16452"/>
    <cellStyle name="Standaard 19 2 2 2 3 2 2 3" xfId="16453"/>
    <cellStyle name="Standaard 19 2 2 2 3 2 2 3 2" xfId="16454"/>
    <cellStyle name="Standaard 19 2 2 2 3 2 2 4" xfId="16455"/>
    <cellStyle name="Standaard 19 2 2 2 3 2 3" xfId="16456"/>
    <cellStyle name="Standaard 19 2 2 2 3 2 3 2" xfId="16457"/>
    <cellStyle name="Standaard 19 2 2 2 3 2 3 2 2" xfId="16458"/>
    <cellStyle name="Standaard 19 2 2 2 3 2 3 3" xfId="16459"/>
    <cellStyle name="Standaard 19 2 2 2 3 2 4" xfId="16460"/>
    <cellStyle name="Standaard 19 2 2 2 3 2 4 2" xfId="16461"/>
    <cellStyle name="Standaard 19 2 2 2 3 2 5" xfId="16462"/>
    <cellStyle name="Standaard 19 2 2 2 3 2 6" xfId="16463"/>
    <cellStyle name="Standaard 19 2 2 2 3 3" xfId="16464"/>
    <cellStyle name="Standaard 19 2 2 2 3 3 2" xfId="16465"/>
    <cellStyle name="Standaard 19 2 2 2 3 3 2 2" xfId="16466"/>
    <cellStyle name="Standaard 19 2 2 2 3 3 2 2 2" xfId="16467"/>
    <cellStyle name="Standaard 19 2 2 2 3 3 2 3" xfId="16468"/>
    <cellStyle name="Standaard 19 2 2 2 3 3 3" xfId="16469"/>
    <cellStyle name="Standaard 19 2 2 2 3 3 3 2" xfId="16470"/>
    <cellStyle name="Standaard 19 2 2 2 3 3 4" xfId="16471"/>
    <cellStyle name="Standaard 19 2 2 2 3 4" xfId="16472"/>
    <cellStyle name="Standaard 19 2 2 2 3 4 2" xfId="16473"/>
    <cellStyle name="Standaard 19 2 2 2 3 4 2 2" xfId="16474"/>
    <cellStyle name="Standaard 19 2 2 2 3 4 3" xfId="16475"/>
    <cellStyle name="Standaard 19 2 2 2 3 5" xfId="16476"/>
    <cellStyle name="Standaard 19 2 2 2 3 5 2" xfId="16477"/>
    <cellStyle name="Standaard 19 2 2 2 3 6" xfId="16478"/>
    <cellStyle name="Standaard 19 2 2 2 3 7" xfId="16479"/>
    <cellStyle name="Standaard 19 2 2 2 4" xfId="16480"/>
    <cellStyle name="Standaard 19 2 2 2 4 2" xfId="16481"/>
    <cellStyle name="Standaard 19 2 2 2 4 2 2" xfId="16482"/>
    <cellStyle name="Standaard 19 2 2 2 4 2 2 2" xfId="16483"/>
    <cellStyle name="Standaard 19 2 2 2 4 2 2 2 2" xfId="16484"/>
    <cellStyle name="Standaard 19 2 2 2 4 2 2 3" xfId="16485"/>
    <cellStyle name="Standaard 19 2 2 2 4 2 3" xfId="16486"/>
    <cellStyle name="Standaard 19 2 2 2 4 2 3 2" xfId="16487"/>
    <cellStyle name="Standaard 19 2 2 2 4 2 4" xfId="16488"/>
    <cellStyle name="Standaard 19 2 2 2 4 3" xfId="16489"/>
    <cellStyle name="Standaard 19 2 2 2 4 3 2" xfId="16490"/>
    <cellStyle name="Standaard 19 2 2 2 4 3 2 2" xfId="16491"/>
    <cellStyle name="Standaard 19 2 2 2 4 3 3" xfId="16492"/>
    <cellStyle name="Standaard 19 2 2 2 4 4" xfId="16493"/>
    <cellStyle name="Standaard 19 2 2 2 4 4 2" xfId="16494"/>
    <cellStyle name="Standaard 19 2 2 2 4 5" xfId="16495"/>
    <cellStyle name="Standaard 19 2 2 2 4 6" xfId="16496"/>
    <cellStyle name="Standaard 19 2 2 2 5" xfId="16497"/>
    <cellStyle name="Standaard 19 2 2 2 5 2" xfId="16498"/>
    <cellStyle name="Standaard 19 2 2 2 5 2 2" xfId="16499"/>
    <cellStyle name="Standaard 19 2 2 2 5 2 2 2" xfId="16500"/>
    <cellStyle name="Standaard 19 2 2 2 5 2 3" xfId="16501"/>
    <cellStyle name="Standaard 19 2 2 2 5 3" xfId="16502"/>
    <cellStyle name="Standaard 19 2 2 2 5 3 2" xfId="16503"/>
    <cellStyle name="Standaard 19 2 2 2 5 4" xfId="16504"/>
    <cellStyle name="Standaard 19 2 2 2 6" xfId="16505"/>
    <cellStyle name="Standaard 19 2 2 2 6 2" xfId="16506"/>
    <cellStyle name="Standaard 19 2 2 2 6 2 2" xfId="16507"/>
    <cellStyle name="Standaard 19 2 2 2 6 3" xfId="16508"/>
    <cellStyle name="Standaard 19 2 2 2 7" xfId="16509"/>
    <cellStyle name="Standaard 19 2 2 2 7 2" xfId="16510"/>
    <cellStyle name="Standaard 19 2 2 2 8" xfId="16511"/>
    <cellStyle name="Standaard 19 2 2 2 9" xfId="16512"/>
    <cellStyle name="Standaard 19 2 2 3" xfId="16513"/>
    <cellStyle name="Standaard 19 2 2 3 2" xfId="16514"/>
    <cellStyle name="Standaard 19 2 2 3 2 2" xfId="16515"/>
    <cellStyle name="Standaard 19 2 2 3 2 2 2" xfId="16516"/>
    <cellStyle name="Standaard 19 2 2 3 2 2 2 2" xfId="16517"/>
    <cellStyle name="Standaard 19 2 2 3 2 2 2 2 2" xfId="16518"/>
    <cellStyle name="Standaard 19 2 2 3 2 2 2 2 2 2" xfId="16519"/>
    <cellStyle name="Standaard 19 2 2 3 2 2 2 2 3" xfId="16520"/>
    <cellStyle name="Standaard 19 2 2 3 2 2 2 3" xfId="16521"/>
    <cellStyle name="Standaard 19 2 2 3 2 2 2 3 2" xfId="16522"/>
    <cellStyle name="Standaard 19 2 2 3 2 2 2 4" xfId="16523"/>
    <cellStyle name="Standaard 19 2 2 3 2 2 3" xfId="16524"/>
    <cellStyle name="Standaard 19 2 2 3 2 2 3 2" xfId="16525"/>
    <cellStyle name="Standaard 19 2 2 3 2 2 3 2 2" xfId="16526"/>
    <cellStyle name="Standaard 19 2 2 3 2 2 3 3" xfId="16527"/>
    <cellStyle name="Standaard 19 2 2 3 2 2 4" xfId="16528"/>
    <cellStyle name="Standaard 19 2 2 3 2 2 4 2" xfId="16529"/>
    <cellStyle name="Standaard 19 2 2 3 2 2 5" xfId="16530"/>
    <cellStyle name="Standaard 19 2 2 3 2 2 6" xfId="16531"/>
    <cellStyle name="Standaard 19 2 2 3 2 3" xfId="16532"/>
    <cellStyle name="Standaard 19 2 2 3 2 3 2" xfId="16533"/>
    <cellStyle name="Standaard 19 2 2 3 2 3 2 2" xfId="16534"/>
    <cellStyle name="Standaard 19 2 2 3 2 3 2 2 2" xfId="16535"/>
    <cellStyle name="Standaard 19 2 2 3 2 3 2 3" xfId="16536"/>
    <cellStyle name="Standaard 19 2 2 3 2 3 3" xfId="16537"/>
    <cellStyle name="Standaard 19 2 2 3 2 3 3 2" xfId="16538"/>
    <cellStyle name="Standaard 19 2 2 3 2 3 4" xfId="16539"/>
    <cellStyle name="Standaard 19 2 2 3 2 4" xfId="16540"/>
    <cellStyle name="Standaard 19 2 2 3 2 4 2" xfId="16541"/>
    <cellStyle name="Standaard 19 2 2 3 2 4 2 2" xfId="16542"/>
    <cellStyle name="Standaard 19 2 2 3 2 4 3" xfId="16543"/>
    <cellStyle name="Standaard 19 2 2 3 2 5" xfId="16544"/>
    <cellStyle name="Standaard 19 2 2 3 2 5 2" xfId="16545"/>
    <cellStyle name="Standaard 19 2 2 3 2 6" xfId="16546"/>
    <cellStyle name="Standaard 19 2 2 3 2 7" xfId="16547"/>
    <cellStyle name="Standaard 19 2 2 3 3" xfId="16548"/>
    <cellStyle name="Standaard 19 2 2 3 3 2" xfId="16549"/>
    <cellStyle name="Standaard 19 2 2 3 3 2 2" xfId="16550"/>
    <cellStyle name="Standaard 19 2 2 3 3 2 2 2" xfId="16551"/>
    <cellStyle name="Standaard 19 2 2 3 3 2 2 2 2" xfId="16552"/>
    <cellStyle name="Standaard 19 2 2 3 3 2 2 3" xfId="16553"/>
    <cellStyle name="Standaard 19 2 2 3 3 2 3" xfId="16554"/>
    <cellStyle name="Standaard 19 2 2 3 3 2 3 2" xfId="16555"/>
    <cellStyle name="Standaard 19 2 2 3 3 2 4" xfId="16556"/>
    <cellStyle name="Standaard 19 2 2 3 3 3" xfId="16557"/>
    <cellStyle name="Standaard 19 2 2 3 3 3 2" xfId="16558"/>
    <cellStyle name="Standaard 19 2 2 3 3 3 2 2" xfId="16559"/>
    <cellStyle name="Standaard 19 2 2 3 3 3 3" xfId="16560"/>
    <cellStyle name="Standaard 19 2 2 3 3 4" xfId="16561"/>
    <cellStyle name="Standaard 19 2 2 3 3 4 2" xfId="16562"/>
    <cellStyle name="Standaard 19 2 2 3 3 5" xfId="16563"/>
    <cellStyle name="Standaard 19 2 2 3 3 6" xfId="16564"/>
    <cellStyle name="Standaard 19 2 2 3 4" xfId="16565"/>
    <cellStyle name="Standaard 19 2 2 3 4 2" xfId="16566"/>
    <cellStyle name="Standaard 19 2 2 3 4 2 2" xfId="16567"/>
    <cellStyle name="Standaard 19 2 2 3 4 2 2 2" xfId="16568"/>
    <cellStyle name="Standaard 19 2 2 3 4 2 3" xfId="16569"/>
    <cellStyle name="Standaard 19 2 2 3 4 3" xfId="16570"/>
    <cellStyle name="Standaard 19 2 2 3 4 3 2" xfId="16571"/>
    <cellStyle name="Standaard 19 2 2 3 4 4" xfId="16572"/>
    <cellStyle name="Standaard 19 2 2 3 5" xfId="16573"/>
    <cellStyle name="Standaard 19 2 2 3 5 2" xfId="16574"/>
    <cellStyle name="Standaard 19 2 2 3 5 2 2" xfId="16575"/>
    <cellStyle name="Standaard 19 2 2 3 5 3" xfId="16576"/>
    <cellStyle name="Standaard 19 2 2 3 6" xfId="16577"/>
    <cellStyle name="Standaard 19 2 2 3 6 2" xfId="16578"/>
    <cellStyle name="Standaard 19 2 2 3 7" xfId="16579"/>
    <cellStyle name="Standaard 19 2 2 3 8" xfId="16580"/>
    <cellStyle name="Standaard 19 2 2 4" xfId="16581"/>
    <cellStyle name="Standaard 19 2 2 4 2" xfId="16582"/>
    <cellStyle name="Standaard 19 2 2 4 2 2" xfId="16583"/>
    <cellStyle name="Standaard 19 2 2 4 2 2 2" xfId="16584"/>
    <cellStyle name="Standaard 19 2 2 4 2 2 2 2" xfId="16585"/>
    <cellStyle name="Standaard 19 2 2 4 2 2 2 2 2" xfId="16586"/>
    <cellStyle name="Standaard 19 2 2 4 2 2 2 2 2 2" xfId="16587"/>
    <cellStyle name="Standaard 19 2 2 4 2 2 2 2 3" xfId="16588"/>
    <cellStyle name="Standaard 19 2 2 4 2 2 2 3" xfId="16589"/>
    <cellStyle name="Standaard 19 2 2 4 2 2 2 3 2" xfId="16590"/>
    <cellStyle name="Standaard 19 2 2 4 2 2 2 4" xfId="16591"/>
    <cellStyle name="Standaard 19 2 2 4 2 2 3" xfId="16592"/>
    <cellStyle name="Standaard 19 2 2 4 2 2 3 2" xfId="16593"/>
    <cellStyle name="Standaard 19 2 2 4 2 2 3 2 2" xfId="16594"/>
    <cellStyle name="Standaard 19 2 2 4 2 2 3 3" xfId="16595"/>
    <cellStyle name="Standaard 19 2 2 4 2 2 4" xfId="16596"/>
    <cellStyle name="Standaard 19 2 2 4 2 2 4 2" xfId="16597"/>
    <cellStyle name="Standaard 19 2 2 4 2 2 5" xfId="16598"/>
    <cellStyle name="Standaard 19 2 2 4 2 2 6" xfId="16599"/>
    <cellStyle name="Standaard 19 2 2 4 2 3" xfId="16600"/>
    <cellStyle name="Standaard 19 2 2 4 2 3 2" xfId="16601"/>
    <cellStyle name="Standaard 19 2 2 4 2 3 2 2" xfId="16602"/>
    <cellStyle name="Standaard 19 2 2 4 2 3 2 2 2" xfId="16603"/>
    <cellStyle name="Standaard 19 2 2 4 2 3 2 3" xfId="16604"/>
    <cellStyle name="Standaard 19 2 2 4 2 3 3" xfId="16605"/>
    <cellStyle name="Standaard 19 2 2 4 2 3 3 2" xfId="16606"/>
    <cellStyle name="Standaard 19 2 2 4 2 3 4" xfId="16607"/>
    <cellStyle name="Standaard 19 2 2 4 2 4" xfId="16608"/>
    <cellStyle name="Standaard 19 2 2 4 2 4 2" xfId="16609"/>
    <cellStyle name="Standaard 19 2 2 4 2 4 2 2" xfId="16610"/>
    <cellStyle name="Standaard 19 2 2 4 2 4 3" xfId="16611"/>
    <cellStyle name="Standaard 19 2 2 4 2 5" xfId="16612"/>
    <cellStyle name="Standaard 19 2 2 4 2 5 2" xfId="16613"/>
    <cellStyle name="Standaard 19 2 2 4 2 6" xfId="16614"/>
    <cellStyle name="Standaard 19 2 2 4 2 7" xfId="16615"/>
    <cellStyle name="Standaard 19 2 2 4 3" xfId="16616"/>
    <cellStyle name="Standaard 19 2 2 4 3 2" xfId="16617"/>
    <cellStyle name="Standaard 19 2 2 4 3 2 2" xfId="16618"/>
    <cellStyle name="Standaard 19 2 2 4 3 2 2 2" xfId="16619"/>
    <cellStyle name="Standaard 19 2 2 4 3 2 2 2 2" xfId="16620"/>
    <cellStyle name="Standaard 19 2 2 4 3 2 2 3" xfId="16621"/>
    <cellStyle name="Standaard 19 2 2 4 3 2 3" xfId="16622"/>
    <cellStyle name="Standaard 19 2 2 4 3 2 3 2" xfId="16623"/>
    <cellStyle name="Standaard 19 2 2 4 3 2 4" xfId="16624"/>
    <cellStyle name="Standaard 19 2 2 4 3 3" xfId="16625"/>
    <cellStyle name="Standaard 19 2 2 4 3 3 2" xfId="16626"/>
    <cellStyle name="Standaard 19 2 2 4 3 3 2 2" xfId="16627"/>
    <cellStyle name="Standaard 19 2 2 4 3 3 3" xfId="16628"/>
    <cellStyle name="Standaard 19 2 2 4 3 4" xfId="16629"/>
    <cellStyle name="Standaard 19 2 2 4 3 4 2" xfId="16630"/>
    <cellStyle name="Standaard 19 2 2 4 3 5" xfId="16631"/>
    <cellStyle name="Standaard 19 2 2 4 3 6" xfId="16632"/>
    <cellStyle name="Standaard 19 2 2 4 4" xfId="16633"/>
    <cellStyle name="Standaard 19 2 2 4 4 2" xfId="16634"/>
    <cellStyle name="Standaard 19 2 2 4 4 2 2" xfId="16635"/>
    <cellStyle name="Standaard 19 2 2 4 4 2 2 2" xfId="16636"/>
    <cellStyle name="Standaard 19 2 2 4 4 2 3" xfId="16637"/>
    <cellStyle name="Standaard 19 2 2 4 4 3" xfId="16638"/>
    <cellStyle name="Standaard 19 2 2 4 4 3 2" xfId="16639"/>
    <cellStyle name="Standaard 19 2 2 4 4 4" xfId="16640"/>
    <cellStyle name="Standaard 19 2 2 4 5" xfId="16641"/>
    <cellStyle name="Standaard 19 2 2 4 5 2" xfId="16642"/>
    <cellStyle name="Standaard 19 2 2 4 5 2 2" xfId="16643"/>
    <cellStyle name="Standaard 19 2 2 4 5 3" xfId="16644"/>
    <cellStyle name="Standaard 19 2 2 4 6" xfId="16645"/>
    <cellStyle name="Standaard 19 2 2 4 6 2" xfId="16646"/>
    <cellStyle name="Standaard 19 2 2 4 7" xfId="16647"/>
    <cellStyle name="Standaard 19 2 2 4 8" xfId="16648"/>
    <cellStyle name="Standaard 19 2 2 5" xfId="16649"/>
    <cellStyle name="Standaard 19 2 2 5 2" xfId="16650"/>
    <cellStyle name="Standaard 19 2 2 5 2 2" xfId="16651"/>
    <cellStyle name="Standaard 19 2 2 5 2 2 2" xfId="16652"/>
    <cellStyle name="Standaard 19 2 2 5 2 2 2 2" xfId="16653"/>
    <cellStyle name="Standaard 19 2 2 5 2 2 2 2 2" xfId="16654"/>
    <cellStyle name="Standaard 19 2 2 5 2 2 2 3" xfId="16655"/>
    <cellStyle name="Standaard 19 2 2 5 2 2 3" xfId="16656"/>
    <cellStyle name="Standaard 19 2 2 5 2 2 3 2" xfId="16657"/>
    <cellStyle name="Standaard 19 2 2 5 2 2 4" xfId="16658"/>
    <cellStyle name="Standaard 19 2 2 5 2 3" xfId="16659"/>
    <cellStyle name="Standaard 19 2 2 5 2 3 2" xfId="16660"/>
    <cellStyle name="Standaard 19 2 2 5 2 3 2 2" xfId="16661"/>
    <cellStyle name="Standaard 19 2 2 5 2 3 3" xfId="16662"/>
    <cellStyle name="Standaard 19 2 2 5 2 4" xfId="16663"/>
    <cellStyle name="Standaard 19 2 2 5 2 4 2" xfId="16664"/>
    <cellStyle name="Standaard 19 2 2 5 2 5" xfId="16665"/>
    <cellStyle name="Standaard 19 2 2 5 2 6" xfId="16666"/>
    <cellStyle name="Standaard 19 2 2 5 3" xfId="16667"/>
    <cellStyle name="Standaard 19 2 2 5 3 2" xfId="16668"/>
    <cellStyle name="Standaard 19 2 2 5 3 2 2" xfId="16669"/>
    <cellStyle name="Standaard 19 2 2 5 3 2 2 2" xfId="16670"/>
    <cellStyle name="Standaard 19 2 2 5 3 2 3" xfId="16671"/>
    <cellStyle name="Standaard 19 2 2 5 3 3" xfId="16672"/>
    <cellStyle name="Standaard 19 2 2 5 3 3 2" xfId="16673"/>
    <cellStyle name="Standaard 19 2 2 5 3 4" xfId="16674"/>
    <cellStyle name="Standaard 19 2 2 5 4" xfId="16675"/>
    <cellStyle name="Standaard 19 2 2 5 4 2" xfId="16676"/>
    <cellStyle name="Standaard 19 2 2 5 4 2 2" xfId="16677"/>
    <cellStyle name="Standaard 19 2 2 5 4 3" xfId="16678"/>
    <cellStyle name="Standaard 19 2 2 5 5" xfId="16679"/>
    <cellStyle name="Standaard 19 2 2 5 5 2" xfId="16680"/>
    <cellStyle name="Standaard 19 2 2 5 6" xfId="16681"/>
    <cellStyle name="Standaard 19 2 2 5 7" xfId="16682"/>
    <cellStyle name="Standaard 19 2 2 6" xfId="16683"/>
    <cellStyle name="Standaard 19 2 2 6 2" xfId="16684"/>
    <cellStyle name="Standaard 19 2 2 6 2 2" xfId="16685"/>
    <cellStyle name="Standaard 19 2 2 6 2 2 2" xfId="16686"/>
    <cellStyle name="Standaard 19 2 2 6 2 2 2 2" xfId="16687"/>
    <cellStyle name="Standaard 19 2 2 6 2 2 3" xfId="16688"/>
    <cellStyle name="Standaard 19 2 2 6 2 3" xfId="16689"/>
    <cellStyle name="Standaard 19 2 2 6 2 3 2" xfId="16690"/>
    <cellStyle name="Standaard 19 2 2 6 2 4" xfId="16691"/>
    <cellStyle name="Standaard 19 2 2 6 3" xfId="16692"/>
    <cellStyle name="Standaard 19 2 2 6 3 2" xfId="16693"/>
    <cellStyle name="Standaard 19 2 2 6 3 2 2" xfId="16694"/>
    <cellStyle name="Standaard 19 2 2 6 3 3" xfId="16695"/>
    <cellStyle name="Standaard 19 2 2 6 4" xfId="16696"/>
    <cellStyle name="Standaard 19 2 2 6 4 2" xfId="16697"/>
    <cellStyle name="Standaard 19 2 2 6 5" xfId="16698"/>
    <cellStyle name="Standaard 19 2 2 6 6" xfId="16699"/>
    <cellStyle name="Standaard 19 2 2 7" xfId="16700"/>
    <cellStyle name="Standaard 19 2 2 7 2" xfId="16701"/>
    <cellStyle name="Standaard 19 2 2 7 2 2" xfId="16702"/>
    <cellStyle name="Standaard 19 2 2 7 2 2 2" xfId="16703"/>
    <cellStyle name="Standaard 19 2 2 7 2 3" xfId="16704"/>
    <cellStyle name="Standaard 19 2 2 7 3" xfId="16705"/>
    <cellStyle name="Standaard 19 2 2 7 3 2" xfId="16706"/>
    <cellStyle name="Standaard 19 2 2 7 4" xfId="16707"/>
    <cellStyle name="Standaard 19 2 2 8" xfId="16708"/>
    <cellStyle name="Standaard 19 2 2 8 2" xfId="16709"/>
    <cellStyle name="Standaard 19 2 2 8 2 2" xfId="16710"/>
    <cellStyle name="Standaard 19 2 2 8 3" xfId="16711"/>
    <cellStyle name="Standaard 19 2 2 9" xfId="16712"/>
    <cellStyle name="Standaard 19 2 2 9 2" xfId="16713"/>
    <cellStyle name="Standaard 19 2 3" xfId="16714"/>
    <cellStyle name="Standaard 19 2 3 2" xfId="16715"/>
    <cellStyle name="Standaard 19 2 3 2 2" xfId="16716"/>
    <cellStyle name="Standaard 19 2 3 2 2 2" xfId="16717"/>
    <cellStyle name="Standaard 19 2 3 2 2 2 2" xfId="16718"/>
    <cellStyle name="Standaard 19 2 3 2 2 2 2 2" xfId="16719"/>
    <cellStyle name="Standaard 19 2 3 2 2 2 2 2 2" xfId="16720"/>
    <cellStyle name="Standaard 19 2 3 2 2 2 2 2 2 2" xfId="16721"/>
    <cellStyle name="Standaard 19 2 3 2 2 2 2 2 3" xfId="16722"/>
    <cellStyle name="Standaard 19 2 3 2 2 2 2 3" xfId="16723"/>
    <cellStyle name="Standaard 19 2 3 2 2 2 2 3 2" xfId="16724"/>
    <cellStyle name="Standaard 19 2 3 2 2 2 2 4" xfId="16725"/>
    <cellStyle name="Standaard 19 2 3 2 2 2 3" xfId="16726"/>
    <cellStyle name="Standaard 19 2 3 2 2 2 3 2" xfId="16727"/>
    <cellStyle name="Standaard 19 2 3 2 2 2 3 2 2" xfId="16728"/>
    <cellStyle name="Standaard 19 2 3 2 2 2 3 3" xfId="16729"/>
    <cellStyle name="Standaard 19 2 3 2 2 2 4" xfId="16730"/>
    <cellStyle name="Standaard 19 2 3 2 2 2 4 2" xfId="16731"/>
    <cellStyle name="Standaard 19 2 3 2 2 2 5" xfId="16732"/>
    <cellStyle name="Standaard 19 2 3 2 2 2 6" xfId="16733"/>
    <cellStyle name="Standaard 19 2 3 2 2 3" xfId="16734"/>
    <cellStyle name="Standaard 19 2 3 2 2 3 2" xfId="16735"/>
    <cellStyle name="Standaard 19 2 3 2 2 3 2 2" xfId="16736"/>
    <cellStyle name="Standaard 19 2 3 2 2 3 2 2 2" xfId="16737"/>
    <cellStyle name="Standaard 19 2 3 2 2 3 2 3" xfId="16738"/>
    <cellStyle name="Standaard 19 2 3 2 2 3 3" xfId="16739"/>
    <cellStyle name="Standaard 19 2 3 2 2 3 3 2" xfId="16740"/>
    <cellStyle name="Standaard 19 2 3 2 2 3 4" xfId="16741"/>
    <cellStyle name="Standaard 19 2 3 2 2 4" xfId="16742"/>
    <cellStyle name="Standaard 19 2 3 2 2 4 2" xfId="16743"/>
    <cellStyle name="Standaard 19 2 3 2 2 4 2 2" xfId="16744"/>
    <cellStyle name="Standaard 19 2 3 2 2 4 3" xfId="16745"/>
    <cellStyle name="Standaard 19 2 3 2 2 5" xfId="16746"/>
    <cellStyle name="Standaard 19 2 3 2 2 5 2" xfId="16747"/>
    <cellStyle name="Standaard 19 2 3 2 2 6" xfId="16748"/>
    <cellStyle name="Standaard 19 2 3 2 2 7" xfId="16749"/>
    <cellStyle name="Standaard 19 2 3 2 3" xfId="16750"/>
    <cellStyle name="Standaard 19 2 3 2 3 2" xfId="16751"/>
    <cellStyle name="Standaard 19 2 3 2 3 2 2" xfId="16752"/>
    <cellStyle name="Standaard 19 2 3 2 3 2 2 2" xfId="16753"/>
    <cellStyle name="Standaard 19 2 3 2 3 2 2 2 2" xfId="16754"/>
    <cellStyle name="Standaard 19 2 3 2 3 2 2 3" xfId="16755"/>
    <cellStyle name="Standaard 19 2 3 2 3 2 3" xfId="16756"/>
    <cellStyle name="Standaard 19 2 3 2 3 2 3 2" xfId="16757"/>
    <cellStyle name="Standaard 19 2 3 2 3 2 4" xfId="16758"/>
    <cellStyle name="Standaard 19 2 3 2 3 3" xfId="16759"/>
    <cellStyle name="Standaard 19 2 3 2 3 3 2" xfId="16760"/>
    <cellStyle name="Standaard 19 2 3 2 3 3 2 2" xfId="16761"/>
    <cellStyle name="Standaard 19 2 3 2 3 3 3" xfId="16762"/>
    <cellStyle name="Standaard 19 2 3 2 3 4" xfId="16763"/>
    <cellStyle name="Standaard 19 2 3 2 3 4 2" xfId="16764"/>
    <cellStyle name="Standaard 19 2 3 2 3 5" xfId="16765"/>
    <cellStyle name="Standaard 19 2 3 2 3 6" xfId="16766"/>
    <cellStyle name="Standaard 19 2 3 2 4" xfId="16767"/>
    <cellStyle name="Standaard 19 2 3 2 4 2" xfId="16768"/>
    <cellStyle name="Standaard 19 2 3 2 4 2 2" xfId="16769"/>
    <cellStyle name="Standaard 19 2 3 2 4 2 2 2" xfId="16770"/>
    <cellStyle name="Standaard 19 2 3 2 4 2 3" xfId="16771"/>
    <cellStyle name="Standaard 19 2 3 2 4 3" xfId="16772"/>
    <cellStyle name="Standaard 19 2 3 2 4 3 2" xfId="16773"/>
    <cellStyle name="Standaard 19 2 3 2 4 4" xfId="16774"/>
    <cellStyle name="Standaard 19 2 3 2 5" xfId="16775"/>
    <cellStyle name="Standaard 19 2 3 2 5 2" xfId="16776"/>
    <cellStyle name="Standaard 19 2 3 2 5 2 2" xfId="16777"/>
    <cellStyle name="Standaard 19 2 3 2 5 3" xfId="16778"/>
    <cellStyle name="Standaard 19 2 3 2 6" xfId="16779"/>
    <cellStyle name="Standaard 19 2 3 2 6 2" xfId="16780"/>
    <cellStyle name="Standaard 19 2 3 2 7" xfId="16781"/>
    <cellStyle name="Standaard 19 2 3 2 8" xfId="16782"/>
    <cellStyle name="Standaard 19 2 3 3" xfId="16783"/>
    <cellStyle name="Standaard 19 2 3 3 2" xfId="16784"/>
    <cellStyle name="Standaard 19 2 3 3 2 2" xfId="16785"/>
    <cellStyle name="Standaard 19 2 3 3 2 2 2" xfId="16786"/>
    <cellStyle name="Standaard 19 2 3 3 2 2 2 2" xfId="16787"/>
    <cellStyle name="Standaard 19 2 3 3 2 2 2 2 2" xfId="16788"/>
    <cellStyle name="Standaard 19 2 3 3 2 2 2 3" xfId="16789"/>
    <cellStyle name="Standaard 19 2 3 3 2 2 3" xfId="16790"/>
    <cellStyle name="Standaard 19 2 3 3 2 2 3 2" xfId="16791"/>
    <cellStyle name="Standaard 19 2 3 3 2 2 4" xfId="16792"/>
    <cellStyle name="Standaard 19 2 3 3 2 3" xfId="16793"/>
    <cellStyle name="Standaard 19 2 3 3 2 3 2" xfId="16794"/>
    <cellStyle name="Standaard 19 2 3 3 2 3 2 2" xfId="16795"/>
    <cellStyle name="Standaard 19 2 3 3 2 3 3" xfId="16796"/>
    <cellStyle name="Standaard 19 2 3 3 2 4" xfId="16797"/>
    <cellStyle name="Standaard 19 2 3 3 2 4 2" xfId="16798"/>
    <cellStyle name="Standaard 19 2 3 3 2 5" xfId="16799"/>
    <cellStyle name="Standaard 19 2 3 3 2 6" xfId="16800"/>
    <cellStyle name="Standaard 19 2 3 3 3" xfId="16801"/>
    <cellStyle name="Standaard 19 2 3 3 3 2" xfId="16802"/>
    <cellStyle name="Standaard 19 2 3 3 3 2 2" xfId="16803"/>
    <cellStyle name="Standaard 19 2 3 3 3 2 2 2" xfId="16804"/>
    <cellStyle name="Standaard 19 2 3 3 3 2 3" xfId="16805"/>
    <cellStyle name="Standaard 19 2 3 3 3 3" xfId="16806"/>
    <cellStyle name="Standaard 19 2 3 3 3 3 2" xfId="16807"/>
    <cellStyle name="Standaard 19 2 3 3 3 4" xfId="16808"/>
    <cellStyle name="Standaard 19 2 3 3 4" xfId="16809"/>
    <cellStyle name="Standaard 19 2 3 3 4 2" xfId="16810"/>
    <cellStyle name="Standaard 19 2 3 3 4 2 2" xfId="16811"/>
    <cellStyle name="Standaard 19 2 3 3 4 3" xfId="16812"/>
    <cellStyle name="Standaard 19 2 3 3 5" xfId="16813"/>
    <cellStyle name="Standaard 19 2 3 3 5 2" xfId="16814"/>
    <cellStyle name="Standaard 19 2 3 3 6" xfId="16815"/>
    <cellStyle name="Standaard 19 2 3 3 7" xfId="16816"/>
    <cellStyle name="Standaard 19 2 3 4" xfId="16817"/>
    <cellStyle name="Standaard 19 2 3 4 2" xfId="16818"/>
    <cellStyle name="Standaard 19 2 3 4 2 2" xfId="16819"/>
    <cellStyle name="Standaard 19 2 3 4 2 2 2" xfId="16820"/>
    <cellStyle name="Standaard 19 2 3 4 2 2 2 2" xfId="16821"/>
    <cellStyle name="Standaard 19 2 3 4 2 2 3" xfId="16822"/>
    <cellStyle name="Standaard 19 2 3 4 2 3" xfId="16823"/>
    <cellStyle name="Standaard 19 2 3 4 2 3 2" xfId="16824"/>
    <cellStyle name="Standaard 19 2 3 4 2 4" xfId="16825"/>
    <cellStyle name="Standaard 19 2 3 4 3" xfId="16826"/>
    <cellStyle name="Standaard 19 2 3 4 3 2" xfId="16827"/>
    <cellStyle name="Standaard 19 2 3 4 3 2 2" xfId="16828"/>
    <cellStyle name="Standaard 19 2 3 4 3 3" xfId="16829"/>
    <cellStyle name="Standaard 19 2 3 4 4" xfId="16830"/>
    <cellStyle name="Standaard 19 2 3 4 4 2" xfId="16831"/>
    <cellStyle name="Standaard 19 2 3 4 5" xfId="16832"/>
    <cellStyle name="Standaard 19 2 3 4 6" xfId="16833"/>
    <cellStyle name="Standaard 19 2 3 5" xfId="16834"/>
    <cellStyle name="Standaard 19 2 3 5 2" xfId="16835"/>
    <cellStyle name="Standaard 19 2 3 5 2 2" xfId="16836"/>
    <cellStyle name="Standaard 19 2 3 5 2 2 2" xfId="16837"/>
    <cellStyle name="Standaard 19 2 3 5 2 3" xfId="16838"/>
    <cellStyle name="Standaard 19 2 3 5 3" xfId="16839"/>
    <cellStyle name="Standaard 19 2 3 5 3 2" xfId="16840"/>
    <cellStyle name="Standaard 19 2 3 5 4" xfId="16841"/>
    <cellStyle name="Standaard 19 2 3 6" xfId="16842"/>
    <cellStyle name="Standaard 19 2 3 6 2" xfId="16843"/>
    <cellStyle name="Standaard 19 2 3 6 2 2" xfId="16844"/>
    <cellStyle name="Standaard 19 2 3 6 3" xfId="16845"/>
    <cellStyle name="Standaard 19 2 3 7" xfId="16846"/>
    <cellStyle name="Standaard 19 2 3 7 2" xfId="16847"/>
    <cellStyle name="Standaard 19 2 3 8" xfId="16848"/>
    <cellStyle name="Standaard 19 2 3 9" xfId="16849"/>
    <cellStyle name="Standaard 19 2 4" xfId="16850"/>
    <cellStyle name="Standaard 19 2 4 2" xfId="16851"/>
    <cellStyle name="Standaard 19 2 4 2 2" xfId="16852"/>
    <cellStyle name="Standaard 19 2 4 2 2 2" xfId="16853"/>
    <cellStyle name="Standaard 19 2 4 2 2 2 2" xfId="16854"/>
    <cellStyle name="Standaard 19 2 4 2 2 2 2 2" xfId="16855"/>
    <cellStyle name="Standaard 19 2 4 2 2 2 2 2 2" xfId="16856"/>
    <cellStyle name="Standaard 19 2 4 2 2 2 2 3" xfId="16857"/>
    <cellStyle name="Standaard 19 2 4 2 2 2 3" xfId="16858"/>
    <cellStyle name="Standaard 19 2 4 2 2 2 3 2" xfId="16859"/>
    <cellStyle name="Standaard 19 2 4 2 2 2 4" xfId="16860"/>
    <cellStyle name="Standaard 19 2 4 2 2 3" xfId="16861"/>
    <cellStyle name="Standaard 19 2 4 2 2 3 2" xfId="16862"/>
    <cellStyle name="Standaard 19 2 4 2 2 3 2 2" xfId="16863"/>
    <cellStyle name="Standaard 19 2 4 2 2 3 3" xfId="16864"/>
    <cellStyle name="Standaard 19 2 4 2 2 4" xfId="16865"/>
    <cellStyle name="Standaard 19 2 4 2 2 4 2" xfId="16866"/>
    <cellStyle name="Standaard 19 2 4 2 2 5" xfId="16867"/>
    <cellStyle name="Standaard 19 2 4 2 2 6" xfId="16868"/>
    <cellStyle name="Standaard 19 2 4 2 3" xfId="16869"/>
    <cellStyle name="Standaard 19 2 4 2 3 2" xfId="16870"/>
    <cellStyle name="Standaard 19 2 4 2 3 2 2" xfId="16871"/>
    <cellStyle name="Standaard 19 2 4 2 3 2 2 2" xfId="16872"/>
    <cellStyle name="Standaard 19 2 4 2 3 2 3" xfId="16873"/>
    <cellStyle name="Standaard 19 2 4 2 3 3" xfId="16874"/>
    <cellStyle name="Standaard 19 2 4 2 3 3 2" xfId="16875"/>
    <cellStyle name="Standaard 19 2 4 2 3 4" xfId="16876"/>
    <cellStyle name="Standaard 19 2 4 2 4" xfId="16877"/>
    <cellStyle name="Standaard 19 2 4 2 4 2" xfId="16878"/>
    <cellStyle name="Standaard 19 2 4 2 4 2 2" xfId="16879"/>
    <cellStyle name="Standaard 19 2 4 2 4 3" xfId="16880"/>
    <cellStyle name="Standaard 19 2 4 2 5" xfId="16881"/>
    <cellStyle name="Standaard 19 2 4 2 5 2" xfId="16882"/>
    <cellStyle name="Standaard 19 2 4 2 6" xfId="16883"/>
    <cellStyle name="Standaard 19 2 4 2 7" xfId="16884"/>
    <cellStyle name="Standaard 19 2 4 3" xfId="16885"/>
    <cellStyle name="Standaard 19 2 4 3 2" xfId="16886"/>
    <cellStyle name="Standaard 19 2 4 3 2 2" xfId="16887"/>
    <cellStyle name="Standaard 19 2 4 3 2 2 2" xfId="16888"/>
    <cellStyle name="Standaard 19 2 4 3 2 2 2 2" xfId="16889"/>
    <cellStyle name="Standaard 19 2 4 3 2 2 3" xfId="16890"/>
    <cellStyle name="Standaard 19 2 4 3 2 3" xfId="16891"/>
    <cellStyle name="Standaard 19 2 4 3 2 3 2" xfId="16892"/>
    <cellStyle name="Standaard 19 2 4 3 2 4" xfId="16893"/>
    <cellStyle name="Standaard 19 2 4 3 3" xfId="16894"/>
    <cellStyle name="Standaard 19 2 4 3 3 2" xfId="16895"/>
    <cellStyle name="Standaard 19 2 4 3 3 2 2" xfId="16896"/>
    <cellStyle name="Standaard 19 2 4 3 3 3" xfId="16897"/>
    <cellStyle name="Standaard 19 2 4 3 4" xfId="16898"/>
    <cellStyle name="Standaard 19 2 4 3 4 2" xfId="16899"/>
    <cellStyle name="Standaard 19 2 4 3 5" xfId="16900"/>
    <cellStyle name="Standaard 19 2 4 3 6" xfId="16901"/>
    <cellStyle name="Standaard 19 2 4 4" xfId="16902"/>
    <cellStyle name="Standaard 19 2 4 4 2" xfId="16903"/>
    <cellStyle name="Standaard 19 2 4 4 2 2" xfId="16904"/>
    <cellStyle name="Standaard 19 2 4 4 2 2 2" xfId="16905"/>
    <cellStyle name="Standaard 19 2 4 4 2 3" xfId="16906"/>
    <cellStyle name="Standaard 19 2 4 4 3" xfId="16907"/>
    <cellStyle name="Standaard 19 2 4 4 3 2" xfId="16908"/>
    <cellStyle name="Standaard 19 2 4 4 4" xfId="16909"/>
    <cellStyle name="Standaard 19 2 4 5" xfId="16910"/>
    <cellStyle name="Standaard 19 2 4 5 2" xfId="16911"/>
    <cellStyle name="Standaard 19 2 4 5 2 2" xfId="16912"/>
    <cellStyle name="Standaard 19 2 4 5 3" xfId="16913"/>
    <cellStyle name="Standaard 19 2 4 6" xfId="16914"/>
    <cellStyle name="Standaard 19 2 4 6 2" xfId="16915"/>
    <cellStyle name="Standaard 19 2 4 7" xfId="16916"/>
    <cellStyle name="Standaard 19 2 4 8" xfId="16917"/>
    <cellStyle name="Standaard 19 2 5" xfId="16918"/>
    <cellStyle name="Standaard 19 2 5 2" xfId="16919"/>
    <cellStyle name="Standaard 19 2 5 2 2" xfId="16920"/>
    <cellStyle name="Standaard 19 2 5 2 2 2" xfId="16921"/>
    <cellStyle name="Standaard 19 2 5 2 2 2 2" xfId="16922"/>
    <cellStyle name="Standaard 19 2 5 2 2 2 2 2" xfId="16923"/>
    <cellStyle name="Standaard 19 2 5 2 2 2 2 2 2" xfId="16924"/>
    <cellStyle name="Standaard 19 2 5 2 2 2 2 3" xfId="16925"/>
    <cellStyle name="Standaard 19 2 5 2 2 2 3" xfId="16926"/>
    <cellStyle name="Standaard 19 2 5 2 2 2 3 2" xfId="16927"/>
    <cellStyle name="Standaard 19 2 5 2 2 2 4" xfId="16928"/>
    <cellStyle name="Standaard 19 2 5 2 2 3" xfId="16929"/>
    <cellStyle name="Standaard 19 2 5 2 2 3 2" xfId="16930"/>
    <cellStyle name="Standaard 19 2 5 2 2 3 2 2" xfId="16931"/>
    <cellStyle name="Standaard 19 2 5 2 2 3 3" xfId="16932"/>
    <cellStyle name="Standaard 19 2 5 2 2 4" xfId="16933"/>
    <cellStyle name="Standaard 19 2 5 2 2 4 2" xfId="16934"/>
    <cellStyle name="Standaard 19 2 5 2 2 5" xfId="16935"/>
    <cellStyle name="Standaard 19 2 5 2 2 6" xfId="16936"/>
    <cellStyle name="Standaard 19 2 5 2 3" xfId="16937"/>
    <cellStyle name="Standaard 19 2 5 2 3 2" xfId="16938"/>
    <cellStyle name="Standaard 19 2 5 2 3 2 2" xfId="16939"/>
    <cellStyle name="Standaard 19 2 5 2 3 2 2 2" xfId="16940"/>
    <cellStyle name="Standaard 19 2 5 2 3 2 3" xfId="16941"/>
    <cellStyle name="Standaard 19 2 5 2 3 3" xfId="16942"/>
    <cellStyle name="Standaard 19 2 5 2 3 3 2" xfId="16943"/>
    <cellStyle name="Standaard 19 2 5 2 3 4" xfId="16944"/>
    <cellStyle name="Standaard 19 2 5 2 4" xfId="16945"/>
    <cellStyle name="Standaard 19 2 5 2 4 2" xfId="16946"/>
    <cellStyle name="Standaard 19 2 5 2 4 2 2" xfId="16947"/>
    <cellStyle name="Standaard 19 2 5 2 4 3" xfId="16948"/>
    <cellStyle name="Standaard 19 2 5 2 5" xfId="16949"/>
    <cellStyle name="Standaard 19 2 5 2 5 2" xfId="16950"/>
    <cellStyle name="Standaard 19 2 5 2 6" xfId="16951"/>
    <cellStyle name="Standaard 19 2 5 2 7" xfId="16952"/>
    <cellStyle name="Standaard 19 2 5 3" xfId="16953"/>
    <cellStyle name="Standaard 19 2 5 3 2" xfId="16954"/>
    <cellStyle name="Standaard 19 2 5 3 2 2" xfId="16955"/>
    <cellStyle name="Standaard 19 2 5 3 2 2 2" xfId="16956"/>
    <cellStyle name="Standaard 19 2 5 3 2 2 2 2" xfId="16957"/>
    <cellStyle name="Standaard 19 2 5 3 2 2 3" xfId="16958"/>
    <cellStyle name="Standaard 19 2 5 3 2 3" xfId="16959"/>
    <cellStyle name="Standaard 19 2 5 3 2 3 2" xfId="16960"/>
    <cellStyle name="Standaard 19 2 5 3 2 4" xfId="16961"/>
    <cellStyle name="Standaard 19 2 5 3 3" xfId="16962"/>
    <cellStyle name="Standaard 19 2 5 3 3 2" xfId="16963"/>
    <cellStyle name="Standaard 19 2 5 3 3 2 2" xfId="16964"/>
    <cellStyle name="Standaard 19 2 5 3 3 3" xfId="16965"/>
    <cellStyle name="Standaard 19 2 5 3 4" xfId="16966"/>
    <cellStyle name="Standaard 19 2 5 3 4 2" xfId="16967"/>
    <cellStyle name="Standaard 19 2 5 3 5" xfId="16968"/>
    <cellStyle name="Standaard 19 2 5 3 6" xfId="16969"/>
    <cellStyle name="Standaard 19 2 5 4" xfId="16970"/>
    <cellStyle name="Standaard 19 2 5 4 2" xfId="16971"/>
    <cellStyle name="Standaard 19 2 5 4 2 2" xfId="16972"/>
    <cellStyle name="Standaard 19 2 5 4 2 2 2" xfId="16973"/>
    <cellStyle name="Standaard 19 2 5 4 2 3" xfId="16974"/>
    <cellStyle name="Standaard 19 2 5 4 3" xfId="16975"/>
    <cellStyle name="Standaard 19 2 5 4 3 2" xfId="16976"/>
    <cellStyle name="Standaard 19 2 5 4 4" xfId="16977"/>
    <cellStyle name="Standaard 19 2 5 5" xfId="16978"/>
    <cellStyle name="Standaard 19 2 5 5 2" xfId="16979"/>
    <cellStyle name="Standaard 19 2 5 5 2 2" xfId="16980"/>
    <cellStyle name="Standaard 19 2 5 5 3" xfId="16981"/>
    <cellStyle name="Standaard 19 2 5 6" xfId="16982"/>
    <cellStyle name="Standaard 19 2 5 6 2" xfId="16983"/>
    <cellStyle name="Standaard 19 2 5 7" xfId="16984"/>
    <cellStyle name="Standaard 19 2 5 8" xfId="16985"/>
    <cellStyle name="Standaard 19 2 6" xfId="16986"/>
    <cellStyle name="Standaard 19 2 6 2" xfId="16987"/>
    <cellStyle name="Standaard 19 2 6 2 2" xfId="16988"/>
    <cellStyle name="Standaard 19 2 6 2 2 2" xfId="16989"/>
    <cellStyle name="Standaard 19 2 6 2 2 2 2" xfId="16990"/>
    <cellStyle name="Standaard 19 2 6 2 2 2 2 2" xfId="16991"/>
    <cellStyle name="Standaard 19 2 6 2 2 2 3" xfId="16992"/>
    <cellStyle name="Standaard 19 2 6 2 2 3" xfId="16993"/>
    <cellStyle name="Standaard 19 2 6 2 2 3 2" xfId="16994"/>
    <cellStyle name="Standaard 19 2 6 2 2 4" xfId="16995"/>
    <cellStyle name="Standaard 19 2 6 2 3" xfId="16996"/>
    <cellStyle name="Standaard 19 2 6 2 3 2" xfId="16997"/>
    <cellStyle name="Standaard 19 2 6 2 3 2 2" xfId="16998"/>
    <cellStyle name="Standaard 19 2 6 2 3 3" xfId="16999"/>
    <cellStyle name="Standaard 19 2 6 2 4" xfId="17000"/>
    <cellStyle name="Standaard 19 2 6 2 4 2" xfId="17001"/>
    <cellStyle name="Standaard 19 2 6 2 5" xfId="17002"/>
    <cellStyle name="Standaard 19 2 6 2 6" xfId="17003"/>
    <cellStyle name="Standaard 19 2 6 3" xfId="17004"/>
    <cellStyle name="Standaard 19 2 6 3 2" xfId="17005"/>
    <cellStyle name="Standaard 19 2 6 3 2 2" xfId="17006"/>
    <cellStyle name="Standaard 19 2 6 3 2 2 2" xfId="17007"/>
    <cellStyle name="Standaard 19 2 6 3 2 3" xfId="17008"/>
    <cellStyle name="Standaard 19 2 6 3 3" xfId="17009"/>
    <cellStyle name="Standaard 19 2 6 3 3 2" xfId="17010"/>
    <cellStyle name="Standaard 19 2 6 3 4" xfId="17011"/>
    <cellStyle name="Standaard 19 2 6 4" xfId="17012"/>
    <cellStyle name="Standaard 19 2 6 4 2" xfId="17013"/>
    <cellStyle name="Standaard 19 2 6 4 2 2" xfId="17014"/>
    <cellStyle name="Standaard 19 2 6 4 3" xfId="17015"/>
    <cellStyle name="Standaard 19 2 6 5" xfId="17016"/>
    <cellStyle name="Standaard 19 2 6 5 2" xfId="17017"/>
    <cellStyle name="Standaard 19 2 6 6" xfId="17018"/>
    <cellStyle name="Standaard 19 2 6 7" xfId="17019"/>
    <cellStyle name="Standaard 19 2 7" xfId="17020"/>
    <cellStyle name="Standaard 19 2 7 2" xfId="17021"/>
    <cellStyle name="Standaard 19 2 7 2 2" xfId="17022"/>
    <cellStyle name="Standaard 19 2 7 2 2 2" xfId="17023"/>
    <cellStyle name="Standaard 19 2 7 2 2 2 2" xfId="17024"/>
    <cellStyle name="Standaard 19 2 7 2 2 3" xfId="17025"/>
    <cellStyle name="Standaard 19 2 7 2 3" xfId="17026"/>
    <cellStyle name="Standaard 19 2 7 2 3 2" xfId="17027"/>
    <cellStyle name="Standaard 19 2 7 2 4" xfId="17028"/>
    <cellStyle name="Standaard 19 2 7 3" xfId="17029"/>
    <cellStyle name="Standaard 19 2 7 3 2" xfId="17030"/>
    <cellStyle name="Standaard 19 2 7 3 2 2" xfId="17031"/>
    <cellStyle name="Standaard 19 2 7 3 3" xfId="17032"/>
    <cellStyle name="Standaard 19 2 7 4" xfId="17033"/>
    <cellStyle name="Standaard 19 2 7 4 2" xfId="17034"/>
    <cellStyle name="Standaard 19 2 7 5" xfId="17035"/>
    <cellStyle name="Standaard 19 2 7 6" xfId="17036"/>
    <cellStyle name="Standaard 19 2 8" xfId="17037"/>
    <cellStyle name="Standaard 19 2 8 2" xfId="17038"/>
    <cellStyle name="Standaard 19 2 8 2 2" xfId="17039"/>
    <cellStyle name="Standaard 19 2 8 2 2 2" xfId="17040"/>
    <cellStyle name="Standaard 19 2 8 2 3" xfId="17041"/>
    <cellStyle name="Standaard 19 2 8 3" xfId="17042"/>
    <cellStyle name="Standaard 19 2 8 3 2" xfId="17043"/>
    <cellStyle name="Standaard 19 2 8 4" xfId="17044"/>
    <cellStyle name="Standaard 19 2 9" xfId="17045"/>
    <cellStyle name="Standaard 19 2 9 2" xfId="17046"/>
    <cellStyle name="Standaard 19 2 9 2 2" xfId="17047"/>
    <cellStyle name="Standaard 19 2 9 3" xfId="17048"/>
    <cellStyle name="Standaard 19 3" xfId="17049"/>
    <cellStyle name="Standaard 19 3 10" xfId="17050"/>
    <cellStyle name="Standaard 19 3 11" xfId="17051"/>
    <cellStyle name="Standaard 19 3 2" xfId="17052"/>
    <cellStyle name="Standaard 19 3 2 2" xfId="17053"/>
    <cellStyle name="Standaard 19 3 2 2 2" xfId="17054"/>
    <cellStyle name="Standaard 19 3 2 2 2 2" xfId="17055"/>
    <cellStyle name="Standaard 19 3 2 2 2 2 2" xfId="17056"/>
    <cellStyle name="Standaard 19 3 2 2 2 2 2 2" xfId="17057"/>
    <cellStyle name="Standaard 19 3 2 2 2 2 2 2 2" xfId="17058"/>
    <cellStyle name="Standaard 19 3 2 2 2 2 2 2 2 2" xfId="17059"/>
    <cellStyle name="Standaard 19 3 2 2 2 2 2 2 3" xfId="17060"/>
    <cellStyle name="Standaard 19 3 2 2 2 2 2 3" xfId="17061"/>
    <cellStyle name="Standaard 19 3 2 2 2 2 2 3 2" xfId="17062"/>
    <cellStyle name="Standaard 19 3 2 2 2 2 2 4" xfId="17063"/>
    <cellStyle name="Standaard 19 3 2 2 2 2 3" xfId="17064"/>
    <cellStyle name="Standaard 19 3 2 2 2 2 3 2" xfId="17065"/>
    <cellStyle name="Standaard 19 3 2 2 2 2 3 2 2" xfId="17066"/>
    <cellStyle name="Standaard 19 3 2 2 2 2 3 3" xfId="17067"/>
    <cellStyle name="Standaard 19 3 2 2 2 2 4" xfId="17068"/>
    <cellStyle name="Standaard 19 3 2 2 2 2 4 2" xfId="17069"/>
    <cellStyle name="Standaard 19 3 2 2 2 2 5" xfId="17070"/>
    <cellStyle name="Standaard 19 3 2 2 2 2 6" xfId="17071"/>
    <cellStyle name="Standaard 19 3 2 2 2 3" xfId="17072"/>
    <cellStyle name="Standaard 19 3 2 2 2 3 2" xfId="17073"/>
    <cellStyle name="Standaard 19 3 2 2 2 3 2 2" xfId="17074"/>
    <cellStyle name="Standaard 19 3 2 2 2 3 2 2 2" xfId="17075"/>
    <cellStyle name="Standaard 19 3 2 2 2 3 2 3" xfId="17076"/>
    <cellStyle name="Standaard 19 3 2 2 2 3 3" xfId="17077"/>
    <cellStyle name="Standaard 19 3 2 2 2 3 3 2" xfId="17078"/>
    <cellStyle name="Standaard 19 3 2 2 2 3 4" xfId="17079"/>
    <cellStyle name="Standaard 19 3 2 2 2 4" xfId="17080"/>
    <cellStyle name="Standaard 19 3 2 2 2 4 2" xfId="17081"/>
    <cellStyle name="Standaard 19 3 2 2 2 4 2 2" xfId="17082"/>
    <cellStyle name="Standaard 19 3 2 2 2 4 3" xfId="17083"/>
    <cellStyle name="Standaard 19 3 2 2 2 5" xfId="17084"/>
    <cellStyle name="Standaard 19 3 2 2 2 5 2" xfId="17085"/>
    <cellStyle name="Standaard 19 3 2 2 2 6" xfId="17086"/>
    <cellStyle name="Standaard 19 3 2 2 2 7" xfId="17087"/>
    <cellStyle name="Standaard 19 3 2 2 3" xfId="17088"/>
    <cellStyle name="Standaard 19 3 2 2 3 2" xfId="17089"/>
    <cellStyle name="Standaard 19 3 2 2 3 2 2" xfId="17090"/>
    <cellStyle name="Standaard 19 3 2 2 3 2 2 2" xfId="17091"/>
    <cellStyle name="Standaard 19 3 2 2 3 2 2 2 2" xfId="17092"/>
    <cellStyle name="Standaard 19 3 2 2 3 2 2 3" xfId="17093"/>
    <cellStyle name="Standaard 19 3 2 2 3 2 3" xfId="17094"/>
    <cellStyle name="Standaard 19 3 2 2 3 2 3 2" xfId="17095"/>
    <cellStyle name="Standaard 19 3 2 2 3 2 4" xfId="17096"/>
    <cellStyle name="Standaard 19 3 2 2 3 3" xfId="17097"/>
    <cellStyle name="Standaard 19 3 2 2 3 3 2" xfId="17098"/>
    <cellStyle name="Standaard 19 3 2 2 3 3 2 2" xfId="17099"/>
    <cellStyle name="Standaard 19 3 2 2 3 3 3" xfId="17100"/>
    <cellStyle name="Standaard 19 3 2 2 3 4" xfId="17101"/>
    <cellStyle name="Standaard 19 3 2 2 3 4 2" xfId="17102"/>
    <cellStyle name="Standaard 19 3 2 2 3 5" xfId="17103"/>
    <cellStyle name="Standaard 19 3 2 2 3 6" xfId="17104"/>
    <cellStyle name="Standaard 19 3 2 2 4" xfId="17105"/>
    <cellStyle name="Standaard 19 3 2 2 4 2" xfId="17106"/>
    <cellStyle name="Standaard 19 3 2 2 4 2 2" xfId="17107"/>
    <cellStyle name="Standaard 19 3 2 2 4 2 2 2" xfId="17108"/>
    <cellStyle name="Standaard 19 3 2 2 4 2 3" xfId="17109"/>
    <cellStyle name="Standaard 19 3 2 2 4 3" xfId="17110"/>
    <cellStyle name="Standaard 19 3 2 2 4 3 2" xfId="17111"/>
    <cellStyle name="Standaard 19 3 2 2 4 4" xfId="17112"/>
    <cellStyle name="Standaard 19 3 2 2 5" xfId="17113"/>
    <cellStyle name="Standaard 19 3 2 2 5 2" xfId="17114"/>
    <cellStyle name="Standaard 19 3 2 2 5 2 2" xfId="17115"/>
    <cellStyle name="Standaard 19 3 2 2 5 3" xfId="17116"/>
    <cellStyle name="Standaard 19 3 2 2 6" xfId="17117"/>
    <cellStyle name="Standaard 19 3 2 2 6 2" xfId="17118"/>
    <cellStyle name="Standaard 19 3 2 2 7" xfId="17119"/>
    <cellStyle name="Standaard 19 3 2 2 8" xfId="17120"/>
    <cellStyle name="Standaard 19 3 2 3" xfId="17121"/>
    <cellStyle name="Standaard 19 3 2 3 2" xfId="17122"/>
    <cellStyle name="Standaard 19 3 2 3 2 2" xfId="17123"/>
    <cellStyle name="Standaard 19 3 2 3 2 2 2" xfId="17124"/>
    <cellStyle name="Standaard 19 3 2 3 2 2 2 2" xfId="17125"/>
    <cellStyle name="Standaard 19 3 2 3 2 2 2 2 2" xfId="17126"/>
    <cellStyle name="Standaard 19 3 2 3 2 2 2 3" xfId="17127"/>
    <cellStyle name="Standaard 19 3 2 3 2 2 3" xfId="17128"/>
    <cellStyle name="Standaard 19 3 2 3 2 2 3 2" xfId="17129"/>
    <cellStyle name="Standaard 19 3 2 3 2 2 4" xfId="17130"/>
    <cellStyle name="Standaard 19 3 2 3 2 3" xfId="17131"/>
    <cellStyle name="Standaard 19 3 2 3 2 3 2" xfId="17132"/>
    <cellStyle name="Standaard 19 3 2 3 2 3 2 2" xfId="17133"/>
    <cellStyle name="Standaard 19 3 2 3 2 3 3" xfId="17134"/>
    <cellStyle name="Standaard 19 3 2 3 2 4" xfId="17135"/>
    <cellStyle name="Standaard 19 3 2 3 2 4 2" xfId="17136"/>
    <cellStyle name="Standaard 19 3 2 3 2 5" xfId="17137"/>
    <cellStyle name="Standaard 19 3 2 3 2 6" xfId="17138"/>
    <cellStyle name="Standaard 19 3 2 3 3" xfId="17139"/>
    <cellStyle name="Standaard 19 3 2 3 3 2" xfId="17140"/>
    <cellStyle name="Standaard 19 3 2 3 3 2 2" xfId="17141"/>
    <cellStyle name="Standaard 19 3 2 3 3 2 2 2" xfId="17142"/>
    <cellStyle name="Standaard 19 3 2 3 3 2 3" xfId="17143"/>
    <cellStyle name="Standaard 19 3 2 3 3 3" xfId="17144"/>
    <cellStyle name="Standaard 19 3 2 3 3 3 2" xfId="17145"/>
    <cellStyle name="Standaard 19 3 2 3 3 4" xfId="17146"/>
    <cellStyle name="Standaard 19 3 2 3 4" xfId="17147"/>
    <cellStyle name="Standaard 19 3 2 3 4 2" xfId="17148"/>
    <cellStyle name="Standaard 19 3 2 3 4 2 2" xfId="17149"/>
    <cellStyle name="Standaard 19 3 2 3 4 3" xfId="17150"/>
    <cellStyle name="Standaard 19 3 2 3 5" xfId="17151"/>
    <cellStyle name="Standaard 19 3 2 3 5 2" xfId="17152"/>
    <cellStyle name="Standaard 19 3 2 3 6" xfId="17153"/>
    <cellStyle name="Standaard 19 3 2 3 7" xfId="17154"/>
    <cellStyle name="Standaard 19 3 2 4" xfId="17155"/>
    <cellStyle name="Standaard 19 3 2 4 2" xfId="17156"/>
    <cellStyle name="Standaard 19 3 2 4 2 2" xfId="17157"/>
    <cellStyle name="Standaard 19 3 2 4 2 2 2" xfId="17158"/>
    <cellStyle name="Standaard 19 3 2 4 2 2 2 2" xfId="17159"/>
    <cellStyle name="Standaard 19 3 2 4 2 2 3" xfId="17160"/>
    <cellStyle name="Standaard 19 3 2 4 2 3" xfId="17161"/>
    <cellStyle name="Standaard 19 3 2 4 2 3 2" xfId="17162"/>
    <cellStyle name="Standaard 19 3 2 4 2 4" xfId="17163"/>
    <cellStyle name="Standaard 19 3 2 4 3" xfId="17164"/>
    <cellStyle name="Standaard 19 3 2 4 3 2" xfId="17165"/>
    <cellStyle name="Standaard 19 3 2 4 3 2 2" xfId="17166"/>
    <cellStyle name="Standaard 19 3 2 4 3 3" xfId="17167"/>
    <cellStyle name="Standaard 19 3 2 4 4" xfId="17168"/>
    <cellStyle name="Standaard 19 3 2 4 4 2" xfId="17169"/>
    <cellStyle name="Standaard 19 3 2 4 5" xfId="17170"/>
    <cellStyle name="Standaard 19 3 2 4 6" xfId="17171"/>
    <cellStyle name="Standaard 19 3 2 5" xfId="17172"/>
    <cellStyle name="Standaard 19 3 2 5 2" xfId="17173"/>
    <cellStyle name="Standaard 19 3 2 5 2 2" xfId="17174"/>
    <cellStyle name="Standaard 19 3 2 5 2 2 2" xfId="17175"/>
    <cellStyle name="Standaard 19 3 2 5 2 3" xfId="17176"/>
    <cellStyle name="Standaard 19 3 2 5 3" xfId="17177"/>
    <cellStyle name="Standaard 19 3 2 5 3 2" xfId="17178"/>
    <cellStyle name="Standaard 19 3 2 5 4" xfId="17179"/>
    <cellStyle name="Standaard 19 3 2 6" xfId="17180"/>
    <cellStyle name="Standaard 19 3 2 6 2" xfId="17181"/>
    <cellStyle name="Standaard 19 3 2 6 2 2" xfId="17182"/>
    <cellStyle name="Standaard 19 3 2 6 3" xfId="17183"/>
    <cellStyle name="Standaard 19 3 2 7" xfId="17184"/>
    <cellStyle name="Standaard 19 3 2 7 2" xfId="17185"/>
    <cellStyle name="Standaard 19 3 2 8" xfId="17186"/>
    <cellStyle name="Standaard 19 3 2 9" xfId="17187"/>
    <cellStyle name="Standaard 19 3 3" xfId="17188"/>
    <cellStyle name="Standaard 19 3 3 2" xfId="17189"/>
    <cellStyle name="Standaard 19 3 3 2 2" xfId="17190"/>
    <cellStyle name="Standaard 19 3 3 2 2 2" xfId="17191"/>
    <cellStyle name="Standaard 19 3 3 2 2 2 2" xfId="17192"/>
    <cellStyle name="Standaard 19 3 3 2 2 2 2 2" xfId="17193"/>
    <cellStyle name="Standaard 19 3 3 2 2 2 2 2 2" xfId="17194"/>
    <cellStyle name="Standaard 19 3 3 2 2 2 2 3" xfId="17195"/>
    <cellStyle name="Standaard 19 3 3 2 2 2 3" xfId="17196"/>
    <cellStyle name="Standaard 19 3 3 2 2 2 3 2" xfId="17197"/>
    <cellStyle name="Standaard 19 3 3 2 2 2 4" xfId="17198"/>
    <cellStyle name="Standaard 19 3 3 2 2 3" xfId="17199"/>
    <cellStyle name="Standaard 19 3 3 2 2 3 2" xfId="17200"/>
    <cellStyle name="Standaard 19 3 3 2 2 3 2 2" xfId="17201"/>
    <cellStyle name="Standaard 19 3 3 2 2 3 3" xfId="17202"/>
    <cellStyle name="Standaard 19 3 3 2 2 4" xfId="17203"/>
    <cellStyle name="Standaard 19 3 3 2 2 4 2" xfId="17204"/>
    <cellStyle name="Standaard 19 3 3 2 2 5" xfId="17205"/>
    <cellStyle name="Standaard 19 3 3 2 2 6" xfId="17206"/>
    <cellStyle name="Standaard 19 3 3 2 3" xfId="17207"/>
    <cellStyle name="Standaard 19 3 3 2 3 2" xfId="17208"/>
    <cellStyle name="Standaard 19 3 3 2 3 2 2" xfId="17209"/>
    <cellStyle name="Standaard 19 3 3 2 3 2 2 2" xfId="17210"/>
    <cellStyle name="Standaard 19 3 3 2 3 2 3" xfId="17211"/>
    <cellStyle name="Standaard 19 3 3 2 3 3" xfId="17212"/>
    <cellStyle name="Standaard 19 3 3 2 3 3 2" xfId="17213"/>
    <cellStyle name="Standaard 19 3 3 2 3 4" xfId="17214"/>
    <cellStyle name="Standaard 19 3 3 2 4" xfId="17215"/>
    <cellStyle name="Standaard 19 3 3 2 4 2" xfId="17216"/>
    <cellStyle name="Standaard 19 3 3 2 4 2 2" xfId="17217"/>
    <cellStyle name="Standaard 19 3 3 2 4 3" xfId="17218"/>
    <cellStyle name="Standaard 19 3 3 2 5" xfId="17219"/>
    <cellStyle name="Standaard 19 3 3 2 5 2" xfId="17220"/>
    <cellStyle name="Standaard 19 3 3 2 6" xfId="17221"/>
    <cellStyle name="Standaard 19 3 3 2 7" xfId="17222"/>
    <cellStyle name="Standaard 19 3 3 3" xfId="17223"/>
    <cellStyle name="Standaard 19 3 3 3 2" xfId="17224"/>
    <cellStyle name="Standaard 19 3 3 3 2 2" xfId="17225"/>
    <cellStyle name="Standaard 19 3 3 3 2 2 2" xfId="17226"/>
    <cellStyle name="Standaard 19 3 3 3 2 2 2 2" xfId="17227"/>
    <cellStyle name="Standaard 19 3 3 3 2 2 3" xfId="17228"/>
    <cellStyle name="Standaard 19 3 3 3 2 3" xfId="17229"/>
    <cellStyle name="Standaard 19 3 3 3 2 3 2" xfId="17230"/>
    <cellStyle name="Standaard 19 3 3 3 2 4" xfId="17231"/>
    <cellStyle name="Standaard 19 3 3 3 3" xfId="17232"/>
    <cellStyle name="Standaard 19 3 3 3 3 2" xfId="17233"/>
    <cellStyle name="Standaard 19 3 3 3 3 2 2" xfId="17234"/>
    <cellStyle name="Standaard 19 3 3 3 3 3" xfId="17235"/>
    <cellStyle name="Standaard 19 3 3 3 4" xfId="17236"/>
    <cellStyle name="Standaard 19 3 3 3 4 2" xfId="17237"/>
    <cellStyle name="Standaard 19 3 3 3 5" xfId="17238"/>
    <cellStyle name="Standaard 19 3 3 3 6" xfId="17239"/>
    <cellStyle name="Standaard 19 3 3 4" xfId="17240"/>
    <cellStyle name="Standaard 19 3 3 4 2" xfId="17241"/>
    <cellStyle name="Standaard 19 3 3 4 2 2" xfId="17242"/>
    <cellStyle name="Standaard 19 3 3 4 2 2 2" xfId="17243"/>
    <cellStyle name="Standaard 19 3 3 4 2 3" xfId="17244"/>
    <cellStyle name="Standaard 19 3 3 4 3" xfId="17245"/>
    <cellStyle name="Standaard 19 3 3 4 3 2" xfId="17246"/>
    <cellStyle name="Standaard 19 3 3 4 4" xfId="17247"/>
    <cellStyle name="Standaard 19 3 3 5" xfId="17248"/>
    <cellStyle name="Standaard 19 3 3 5 2" xfId="17249"/>
    <cellStyle name="Standaard 19 3 3 5 2 2" xfId="17250"/>
    <cellStyle name="Standaard 19 3 3 5 3" xfId="17251"/>
    <cellStyle name="Standaard 19 3 3 6" xfId="17252"/>
    <cellStyle name="Standaard 19 3 3 6 2" xfId="17253"/>
    <cellStyle name="Standaard 19 3 3 7" xfId="17254"/>
    <cellStyle name="Standaard 19 3 3 8" xfId="17255"/>
    <cellStyle name="Standaard 19 3 4" xfId="17256"/>
    <cellStyle name="Standaard 19 3 4 2" xfId="17257"/>
    <cellStyle name="Standaard 19 3 4 2 2" xfId="17258"/>
    <cellStyle name="Standaard 19 3 4 2 2 2" xfId="17259"/>
    <cellStyle name="Standaard 19 3 4 2 2 2 2" xfId="17260"/>
    <cellStyle name="Standaard 19 3 4 2 2 2 2 2" xfId="17261"/>
    <cellStyle name="Standaard 19 3 4 2 2 2 2 2 2" xfId="17262"/>
    <cellStyle name="Standaard 19 3 4 2 2 2 2 3" xfId="17263"/>
    <cellStyle name="Standaard 19 3 4 2 2 2 3" xfId="17264"/>
    <cellStyle name="Standaard 19 3 4 2 2 2 3 2" xfId="17265"/>
    <cellStyle name="Standaard 19 3 4 2 2 2 4" xfId="17266"/>
    <cellStyle name="Standaard 19 3 4 2 2 3" xfId="17267"/>
    <cellStyle name="Standaard 19 3 4 2 2 3 2" xfId="17268"/>
    <cellStyle name="Standaard 19 3 4 2 2 3 2 2" xfId="17269"/>
    <cellStyle name="Standaard 19 3 4 2 2 3 3" xfId="17270"/>
    <cellStyle name="Standaard 19 3 4 2 2 4" xfId="17271"/>
    <cellStyle name="Standaard 19 3 4 2 2 4 2" xfId="17272"/>
    <cellStyle name="Standaard 19 3 4 2 2 5" xfId="17273"/>
    <cellStyle name="Standaard 19 3 4 2 2 6" xfId="17274"/>
    <cellStyle name="Standaard 19 3 4 2 3" xfId="17275"/>
    <cellStyle name="Standaard 19 3 4 2 3 2" xfId="17276"/>
    <cellStyle name="Standaard 19 3 4 2 3 2 2" xfId="17277"/>
    <cellStyle name="Standaard 19 3 4 2 3 2 2 2" xfId="17278"/>
    <cellStyle name="Standaard 19 3 4 2 3 2 3" xfId="17279"/>
    <cellStyle name="Standaard 19 3 4 2 3 3" xfId="17280"/>
    <cellStyle name="Standaard 19 3 4 2 3 3 2" xfId="17281"/>
    <cellStyle name="Standaard 19 3 4 2 3 4" xfId="17282"/>
    <cellStyle name="Standaard 19 3 4 2 4" xfId="17283"/>
    <cellStyle name="Standaard 19 3 4 2 4 2" xfId="17284"/>
    <cellStyle name="Standaard 19 3 4 2 4 2 2" xfId="17285"/>
    <cellStyle name="Standaard 19 3 4 2 4 3" xfId="17286"/>
    <cellStyle name="Standaard 19 3 4 2 5" xfId="17287"/>
    <cellStyle name="Standaard 19 3 4 2 5 2" xfId="17288"/>
    <cellStyle name="Standaard 19 3 4 2 6" xfId="17289"/>
    <cellStyle name="Standaard 19 3 4 2 7" xfId="17290"/>
    <cellStyle name="Standaard 19 3 4 3" xfId="17291"/>
    <cellStyle name="Standaard 19 3 4 3 2" xfId="17292"/>
    <cellStyle name="Standaard 19 3 4 3 2 2" xfId="17293"/>
    <cellStyle name="Standaard 19 3 4 3 2 2 2" xfId="17294"/>
    <cellStyle name="Standaard 19 3 4 3 2 2 2 2" xfId="17295"/>
    <cellStyle name="Standaard 19 3 4 3 2 2 3" xfId="17296"/>
    <cellStyle name="Standaard 19 3 4 3 2 3" xfId="17297"/>
    <cellStyle name="Standaard 19 3 4 3 2 3 2" xfId="17298"/>
    <cellStyle name="Standaard 19 3 4 3 2 4" xfId="17299"/>
    <cellStyle name="Standaard 19 3 4 3 3" xfId="17300"/>
    <cellStyle name="Standaard 19 3 4 3 3 2" xfId="17301"/>
    <cellStyle name="Standaard 19 3 4 3 3 2 2" xfId="17302"/>
    <cellStyle name="Standaard 19 3 4 3 3 3" xfId="17303"/>
    <cellStyle name="Standaard 19 3 4 3 4" xfId="17304"/>
    <cellStyle name="Standaard 19 3 4 3 4 2" xfId="17305"/>
    <cellStyle name="Standaard 19 3 4 3 5" xfId="17306"/>
    <cellStyle name="Standaard 19 3 4 3 6" xfId="17307"/>
    <cellStyle name="Standaard 19 3 4 4" xfId="17308"/>
    <cellStyle name="Standaard 19 3 4 4 2" xfId="17309"/>
    <cellStyle name="Standaard 19 3 4 4 2 2" xfId="17310"/>
    <cellStyle name="Standaard 19 3 4 4 2 2 2" xfId="17311"/>
    <cellStyle name="Standaard 19 3 4 4 2 3" xfId="17312"/>
    <cellStyle name="Standaard 19 3 4 4 3" xfId="17313"/>
    <cellStyle name="Standaard 19 3 4 4 3 2" xfId="17314"/>
    <cellStyle name="Standaard 19 3 4 4 4" xfId="17315"/>
    <cellStyle name="Standaard 19 3 4 5" xfId="17316"/>
    <cellStyle name="Standaard 19 3 4 5 2" xfId="17317"/>
    <cellStyle name="Standaard 19 3 4 5 2 2" xfId="17318"/>
    <cellStyle name="Standaard 19 3 4 5 3" xfId="17319"/>
    <cellStyle name="Standaard 19 3 4 6" xfId="17320"/>
    <cellStyle name="Standaard 19 3 4 6 2" xfId="17321"/>
    <cellStyle name="Standaard 19 3 4 7" xfId="17322"/>
    <cellStyle name="Standaard 19 3 4 8" xfId="17323"/>
    <cellStyle name="Standaard 19 3 5" xfId="17324"/>
    <cellStyle name="Standaard 19 3 5 2" xfId="17325"/>
    <cellStyle name="Standaard 19 3 5 2 2" xfId="17326"/>
    <cellStyle name="Standaard 19 3 5 2 2 2" xfId="17327"/>
    <cellStyle name="Standaard 19 3 5 2 2 2 2" xfId="17328"/>
    <cellStyle name="Standaard 19 3 5 2 2 2 2 2" xfId="17329"/>
    <cellStyle name="Standaard 19 3 5 2 2 2 3" xfId="17330"/>
    <cellStyle name="Standaard 19 3 5 2 2 3" xfId="17331"/>
    <cellStyle name="Standaard 19 3 5 2 2 3 2" xfId="17332"/>
    <cellStyle name="Standaard 19 3 5 2 2 4" xfId="17333"/>
    <cellStyle name="Standaard 19 3 5 2 3" xfId="17334"/>
    <cellStyle name="Standaard 19 3 5 2 3 2" xfId="17335"/>
    <cellStyle name="Standaard 19 3 5 2 3 2 2" xfId="17336"/>
    <cellStyle name="Standaard 19 3 5 2 3 3" xfId="17337"/>
    <cellStyle name="Standaard 19 3 5 2 4" xfId="17338"/>
    <cellStyle name="Standaard 19 3 5 2 4 2" xfId="17339"/>
    <cellStyle name="Standaard 19 3 5 2 5" xfId="17340"/>
    <cellStyle name="Standaard 19 3 5 2 6" xfId="17341"/>
    <cellStyle name="Standaard 19 3 5 3" xfId="17342"/>
    <cellStyle name="Standaard 19 3 5 3 2" xfId="17343"/>
    <cellStyle name="Standaard 19 3 5 3 2 2" xfId="17344"/>
    <cellStyle name="Standaard 19 3 5 3 2 2 2" xfId="17345"/>
    <cellStyle name="Standaard 19 3 5 3 2 3" xfId="17346"/>
    <cellStyle name="Standaard 19 3 5 3 3" xfId="17347"/>
    <cellStyle name="Standaard 19 3 5 3 3 2" xfId="17348"/>
    <cellStyle name="Standaard 19 3 5 3 4" xfId="17349"/>
    <cellStyle name="Standaard 19 3 5 4" xfId="17350"/>
    <cellStyle name="Standaard 19 3 5 4 2" xfId="17351"/>
    <cellStyle name="Standaard 19 3 5 4 2 2" xfId="17352"/>
    <cellStyle name="Standaard 19 3 5 4 3" xfId="17353"/>
    <cellStyle name="Standaard 19 3 5 5" xfId="17354"/>
    <cellStyle name="Standaard 19 3 5 5 2" xfId="17355"/>
    <cellStyle name="Standaard 19 3 5 6" xfId="17356"/>
    <cellStyle name="Standaard 19 3 5 7" xfId="17357"/>
    <cellStyle name="Standaard 19 3 6" xfId="17358"/>
    <cellStyle name="Standaard 19 3 6 2" xfId="17359"/>
    <cellStyle name="Standaard 19 3 6 2 2" xfId="17360"/>
    <cellStyle name="Standaard 19 3 6 2 2 2" xfId="17361"/>
    <cellStyle name="Standaard 19 3 6 2 2 2 2" xfId="17362"/>
    <cellStyle name="Standaard 19 3 6 2 2 3" xfId="17363"/>
    <cellStyle name="Standaard 19 3 6 2 3" xfId="17364"/>
    <cellStyle name="Standaard 19 3 6 2 3 2" xfId="17365"/>
    <cellStyle name="Standaard 19 3 6 2 4" xfId="17366"/>
    <cellStyle name="Standaard 19 3 6 3" xfId="17367"/>
    <cellStyle name="Standaard 19 3 6 3 2" xfId="17368"/>
    <cellStyle name="Standaard 19 3 6 3 2 2" xfId="17369"/>
    <cellStyle name="Standaard 19 3 6 3 3" xfId="17370"/>
    <cellStyle name="Standaard 19 3 6 4" xfId="17371"/>
    <cellStyle name="Standaard 19 3 6 4 2" xfId="17372"/>
    <cellStyle name="Standaard 19 3 6 5" xfId="17373"/>
    <cellStyle name="Standaard 19 3 6 6" xfId="17374"/>
    <cellStyle name="Standaard 19 3 7" xfId="17375"/>
    <cellStyle name="Standaard 19 3 7 2" xfId="17376"/>
    <cellStyle name="Standaard 19 3 7 2 2" xfId="17377"/>
    <cellStyle name="Standaard 19 3 7 2 2 2" xfId="17378"/>
    <cellStyle name="Standaard 19 3 7 2 3" xfId="17379"/>
    <cellStyle name="Standaard 19 3 7 3" xfId="17380"/>
    <cellStyle name="Standaard 19 3 7 3 2" xfId="17381"/>
    <cellStyle name="Standaard 19 3 7 4" xfId="17382"/>
    <cellStyle name="Standaard 19 3 8" xfId="17383"/>
    <cellStyle name="Standaard 19 3 8 2" xfId="17384"/>
    <cellStyle name="Standaard 19 3 8 2 2" xfId="17385"/>
    <cellStyle name="Standaard 19 3 8 3" xfId="17386"/>
    <cellStyle name="Standaard 19 3 9" xfId="17387"/>
    <cellStyle name="Standaard 19 3 9 2" xfId="17388"/>
    <cellStyle name="Standaard 19 4" xfId="17389"/>
    <cellStyle name="Standaard 19 4 2" xfId="17390"/>
    <cellStyle name="Standaard 19 4 2 2" xfId="17391"/>
    <cellStyle name="Standaard 19 4 2 2 2" xfId="17392"/>
    <cellStyle name="Standaard 19 4 2 2 2 2" xfId="17393"/>
    <cellStyle name="Standaard 19 4 2 2 2 2 2" xfId="17394"/>
    <cellStyle name="Standaard 19 4 2 2 2 2 2 2" xfId="17395"/>
    <cellStyle name="Standaard 19 4 2 2 2 2 2 2 2" xfId="17396"/>
    <cellStyle name="Standaard 19 4 2 2 2 2 2 3" xfId="17397"/>
    <cellStyle name="Standaard 19 4 2 2 2 2 3" xfId="17398"/>
    <cellStyle name="Standaard 19 4 2 2 2 2 3 2" xfId="17399"/>
    <cellStyle name="Standaard 19 4 2 2 2 2 4" xfId="17400"/>
    <cellStyle name="Standaard 19 4 2 2 2 3" xfId="17401"/>
    <cellStyle name="Standaard 19 4 2 2 2 3 2" xfId="17402"/>
    <cellStyle name="Standaard 19 4 2 2 2 3 2 2" xfId="17403"/>
    <cellStyle name="Standaard 19 4 2 2 2 3 3" xfId="17404"/>
    <cellStyle name="Standaard 19 4 2 2 2 4" xfId="17405"/>
    <cellStyle name="Standaard 19 4 2 2 2 4 2" xfId="17406"/>
    <cellStyle name="Standaard 19 4 2 2 2 5" xfId="17407"/>
    <cellStyle name="Standaard 19 4 2 2 2 6" xfId="17408"/>
    <cellStyle name="Standaard 19 4 2 2 3" xfId="17409"/>
    <cellStyle name="Standaard 19 4 2 2 3 2" xfId="17410"/>
    <cellStyle name="Standaard 19 4 2 2 3 2 2" xfId="17411"/>
    <cellStyle name="Standaard 19 4 2 2 3 2 2 2" xfId="17412"/>
    <cellStyle name="Standaard 19 4 2 2 3 2 3" xfId="17413"/>
    <cellStyle name="Standaard 19 4 2 2 3 3" xfId="17414"/>
    <cellStyle name="Standaard 19 4 2 2 3 3 2" xfId="17415"/>
    <cellStyle name="Standaard 19 4 2 2 3 4" xfId="17416"/>
    <cellStyle name="Standaard 19 4 2 2 4" xfId="17417"/>
    <cellStyle name="Standaard 19 4 2 2 4 2" xfId="17418"/>
    <cellStyle name="Standaard 19 4 2 2 4 2 2" xfId="17419"/>
    <cellStyle name="Standaard 19 4 2 2 4 3" xfId="17420"/>
    <cellStyle name="Standaard 19 4 2 2 5" xfId="17421"/>
    <cellStyle name="Standaard 19 4 2 2 5 2" xfId="17422"/>
    <cellStyle name="Standaard 19 4 2 2 6" xfId="17423"/>
    <cellStyle name="Standaard 19 4 2 2 7" xfId="17424"/>
    <cellStyle name="Standaard 19 4 2 3" xfId="17425"/>
    <cellStyle name="Standaard 19 4 2 3 2" xfId="17426"/>
    <cellStyle name="Standaard 19 4 2 3 2 2" xfId="17427"/>
    <cellStyle name="Standaard 19 4 2 3 2 2 2" xfId="17428"/>
    <cellStyle name="Standaard 19 4 2 3 2 2 2 2" xfId="17429"/>
    <cellStyle name="Standaard 19 4 2 3 2 2 3" xfId="17430"/>
    <cellStyle name="Standaard 19 4 2 3 2 3" xfId="17431"/>
    <cellStyle name="Standaard 19 4 2 3 2 3 2" xfId="17432"/>
    <cellStyle name="Standaard 19 4 2 3 2 4" xfId="17433"/>
    <cellStyle name="Standaard 19 4 2 3 3" xfId="17434"/>
    <cellStyle name="Standaard 19 4 2 3 3 2" xfId="17435"/>
    <cellStyle name="Standaard 19 4 2 3 3 2 2" xfId="17436"/>
    <cellStyle name="Standaard 19 4 2 3 3 3" xfId="17437"/>
    <cellStyle name="Standaard 19 4 2 3 4" xfId="17438"/>
    <cellStyle name="Standaard 19 4 2 3 4 2" xfId="17439"/>
    <cellStyle name="Standaard 19 4 2 3 5" xfId="17440"/>
    <cellStyle name="Standaard 19 4 2 3 6" xfId="17441"/>
    <cellStyle name="Standaard 19 4 2 4" xfId="17442"/>
    <cellStyle name="Standaard 19 4 2 4 2" xfId="17443"/>
    <cellStyle name="Standaard 19 4 2 4 2 2" xfId="17444"/>
    <cellStyle name="Standaard 19 4 2 4 2 2 2" xfId="17445"/>
    <cellStyle name="Standaard 19 4 2 4 2 3" xfId="17446"/>
    <cellStyle name="Standaard 19 4 2 4 3" xfId="17447"/>
    <cellStyle name="Standaard 19 4 2 4 3 2" xfId="17448"/>
    <cellStyle name="Standaard 19 4 2 4 4" xfId="17449"/>
    <cellStyle name="Standaard 19 4 2 5" xfId="17450"/>
    <cellStyle name="Standaard 19 4 2 5 2" xfId="17451"/>
    <cellStyle name="Standaard 19 4 2 5 2 2" xfId="17452"/>
    <cellStyle name="Standaard 19 4 2 5 3" xfId="17453"/>
    <cellStyle name="Standaard 19 4 2 6" xfId="17454"/>
    <cellStyle name="Standaard 19 4 2 6 2" xfId="17455"/>
    <cellStyle name="Standaard 19 4 2 7" xfId="17456"/>
    <cellStyle name="Standaard 19 4 2 8" xfId="17457"/>
    <cellStyle name="Standaard 19 4 3" xfId="17458"/>
    <cellStyle name="Standaard 19 4 3 2" xfId="17459"/>
    <cellStyle name="Standaard 19 4 3 2 2" xfId="17460"/>
    <cellStyle name="Standaard 19 4 3 2 2 2" xfId="17461"/>
    <cellStyle name="Standaard 19 4 3 2 2 2 2" xfId="17462"/>
    <cellStyle name="Standaard 19 4 3 2 2 2 2 2" xfId="17463"/>
    <cellStyle name="Standaard 19 4 3 2 2 2 3" xfId="17464"/>
    <cellStyle name="Standaard 19 4 3 2 2 3" xfId="17465"/>
    <cellStyle name="Standaard 19 4 3 2 2 3 2" xfId="17466"/>
    <cellStyle name="Standaard 19 4 3 2 2 4" xfId="17467"/>
    <cellStyle name="Standaard 19 4 3 2 3" xfId="17468"/>
    <cellStyle name="Standaard 19 4 3 2 3 2" xfId="17469"/>
    <cellStyle name="Standaard 19 4 3 2 3 2 2" xfId="17470"/>
    <cellStyle name="Standaard 19 4 3 2 3 3" xfId="17471"/>
    <cellStyle name="Standaard 19 4 3 2 4" xfId="17472"/>
    <cellStyle name="Standaard 19 4 3 2 4 2" xfId="17473"/>
    <cellStyle name="Standaard 19 4 3 2 5" xfId="17474"/>
    <cellStyle name="Standaard 19 4 3 2 6" xfId="17475"/>
    <cellStyle name="Standaard 19 4 3 3" xfId="17476"/>
    <cellStyle name="Standaard 19 4 3 3 2" xfId="17477"/>
    <cellStyle name="Standaard 19 4 3 3 2 2" xfId="17478"/>
    <cellStyle name="Standaard 19 4 3 3 2 2 2" xfId="17479"/>
    <cellStyle name="Standaard 19 4 3 3 2 3" xfId="17480"/>
    <cellStyle name="Standaard 19 4 3 3 3" xfId="17481"/>
    <cellStyle name="Standaard 19 4 3 3 3 2" xfId="17482"/>
    <cellStyle name="Standaard 19 4 3 3 4" xfId="17483"/>
    <cellStyle name="Standaard 19 4 3 4" xfId="17484"/>
    <cellStyle name="Standaard 19 4 3 4 2" xfId="17485"/>
    <cellStyle name="Standaard 19 4 3 4 2 2" xfId="17486"/>
    <cellStyle name="Standaard 19 4 3 4 3" xfId="17487"/>
    <cellStyle name="Standaard 19 4 3 5" xfId="17488"/>
    <cellStyle name="Standaard 19 4 3 5 2" xfId="17489"/>
    <cellStyle name="Standaard 19 4 3 6" xfId="17490"/>
    <cellStyle name="Standaard 19 4 3 7" xfId="17491"/>
    <cellStyle name="Standaard 19 4 4" xfId="17492"/>
    <cellStyle name="Standaard 19 4 4 2" xfId="17493"/>
    <cellStyle name="Standaard 19 4 4 2 2" xfId="17494"/>
    <cellStyle name="Standaard 19 4 4 2 2 2" xfId="17495"/>
    <cellStyle name="Standaard 19 4 4 2 2 2 2" xfId="17496"/>
    <cellStyle name="Standaard 19 4 4 2 2 3" xfId="17497"/>
    <cellStyle name="Standaard 19 4 4 2 3" xfId="17498"/>
    <cellStyle name="Standaard 19 4 4 2 3 2" xfId="17499"/>
    <cellStyle name="Standaard 19 4 4 2 4" xfId="17500"/>
    <cellStyle name="Standaard 19 4 4 3" xfId="17501"/>
    <cellStyle name="Standaard 19 4 4 3 2" xfId="17502"/>
    <cellStyle name="Standaard 19 4 4 3 2 2" xfId="17503"/>
    <cellStyle name="Standaard 19 4 4 3 3" xfId="17504"/>
    <cellStyle name="Standaard 19 4 4 4" xfId="17505"/>
    <cellStyle name="Standaard 19 4 4 4 2" xfId="17506"/>
    <cellStyle name="Standaard 19 4 4 5" xfId="17507"/>
    <cellStyle name="Standaard 19 4 4 6" xfId="17508"/>
    <cellStyle name="Standaard 19 4 5" xfId="17509"/>
    <cellStyle name="Standaard 19 4 5 2" xfId="17510"/>
    <cellStyle name="Standaard 19 4 5 2 2" xfId="17511"/>
    <cellStyle name="Standaard 19 4 5 2 2 2" xfId="17512"/>
    <cellStyle name="Standaard 19 4 5 2 3" xfId="17513"/>
    <cellStyle name="Standaard 19 4 5 3" xfId="17514"/>
    <cellStyle name="Standaard 19 4 5 3 2" xfId="17515"/>
    <cellStyle name="Standaard 19 4 5 4" xfId="17516"/>
    <cellStyle name="Standaard 19 4 6" xfId="17517"/>
    <cellStyle name="Standaard 19 4 6 2" xfId="17518"/>
    <cellStyle name="Standaard 19 4 6 2 2" xfId="17519"/>
    <cellStyle name="Standaard 19 4 6 3" xfId="17520"/>
    <cellStyle name="Standaard 19 4 7" xfId="17521"/>
    <cellStyle name="Standaard 19 4 7 2" xfId="17522"/>
    <cellStyle name="Standaard 19 4 8" xfId="17523"/>
    <cellStyle name="Standaard 19 4 9" xfId="17524"/>
    <cellStyle name="Standaard 19 5" xfId="17525"/>
    <cellStyle name="Standaard 19 5 2" xfId="17526"/>
    <cellStyle name="Standaard 19 5 2 2" xfId="17527"/>
    <cellStyle name="Standaard 19 5 2 2 2" xfId="17528"/>
    <cellStyle name="Standaard 19 5 2 2 2 2" xfId="17529"/>
    <cellStyle name="Standaard 19 5 2 2 2 2 2" xfId="17530"/>
    <cellStyle name="Standaard 19 5 2 2 2 2 2 2" xfId="17531"/>
    <cellStyle name="Standaard 19 5 2 2 2 2 3" xfId="17532"/>
    <cellStyle name="Standaard 19 5 2 2 2 3" xfId="17533"/>
    <cellStyle name="Standaard 19 5 2 2 2 3 2" xfId="17534"/>
    <cellStyle name="Standaard 19 5 2 2 2 4" xfId="17535"/>
    <cellStyle name="Standaard 19 5 2 2 3" xfId="17536"/>
    <cellStyle name="Standaard 19 5 2 2 3 2" xfId="17537"/>
    <cellStyle name="Standaard 19 5 2 2 3 2 2" xfId="17538"/>
    <cellStyle name="Standaard 19 5 2 2 3 3" xfId="17539"/>
    <cellStyle name="Standaard 19 5 2 2 4" xfId="17540"/>
    <cellStyle name="Standaard 19 5 2 2 4 2" xfId="17541"/>
    <cellStyle name="Standaard 19 5 2 2 5" xfId="17542"/>
    <cellStyle name="Standaard 19 5 2 2 6" xfId="17543"/>
    <cellStyle name="Standaard 19 5 2 3" xfId="17544"/>
    <cellStyle name="Standaard 19 5 2 3 2" xfId="17545"/>
    <cellStyle name="Standaard 19 5 2 3 2 2" xfId="17546"/>
    <cellStyle name="Standaard 19 5 2 3 2 2 2" xfId="17547"/>
    <cellStyle name="Standaard 19 5 2 3 2 3" xfId="17548"/>
    <cellStyle name="Standaard 19 5 2 3 3" xfId="17549"/>
    <cellStyle name="Standaard 19 5 2 3 3 2" xfId="17550"/>
    <cellStyle name="Standaard 19 5 2 3 4" xfId="17551"/>
    <cellStyle name="Standaard 19 5 2 4" xfId="17552"/>
    <cellStyle name="Standaard 19 5 2 4 2" xfId="17553"/>
    <cellStyle name="Standaard 19 5 2 4 2 2" xfId="17554"/>
    <cellStyle name="Standaard 19 5 2 4 3" xfId="17555"/>
    <cellStyle name="Standaard 19 5 2 5" xfId="17556"/>
    <cellStyle name="Standaard 19 5 2 5 2" xfId="17557"/>
    <cellStyle name="Standaard 19 5 2 6" xfId="17558"/>
    <cellStyle name="Standaard 19 5 2 7" xfId="17559"/>
    <cellStyle name="Standaard 19 5 3" xfId="17560"/>
    <cellStyle name="Standaard 19 5 3 2" xfId="17561"/>
    <cellStyle name="Standaard 19 5 3 2 2" xfId="17562"/>
    <cellStyle name="Standaard 19 5 3 2 2 2" xfId="17563"/>
    <cellStyle name="Standaard 19 5 3 2 2 2 2" xfId="17564"/>
    <cellStyle name="Standaard 19 5 3 2 2 3" xfId="17565"/>
    <cellStyle name="Standaard 19 5 3 2 3" xfId="17566"/>
    <cellStyle name="Standaard 19 5 3 2 3 2" xfId="17567"/>
    <cellStyle name="Standaard 19 5 3 2 4" xfId="17568"/>
    <cellStyle name="Standaard 19 5 3 3" xfId="17569"/>
    <cellStyle name="Standaard 19 5 3 3 2" xfId="17570"/>
    <cellStyle name="Standaard 19 5 3 3 2 2" xfId="17571"/>
    <cellStyle name="Standaard 19 5 3 3 3" xfId="17572"/>
    <cellStyle name="Standaard 19 5 3 4" xfId="17573"/>
    <cellStyle name="Standaard 19 5 3 4 2" xfId="17574"/>
    <cellStyle name="Standaard 19 5 3 5" xfId="17575"/>
    <cellStyle name="Standaard 19 5 3 6" xfId="17576"/>
    <cellStyle name="Standaard 19 5 4" xfId="17577"/>
    <cellStyle name="Standaard 19 5 4 2" xfId="17578"/>
    <cellStyle name="Standaard 19 5 4 2 2" xfId="17579"/>
    <cellStyle name="Standaard 19 5 4 2 2 2" xfId="17580"/>
    <cellStyle name="Standaard 19 5 4 2 3" xfId="17581"/>
    <cellStyle name="Standaard 19 5 4 3" xfId="17582"/>
    <cellStyle name="Standaard 19 5 4 3 2" xfId="17583"/>
    <cellStyle name="Standaard 19 5 4 4" xfId="17584"/>
    <cellStyle name="Standaard 19 5 5" xfId="17585"/>
    <cellStyle name="Standaard 19 5 5 2" xfId="17586"/>
    <cellStyle name="Standaard 19 5 5 2 2" xfId="17587"/>
    <cellStyle name="Standaard 19 5 5 3" xfId="17588"/>
    <cellStyle name="Standaard 19 5 6" xfId="17589"/>
    <cellStyle name="Standaard 19 5 6 2" xfId="17590"/>
    <cellStyle name="Standaard 19 5 7" xfId="17591"/>
    <cellStyle name="Standaard 19 5 8" xfId="17592"/>
    <cellStyle name="Standaard 19 6" xfId="17593"/>
    <cellStyle name="Standaard 19 6 2" xfId="17594"/>
    <cellStyle name="Standaard 19 6 2 2" xfId="17595"/>
    <cellStyle name="Standaard 19 6 2 2 2" xfId="17596"/>
    <cellStyle name="Standaard 19 6 2 2 2 2" xfId="17597"/>
    <cellStyle name="Standaard 19 6 2 2 2 2 2" xfId="17598"/>
    <cellStyle name="Standaard 19 6 2 2 2 2 2 2" xfId="17599"/>
    <cellStyle name="Standaard 19 6 2 2 2 2 3" xfId="17600"/>
    <cellStyle name="Standaard 19 6 2 2 2 3" xfId="17601"/>
    <cellStyle name="Standaard 19 6 2 2 2 3 2" xfId="17602"/>
    <cellStyle name="Standaard 19 6 2 2 2 4" xfId="17603"/>
    <cellStyle name="Standaard 19 6 2 2 3" xfId="17604"/>
    <cellStyle name="Standaard 19 6 2 2 3 2" xfId="17605"/>
    <cellStyle name="Standaard 19 6 2 2 3 2 2" xfId="17606"/>
    <cellStyle name="Standaard 19 6 2 2 3 3" xfId="17607"/>
    <cellStyle name="Standaard 19 6 2 2 4" xfId="17608"/>
    <cellStyle name="Standaard 19 6 2 2 4 2" xfId="17609"/>
    <cellStyle name="Standaard 19 6 2 2 5" xfId="17610"/>
    <cellStyle name="Standaard 19 6 2 2 6" xfId="17611"/>
    <cellStyle name="Standaard 19 6 2 3" xfId="17612"/>
    <cellStyle name="Standaard 19 6 2 3 2" xfId="17613"/>
    <cellStyle name="Standaard 19 6 2 3 2 2" xfId="17614"/>
    <cellStyle name="Standaard 19 6 2 3 2 2 2" xfId="17615"/>
    <cellStyle name="Standaard 19 6 2 3 2 3" xfId="17616"/>
    <cellStyle name="Standaard 19 6 2 3 3" xfId="17617"/>
    <cellStyle name="Standaard 19 6 2 3 3 2" xfId="17618"/>
    <cellStyle name="Standaard 19 6 2 3 4" xfId="17619"/>
    <cellStyle name="Standaard 19 6 2 4" xfId="17620"/>
    <cellStyle name="Standaard 19 6 2 4 2" xfId="17621"/>
    <cellStyle name="Standaard 19 6 2 4 2 2" xfId="17622"/>
    <cellStyle name="Standaard 19 6 2 4 3" xfId="17623"/>
    <cellStyle name="Standaard 19 6 2 5" xfId="17624"/>
    <cellStyle name="Standaard 19 6 2 5 2" xfId="17625"/>
    <cellStyle name="Standaard 19 6 2 6" xfId="17626"/>
    <cellStyle name="Standaard 19 6 2 7" xfId="17627"/>
    <cellStyle name="Standaard 19 6 3" xfId="17628"/>
    <cellStyle name="Standaard 19 6 3 2" xfId="17629"/>
    <cellStyle name="Standaard 19 6 3 2 2" xfId="17630"/>
    <cellStyle name="Standaard 19 6 3 2 2 2" xfId="17631"/>
    <cellStyle name="Standaard 19 6 3 2 2 2 2" xfId="17632"/>
    <cellStyle name="Standaard 19 6 3 2 2 3" xfId="17633"/>
    <cellStyle name="Standaard 19 6 3 2 3" xfId="17634"/>
    <cellStyle name="Standaard 19 6 3 2 3 2" xfId="17635"/>
    <cellStyle name="Standaard 19 6 3 2 4" xfId="17636"/>
    <cellStyle name="Standaard 19 6 3 3" xfId="17637"/>
    <cellStyle name="Standaard 19 6 3 3 2" xfId="17638"/>
    <cellStyle name="Standaard 19 6 3 3 2 2" xfId="17639"/>
    <cellStyle name="Standaard 19 6 3 3 3" xfId="17640"/>
    <cellStyle name="Standaard 19 6 3 4" xfId="17641"/>
    <cellStyle name="Standaard 19 6 3 4 2" xfId="17642"/>
    <cellStyle name="Standaard 19 6 3 5" xfId="17643"/>
    <cellStyle name="Standaard 19 6 3 6" xfId="17644"/>
    <cellStyle name="Standaard 19 6 4" xfId="17645"/>
    <cellStyle name="Standaard 19 6 4 2" xfId="17646"/>
    <cellStyle name="Standaard 19 6 4 2 2" xfId="17647"/>
    <cellStyle name="Standaard 19 6 4 2 2 2" xfId="17648"/>
    <cellStyle name="Standaard 19 6 4 2 3" xfId="17649"/>
    <cellStyle name="Standaard 19 6 4 3" xfId="17650"/>
    <cellStyle name="Standaard 19 6 4 3 2" xfId="17651"/>
    <cellStyle name="Standaard 19 6 4 4" xfId="17652"/>
    <cellStyle name="Standaard 19 6 5" xfId="17653"/>
    <cellStyle name="Standaard 19 6 5 2" xfId="17654"/>
    <cellStyle name="Standaard 19 6 5 2 2" xfId="17655"/>
    <cellStyle name="Standaard 19 6 5 3" xfId="17656"/>
    <cellStyle name="Standaard 19 6 6" xfId="17657"/>
    <cellStyle name="Standaard 19 6 6 2" xfId="17658"/>
    <cellStyle name="Standaard 19 6 7" xfId="17659"/>
    <cellStyle name="Standaard 19 6 8" xfId="17660"/>
    <cellStyle name="Standaard 19 7" xfId="17661"/>
    <cellStyle name="Standaard 19 7 2" xfId="17662"/>
    <cellStyle name="Standaard 19 7 2 2" xfId="17663"/>
    <cellStyle name="Standaard 19 7 2 2 2" xfId="17664"/>
    <cellStyle name="Standaard 19 7 2 2 2 2" xfId="17665"/>
    <cellStyle name="Standaard 19 7 2 2 2 2 2" xfId="17666"/>
    <cellStyle name="Standaard 19 7 2 2 2 3" xfId="17667"/>
    <cellStyle name="Standaard 19 7 2 2 3" xfId="17668"/>
    <cellStyle name="Standaard 19 7 2 2 3 2" xfId="17669"/>
    <cellStyle name="Standaard 19 7 2 2 4" xfId="17670"/>
    <cellStyle name="Standaard 19 7 2 3" xfId="17671"/>
    <cellStyle name="Standaard 19 7 2 3 2" xfId="17672"/>
    <cellStyle name="Standaard 19 7 2 3 2 2" xfId="17673"/>
    <cellStyle name="Standaard 19 7 2 3 3" xfId="17674"/>
    <cellStyle name="Standaard 19 7 2 4" xfId="17675"/>
    <cellStyle name="Standaard 19 7 2 4 2" xfId="17676"/>
    <cellStyle name="Standaard 19 7 2 5" xfId="17677"/>
    <cellStyle name="Standaard 19 7 2 6" xfId="17678"/>
    <cellStyle name="Standaard 19 7 3" xfId="17679"/>
    <cellStyle name="Standaard 19 7 3 2" xfId="17680"/>
    <cellStyle name="Standaard 19 7 3 2 2" xfId="17681"/>
    <cellStyle name="Standaard 19 7 3 2 2 2" xfId="17682"/>
    <cellStyle name="Standaard 19 7 3 2 3" xfId="17683"/>
    <cellStyle name="Standaard 19 7 3 3" xfId="17684"/>
    <cellStyle name="Standaard 19 7 3 3 2" xfId="17685"/>
    <cellStyle name="Standaard 19 7 3 4" xfId="17686"/>
    <cellStyle name="Standaard 19 7 4" xfId="17687"/>
    <cellStyle name="Standaard 19 7 4 2" xfId="17688"/>
    <cellStyle name="Standaard 19 7 4 2 2" xfId="17689"/>
    <cellStyle name="Standaard 19 7 4 3" xfId="17690"/>
    <cellStyle name="Standaard 19 7 5" xfId="17691"/>
    <cellStyle name="Standaard 19 7 5 2" xfId="17692"/>
    <cellStyle name="Standaard 19 7 6" xfId="17693"/>
    <cellStyle name="Standaard 19 7 7" xfId="17694"/>
    <cellStyle name="Standaard 19 8" xfId="17695"/>
    <cellStyle name="Standaard 19 8 2" xfId="17696"/>
    <cellStyle name="Standaard 19 8 2 2" xfId="17697"/>
    <cellStyle name="Standaard 19 8 2 2 2" xfId="17698"/>
    <cellStyle name="Standaard 19 8 2 2 2 2" xfId="17699"/>
    <cellStyle name="Standaard 19 8 2 2 3" xfId="17700"/>
    <cellStyle name="Standaard 19 8 2 3" xfId="17701"/>
    <cellStyle name="Standaard 19 8 2 3 2" xfId="17702"/>
    <cellStyle name="Standaard 19 8 2 4" xfId="17703"/>
    <cellStyle name="Standaard 19 8 3" xfId="17704"/>
    <cellStyle name="Standaard 19 8 3 2" xfId="17705"/>
    <cellStyle name="Standaard 19 8 3 2 2" xfId="17706"/>
    <cellStyle name="Standaard 19 8 3 3" xfId="17707"/>
    <cellStyle name="Standaard 19 8 4" xfId="17708"/>
    <cellStyle name="Standaard 19 8 4 2" xfId="17709"/>
    <cellStyle name="Standaard 19 8 5" xfId="17710"/>
    <cellStyle name="Standaard 19 8 6" xfId="17711"/>
    <cellStyle name="Standaard 19 9" xfId="17712"/>
    <cellStyle name="Standaard 19 9 2" xfId="17713"/>
    <cellStyle name="Standaard 19 9 2 2" xfId="17714"/>
    <cellStyle name="Standaard 19 9 2 2 2" xfId="17715"/>
    <cellStyle name="Standaard 19 9 2 3" xfId="17716"/>
    <cellStyle name="Standaard 19 9 3" xfId="17717"/>
    <cellStyle name="Standaard 19 9 3 2" xfId="17718"/>
    <cellStyle name="Standaard 19 9 4" xfId="17719"/>
    <cellStyle name="Standaard 2" xfId="17720"/>
    <cellStyle name="Standaard 2 10" xfId="17721"/>
    <cellStyle name="Standaard 2 10 2" xfId="17722"/>
    <cellStyle name="Standaard 2 11" xfId="17723"/>
    <cellStyle name="Standaard 2 11 2" xfId="17724"/>
    <cellStyle name="Standaard 2 12" xfId="17725"/>
    <cellStyle name="Standaard 2 12 2" xfId="17726"/>
    <cellStyle name="Standaard 2 13" xfId="17727"/>
    <cellStyle name="Standaard 2 13 2" xfId="17728"/>
    <cellStyle name="Standaard 2 14" xfId="17729"/>
    <cellStyle name="Standaard 2 14 2" xfId="17730"/>
    <cellStyle name="Standaard 2 15" xfId="17731"/>
    <cellStyle name="Standaard 2 15 2" xfId="17732"/>
    <cellStyle name="Standaard 2 16" xfId="17733"/>
    <cellStyle name="Standaard 2 16 2" xfId="17734"/>
    <cellStyle name="Standaard 2 17" xfId="17735"/>
    <cellStyle name="Standaard 2 17 2" xfId="17736"/>
    <cellStyle name="Standaard 2 18" xfId="17737"/>
    <cellStyle name="Standaard 2 18 2" xfId="17738"/>
    <cellStyle name="Standaard 2 19" xfId="17739"/>
    <cellStyle name="Standaard 2 19 10" xfId="17740"/>
    <cellStyle name="Standaard 2 19 11" xfId="17741"/>
    <cellStyle name="Standaard 2 19 2" xfId="17742"/>
    <cellStyle name="Standaard 2 19 2 2" xfId="17743"/>
    <cellStyle name="Standaard 2 19 2 2 2" xfId="17744"/>
    <cellStyle name="Standaard 2 19 2 2 2 2" xfId="17745"/>
    <cellStyle name="Standaard 2 19 2 2 2 2 2" xfId="17746"/>
    <cellStyle name="Standaard 2 19 2 2 2 2 2 2" xfId="17747"/>
    <cellStyle name="Standaard 2 19 2 2 2 2 2 2 2" xfId="17748"/>
    <cellStyle name="Standaard 2 19 2 2 2 2 2 2 2 2" xfId="17749"/>
    <cellStyle name="Standaard 2 19 2 2 2 2 2 2 3" xfId="17750"/>
    <cellStyle name="Standaard 2 19 2 2 2 2 2 3" xfId="17751"/>
    <cellStyle name="Standaard 2 19 2 2 2 2 2 3 2" xfId="17752"/>
    <cellStyle name="Standaard 2 19 2 2 2 2 2 4" xfId="17753"/>
    <cellStyle name="Standaard 2 19 2 2 2 2 3" xfId="17754"/>
    <cellStyle name="Standaard 2 19 2 2 2 2 3 2" xfId="17755"/>
    <cellStyle name="Standaard 2 19 2 2 2 2 3 2 2" xfId="17756"/>
    <cellStyle name="Standaard 2 19 2 2 2 2 3 3" xfId="17757"/>
    <cellStyle name="Standaard 2 19 2 2 2 2 4" xfId="17758"/>
    <cellStyle name="Standaard 2 19 2 2 2 2 4 2" xfId="17759"/>
    <cellStyle name="Standaard 2 19 2 2 2 2 5" xfId="17760"/>
    <cellStyle name="Standaard 2 19 2 2 2 2 6" xfId="17761"/>
    <cellStyle name="Standaard 2 19 2 2 2 3" xfId="17762"/>
    <cellStyle name="Standaard 2 19 2 2 2 3 2" xfId="17763"/>
    <cellStyle name="Standaard 2 19 2 2 2 3 2 2" xfId="17764"/>
    <cellStyle name="Standaard 2 19 2 2 2 3 2 2 2" xfId="17765"/>
    <cellStyle name="Standaard 2 19 2 2 2 3 2 3" xfId="17766"/>
    <cellStyle name="Standaard 2 19 2 2 2 3 3" xfId="17767"/>
    <cellStyle name="Standaard 2 19 2 2 2 3 3 2" xfId="17768"/>
    <cellStyle name="Standaard 2 19 2 2 2 3 4" xfId="17769"/>
    <cellStyle name="Standaard 2 19 2 2 2 4" xfId="17770"/>
    <cellStyle name="Standaard 2 19 2 2 2 4 2" xfId="17771"/>
    <cellStyle name="Standaard 2 19 2 2 2 4 2 2" xfId="17772"/>
    <cellStyle name="Standaard 2 19 2 2 2 4 3" xfId="17773"/>
    <cellStyle name="Standaard 2 19 2 2 2 5" xfId="17774"/>
    <cellStyle name="Standaard 2 19 2 2 2 5 2" xfId="17775"/>
    <cellStyle name="Standaard 2 19 2 2 2 6" xfId="17776"/>
    <cellStyle name="Standaard 2 19 2 2 2 7" xfId="17777"/>
    <cellStyle name="Standaard 2 19 2 2 3" xfId="17778"/>
    <cellStyle name="Standaard 2 19 2 2 3 2" xfId="17779"/>
    <cellStyle name="Standaard 2 19 2 2 3 2 2" xfId="17780"/>
    <cellStyle name="Standaard 2 19 2 2 3 2 2 2" xfId="17781"/>
    <cellStyle name="Standaard 2 19 2 2 3 2 2 2 2" xfId="17782"/>
    <cellStyle name="Standaard 2 19 2 2 3 2 2 3" xfId="17783"/>
    <cellStyle name="Standaard 2 19 2 2 3 2 3" xfId="17784"/>
    <cellStyle name="Standaard 2 19 2 2 3 2 3 2" xfId="17785"/>
    <cellStyle name="Standaard 2 19 2 2 3 2 4" xfId="17786"/>
    <cellStyle name="Standaard 2 19 2 2 3 3" xfId="17787"/>
    <cellStyle name="Standaard 2 19 2 2 3 3 2" xfId="17788"/>
    <cellStyle name="Standaard 2 19 2 2 3 3 2 2" xfId="17789"/>
    <cellStyle name="Standaard 2 19 2 2 3 3 3" xfId="17790"/>
    <cellStyle name="Standaard 2 19 2 2 3 4" xfId="17791"/>
    <cellStyle name="Standaard 2 19 2 2 3 4 2" xfId="17792"/>
    <cellStyle name="Standaard 2 19 2 2 3 5" xfId="17793"/>
    <cellStyle name="Standaard 2 19 2 2 3 6" xfId="17794"/>
    <cellStyle name="Standaard 2 19 2 2 4" xfId="17795"/>
    <cellStyle name="Standaard 2 19 2 2 4 2" xfId="17796"/>
    <cellStyle name="Standaard 2 19 2 2 4 2 2" xfId="17797"/>
    <cellStyle name="Standaard 2 19 2 2 4 2 2 2" xfId="17798"/>
    <cellStyle name="Standaard 2 19 2 2 4 2 3" xfId="17799"/>
    <cellStyle name="Standaard 2 19 2 2 4 3" xfId="17800"/>
    <cellStyle name="Standaard 2 19 2 2 4 3 2" xfId="17801"/>
    <cellStyle name="Standaard 2 19 2 2 4 4" xfId="17802"/>
    <cellStyle name="Standaard 2 19 2 2 5" xfId="17803"/>
    <cellStyle name="Standaard 2 19 2 2 5 2" xfId="17804"/>
    <cellStyle name="Standaard 2 19 2 2 5 2 2" xfId="17805"/>
    <cellStyle name="Standaard 2 19 2 2 5 3" xfId="17806"/>
    <cellStyle name="Standaard 2 19 2 2 6" xfId="17807"/>
    <cellStyle name="Standaard 2 19 2 2 6 2" xfId="17808"/>
    <cellStyle name="Standaard 2 19 2 2 7" xfId="17809"/>
    <cellStyle name="Standaard 2 19 2 2 8" xfId="17810"/>
    <cellStyle name="Standaard 2 19 2 3" xfId="17811"/>
    <cellStyle name="Standaard 2 19 2 3 2" xfId="17812"/>
    <cellStyle name="Standaard 2 19 2 3 2 2" xfId="17813"/>
    <cellStyle name="Standaard 2 19 2 3 2 2 2" xfId="17814"/>
    <cellStyle name="Standaard 2 19 2 3 2 2 2 2" xfId="17815"/>
    <cellStyle name="Standaard 2 19 2 3 2 2 2 2 2" xfId="17816"/>
    <cellStyle name="Standaard 2 19 2 3 2 2 2 3" xfId="17817"/>
    <cellStyle name="Standaard 2 19 2 3 2 2 3" xfId="17818"/>
    <cellStyle name="Standaard 2 19 2 3 2 2 3 2" xfId="17819"/>
    <cellStyle name="Standaard 2 19 2 3 2 2 4" xfId="17820"/>
    <cellStyle name="Standaard 2 19 2 3 2 3" xfId="17821"/>
    <cellStyle name="Standaard 2 19 2 3 2 3 2" xfId="17822"/>
    <cellStyle name="Standaard 2 19 2 3 2 3 2 2" xfId="17823"/>
    <cellStyle name="Standaard 2 19 2 3 2 3 3" xfId="17824"/>
    <cellStyle name="Standaard 2 19 2 3 2 4" xfId="17825"/>
    <cellStyle name="Standaard 2 19 2 3 2 4 2" xfId="17826"/>
    <cellStyle name="Standaard 2 19 2 3 2 5" xfId="17827"/>
    <cellStyle name="Standaard 2 19 2 3 2 6" xfId="17828"/>
    <cellStyle name="Standaard 2 19 2 3 3" xfId="17829"/>
    <cellStyle name="Standaard 2 19 2 3 3 2" xfId="17830"/>
    <cellStyle name="Standaard 2 19 2 3 3 2 2" xfId="17831"/>
    <cellStyle name="Standaard 2 19 2 3 3 2 2 2" xfId="17832"/>
    <cellStyle name="Standaard 2 19 2 3 3 2 3" xfId="17833"/>
    <cellStyle name="Standaard 2 19 2 3 3 3" xfId="17834"/>
    <cellStyle name="Standaard 2 19 2 3 3 3 2" xfId="17835"/>
    <cellStyle name="Standaard 2 19 2 3 3 4" xfId="17836"/>
    <cellStyle name="Standaard 2 19 2 3 4" xfId="17837"/>
    <cellStyle name="Standaard 2 19 2 3 4 2" xfId="17838"/>
    <cellStyle name="Standaard 2 19 2 3 4 2 2" xfId="17839"/>
    <cellStyle name="Standaard 2 19 2 3 4 3" xfId="17840"/>
    <cellStyle name="Standaard 2 19 2 3 5" xfId="17841"/>
    <cellStyle name="Standaard 2 19 2 3 5 2" xfId="17842"/>
    <cellStyle name="Standaard 2 19 2 3 6" xfId="17843"/>
    <cellStyle name="Standaard 2 19 2 3 7" xfId="17844"/>
    <cellStyle name="Standaard 2 19 2 4" xfId="17845"/>
    <cellStyle name="Standaard 2 19 2 4 2" xfId="17846"/>
    <cellStyle name="Standaard 2 19 2 4 2 2" xfId="17847"/>
    <cellStyle name="Standaard 2 19 2 4 2 2 2" xfId="17848"/>
    <cellStyle name="Standaard 2 19 2 4 2 2 2 2" xfId="17849"/>
    <cellStyle name="Standaard 2 19 2 4 2 2 3" xfId="17850"/>
    <cellStyle name="Standaard 2 19 2 4 2 3" xfId="17851"/>
    <cellStyle name="Standaard 2 19 2 4 2 3 2" xfId="17852"/>
    <cellStyle name="Standaard 2 19 2 4 2 4" xfId="17853"/>
    <cellStyle name="Standaard 2 19 2 4 3" xfId="17854"/>
    <cellStyle name="Standaard 2 19 2 4 3 2" xfId="17855"/>
    <cellStyle name="Standaard 2 19 2 4 3 2 2" xfId="17856"/>
    <cellStyle name="Standaard 2 19 2 4 3 3" xfId="17857"/>
    <cellStyle name="Standaard 2 19 2 4 4" xfId="17858"/>
    <cellStyle name="Standaard 2 19 2 4 4 2" xfId="17859"/>
    <cellStyle name="Standaard 2 19 2 4 5" xfId="17860"/>
    <cellStyle name="Standaard 2 19 2 4 6" xfId="17861"/>
    <cellStyle name="Standaard 2 19 2 5" xfId="17862"/>
    <cellStyle name="Standaard 2 19 2 5 2" xfId="17863"/>
    <cellStyle name="Standaard 2 19 2 5 2 2" xfId="17864"/>
    <cellStyle name="Standaard 2 19 2 5 2 2 2" xfId="17865"/>
    <cellStyle name="Standaard 2 19 2 5 2 3" xfId="17866"/>
    <cellStyle name="Standaard 2 19 2 5 3" xfId="17867"/>
    <cellStyle name="Standaard 2 19 2 5 3 2" xfId="17868"/>
    <cellStyle name="Standaard 2 19 2 5 4" xfId="17869"/>
    <cellStyle name="Standaard 2 19 2 6" xfId="17870"/>
    <cellStyle name="Standaard 2 19 2 6 2" xfId="17871"/>
    <cellStyle name="Standaard 2 19 2 6 2 2" xfId="17872"/>
    <cellStyle name="Standaard 2 19 2 6 3" xfId="17873"/>
    <cellStyle name="Standaard 2 19 2 7" xfId="17874"/>
    <cellStyle name="Standaard 2 19 2 7 2" xfId="17875"/>
    <cellStyle name="Standaard 2 19 2 8" xfId="17876"/>
    <cellStyle name="Standaard 2 19 2 9" xfId="17877"/>
    <cellStyle name="Standaard 2 19 3" xfId="17878"/>
    <cellStyle name="Standaard 2 19 3 2" xfId="17879"/>
    <cellStyle name="Standaard 2 19 3 2 2" xfId="17880"/>
    <cellStyle name="Standaard 2 19 3 2 2 2" xfId="17881"/>
    <cellStyle name="Standaard 2 19 3 2 2 2 2" xfId="17882"/>
    <cellStyle name="Standaard 2 19 3 2 2 2 2 2" xfId="17883"/>
    <cellStyle name="Standaard 2 19 3 2 2 2 2 2 2" xfId="17884"/>
    <cellStyle name="Standaard 2 19 3 2 2 2 2 3" xfId="17885"/>
    <cellStyle name="Standaard 2 19 3 2 2 2 3" xfId="17886"/>
    <cellStyle name="Standaard 2 19 3 2 2 2 3 2" xfId="17887"/>
    <cellStyle name="Standaard 2 19 3 2 2 2 4" xfId="17888"/>
    <cellStyle name="Standaard 2 19 3 2 2 3" xfId="17889"/>
    <cellStyle name="Standaard 2 19 3 2 2 3 2" xfId="17890"/>
    <cellStyle name="Standaard 2 19 3 2 2 3 2 2" xfId="17891"/>
    <cellStyle name="Standaard 2 19 3 2 2 3 3" xfId="17892"/>
    <cellStyle name="Standaard 2 19 3 2 2 4" xfId="17893"/>
    <cellStyle name="Standaard 2 19 3 2 2 4 2" xfId="17894"/>
    <cellStyle name="Standaard 2 19 3 2 2 5" xfId="17895"/>
    <cellStyle name="Standaard 2 19 3 2 2 6" xfId="17896"/>
    <cellStyle name="Standaard 2 19 3 2 3" xfId="17897"/>
    <cellStyle name="Standaard 2 19 3 2 3 2" xfId="17898"/>
    <cellStyle name="Standaard 2 19 3 2 3 2 2" xfId="17899"/>
    <cellStyle name="Standaard 2 19 3 2 3 2 2 2" xfId="17900"/>
    <cellStyle name="Standaard 2 19 3 2 3 2 3" xfId="17901"/>
    <cellStyle name="Standaard 2 19 3 2 3 3" xfId="17902"/>
    <cellStyle name="Standaard 2 19 3 2 3 3 2" xfId="17903"/>
    <cellStyle name="Standaard 2 19 3 2 3 4" xfId="17904"/>
    <cellStyle name="Standaard 2 19 3 2 4" xfId="17905"/>
    <cellStyle name="Standaard 2 19 3 2 4 2" xfId="17906"/>
    <cellStyle name="Standaard 2 19 3 2 4 2 2" xfId="17907"/>
    <cellStyle name="Standaard 2 19 3 2 4 3" xfId="17908"/>
    <cellStyle name="Standaard 2 19 3 2 5" xfId="17909"/>
    <cellStyle name="Standaard 2 19 3 2 5 2" xfId="17910"/>
    <cellStyle name="Standaard 2 19 3 2 6" xfId="17911"/>
    <cellStyle name="Standaard 2 19 3 2 7" xfId="17912"/>
    <cellStyle name="Standaard 2 19 3 3" xfId="17913"/>
    <cellStyle name="Standaard 2 19 3 3 2" xfId="17914"/>
    <cellStyle name="Standaard 2 19 3 3 2 2" xfId="17915"/>
    <cellStyle name="Standaard 2 19 3 3 2 2 2" xfId="17916"/>
    <cellStyle name="Standaard 2 19 3 3 2 2 2 2" xfId="17917"/>
    <cellStyle name="Standaard 2 19 3 3 2 2 3" xfId="17918"/>
    <cellStyle name="Standaard 2 19 3 3 2 3" xfId="17919"/>
    <cellStyle name="Standaard 2 19 3 3 2 3 2" xfId="17920"/>
    <cellStyle name="Standaard 2 19 3 3 2 4" xfId="17921"/>
    <cellStyle name="Standaard 2 19 3 3 3" xfId="17922"/>
    <cellStyle name="Standaard 2 19 3 3 3 2" xfId="17923"/>
    <cellStyle name="Standaard 2 19 3 3 3 2 2" xfId="17924"/>
    <cellStyle name="Standaard 2 19 3 3 3 3" xfId="17925"/>
    <cellStyle name="Standaard 2 19 3 3 4" xfId="17926"/>
    <cellStyle name="Standaard 2 19 3 3 4 2" xfId="17927"/>
    <cellStyle name="Standaard 2 19 3 3 5" xfId="17928"/>
    <cellStyle name="Standaard 2 19 3 3 6" xfId="17929"/>
    <cellStyle name="Standaard 2 19 3 4" xfId="17930"/>
    <cellStyle name="Standaard 2 19 3 4 2" xfId="17931"/>
    <cellStyle name="Standaard 2 19 3 4 2 2" xfId="17932"/>
    <cellStyle name="Standaard 2 19 3 4 2 2 2" xfId="17933"/>
    <cellStyle name="Standaard 2 19 3 4 2 3" xfId="17934"/>
    <cellStyle name="Standaard 2 19 3 4 3" xfId="17935"/>
    <cellStyle name="Standaard 2 19 3 4 3 2" xfId="17936"/>
    <cellStyle name="Standaard 2 19 3 4 4" xfId="17937"/>
    <cellStyle name="Standaard 2 19 3 5" xfId="17938"/>
    <cellStyle name="Standaard 2 19 3 5 2" xfId="17939"/>
    <cellStyle name="Standaard 2 19 3 5 2 2" xfId="17940"/>
    <cellStyle name="Standaard 2 19 3 5 3" xfId="17941"/>
    <cellStyle name="Standaard 2 19 3 6" xfId="17942"/>
    <cellStyle name="Standaard 2 19 3 6 2" xfId="17943"/>
    <cellStyle name="Standaard 2 19 3 7" xfId="17944"/>
    <cellStyle name="Standaard 2 19 3 8" xfId="17945"/>
    <cellStyle name="Standaard 2 19 4" xfId="17946"/>
    <cellStyle name="Standaard 2 19 4 2" xfId="17947"/>
    <cellStyle name="Standaard 2 19 4 2 2" xfId="17948"/>
    <cellStyle name="Standaard 2 19 4 2 2 2" xfId="17949"/>
    <cellStyle name="Standaard 2 19 4 2 2 2 2" xfId="17950"/>
    <cellStyle name="Standaard 2 19 4 2 2 2 2 2" xfId="17951"/>
    <cellStyle name="Standaard 2 19 4 2 2 2 2 2 2" xfId="17952"/>
    <cellStyle name="Standaard 2 19 4 2 2 2 2 3" xfId="17953"/>
    <cellStyle name="Standaard 2 19 4 2 2 2 3" xfId="17954"/>
    <cellStyle name="Standaard 2 19 4 2 2 2 3 2" xfId="17955"/>
    <cellStyle name="Standaard 2 19 4 2 2 2 4" xfId="17956"/>
    <cellStyle name="Standaard 2 19 4 2 2 3" xfId="17957"/>
    <cellStyle name="Standaard 2 19 4 2 2 3 2" xfId="17958"/>
    <cellStyle name="Standaard 2 19 4 2 2 3 2 2" xfId="17959"/>
    <cellStyle name="Standaard 2 19 4 2 2 3 3" xfId="17960"/>
    <cellStyle name="Standaard 2 19 4 2 2 4" xfId="17961"/>
    <cellStyle name="Standaard 2 19 4 2 2 4 2" xfId="17962"/>
    <cellStyle name="Standaard 2 19 4 2 2 5" xfId="17963"/>
    <cellStyle name="Standaard 2 19 4 2 2 6" xfId="17964"/>
    <cellStyle name="Standaard 2 19 4 2 3" xfId="17965"/>
    <cellStyle name="Standaard 2 19 4 2 3 2" xfId="17966"/>
    <cellStyle name="Standaard 2 19 4 2 3 2 2" xfId="17967"/>
    <cellStyle name="Standaard 2 19 4 2 3 2 2 2" xfId="17968"/>
    <cellStyle name="Standaard 2 19 4 2 3 2 3" xfId="17969"/>
    <cellStyle name="Standaard 2 19 4 2 3 3" xfId="17970"/>
    <cellStyle name="Standaard 2 19 4 2 3 3 2" xfId="17971"/>
    <cellStyle name="Standaard 2 19 4 2 3 4" xfId="17972"/>
    <cellStyle name="Standaard 2 19 4 2 4" xfId="17973"/>
    <cellStyle name="Standaard 2 19 4 2 4 2" xfId="17974"/>
    <cellStyle name="Standaard 2 19 4 2 4 2 2" xfId="17975"/>
    <cellStyle name="Standaard 2 19 4 2 4 3" xfId="17976"/>
    <cellStyle name="Standaard 2 19 4 2 5" xfId="17977"/>
    <cellStyle name="Standaard 2 19 4 2 5 2" xfId="17978"/>
    <cellStyle name="Standaard 2 19 4 2 6" xfId="17979"/>
    <cellStyle name="Standaard 2 19 4 2 7" xfId="17980"/>
    <cellStyle name="Standaard 2 19 4 3" xfId="17981"/>
    <cellStyle name="Standaard 2 19 4 3 2" xfId="17982"/>
    <cellStyle name="Standaard 2 19 4 3 2 2" xfId="17983"/>
    <cellStyle name="Standaard 2 19 4 3 2 2 2" xfId="17984"/>
    <cellStyle name="Standaard 2 19 4 3 2 2 2 2" xfId="17985"/>
    <cellStyle name="Standaard 2 19 4 3 2 2 3" xfId="17986"/>
    <cellStyle name="Standaard 2 19 4 3 2 3" xfId="17987"/>
    <cellStyle name="Standaard 2 19 4 3 2 3 2" xfId="17988"/>
    <cellStyle name="Standaard 2 19 4 3 2 4" xfId="17989"/>
    <cellStyle name="Standaard 2 19 4 3 3" xfId="17990"/>
    <cellStyle name="Standaard 2 19 4 3 3 2" xfId="17991"/>
    <cellStyle name="Standaard 2 19 4 3 3 2 2" xfId="17992"/>
    <cellStyle name="Standaard 2 19 4 3 3 3" xfId="17993"/>
    <cellStyle name="Standaard 2 19 4 3 4" xfId="17994"/>
    <cellStyle name="Standaard 2 19 4 3 4 2" xfId="17995"/>
    <cellStyle name="Standaard 2 19 4 3 5" xfId="17996"/>
    <cellStyle name="Standaard 2 19 4 3 6" xfId="17997"/>
    <cellStyle name="Standaard 2 19 4 4" xfId="17998"/>
    <cellStyle name="Standaard 2 19 4 4 2" xfId="17999"/>
    <cellStyle name="Standaard 2 19 4 4 2 2" xfId="18000"/>
    <cellStyle name="Standaard 2 19 4 4 2 2 2" xfId="18001"/>
    <cellStyle name="Standaard 2 19 4 4 2 3" xfId="18002"/>
    <cellStyle name="Standaard 2 19 4 4 3" xfId="18003"/>
    <cellStyle name="Standaard 2 19 4 4 3 2" xfId="18004"/>
    <cellStyle name="Standaard 2 19 4 4 4" xfId="18005"/>
    <cellStyle name="Standaard 2 19 4 5" xfId="18006"/>
    <cellStyle name="Standaard 2 19 4 5 2" xfId="18007"/>
    <cellStyle name="Standaard 2 19 4 5 2 2" xfId="18008"/>
    <cellStyle name="Standaard 2 19 4 5 3" xfId="18009"/>
    <cellStyle name="Standaard 2 19 4 6" xfId="18010"/>
    <cellStyle name="Standaard 2 19 4 6 2" xfId="18011"/>
    <cellStyle name="Standaard 2 19 4 7" xfId="18012"/>
    <cellStyle name="Standaard 2 19 4 8" xfId="18013"/>
    <cellStyle name="Standaard 2 19 5" xfId="18014"/>
    <cellStyle name="Standaard 2 19 5 2" xfId="18015"/>
    <cellStyle name="Standaard 2 19 5 2 2" xfId="18016"/>
    <cellStyle name="Standaard 2 19 5 2 2 2" xfId="18017"/>
    <cellStyle name="Standaard 2 19 5 2 2 2 2" xfId="18018"/>
    <cellStyle name="Standaard 2 19 5 2 2 2 2 2" xfId="18019"/>
    <cellStyle name="Standaard 2 19 5 2 2 2 3" xfId="18020"/>
    <cellStyle name="Standaard 2 19 5 2 2 3" xfId="18021"/>
    <cellStyle name="Standaard 2 19 5 2 2 3 2" xfId="18022"/>
    <cellStyle name="Standaard 2 19 5 2 2 4" xfId="18023"/>
    <cellStyle name="Standaard 2 19 5 2 3" xfId="18024"/>
    <cellStyle name="Standaard 2 19 5 2 3 2" xfId="18025"/>
    <cellStyle name="Standaard 2 19 5 2 3 2 2" xfId="18026"/>
    <cellStyle name="Standaard 2 19 5 2 3 3" xfId="18027"/>
    <cellStyle name="Standaard 2 19 5 2 4" xfId="18028"/>
    <cellStyle name="Standaard 2 19 5 2 4 2" xfId="18029"/>
    <cellStyle name="Standaard 2 19 5 2 5" xfId="18030"/>
    <cellStyle name="Standaard 2 19 5 2 6" xfId="18031"/>
    <cellStyle name="Standaard 2 19 5 3" xfId="18032"/>
    <cellStyle name="Standaard 2 19 5 3 2" xfId="18033"/>
    <cellStyle name="Standaard 2 19 5 3 2 2" xfId="18034"/>
    <cellStyle name="Standaard 2 19 5 3 2 2 2" xfId="18035"/>
    <cellStyle name="Standaard 2 19 5 3 2 3" xfId="18036"/>
    <cellStyle name="Standaard 2 19 5 3 3" xfId="18037"/>
    <cellStyle name="Standaard 2 19 5 3 3 2" xfId="18038"/>
    <cellStyle name="Standaard 2 19 5 3 4" xfId="18039"/>
    <cellStyle name="Standaard 2 19 5 4" xfId="18040"/>
    <cellStyle name="Standaard 2 19 5 4 2" xfId="18041"/>
    <cellStyle name="Standaard 2 19 5 4 2 2" xfId="18042"/>
    <cellStyle name="Standaard 2 19 5 4 3" xfId="18043"/>
    <cellStyle name="Standaard 2 19 5 5" xfId="18044"/>
    <cellStyle name="Standaard 2 19 5 5 2" xfId="18045"/>
    <cellStyle name="Standaard 2 19 5 6" xfId="18046"/>
    <cellStyle name="Standaard 2 19 5 7" xfId="18047"/>
    <cellStyle name="Standaard 2 19 6" xfId="18048"/>
    <cellStyle name="Standaard 2 19 6 2" xfId="18049"/>
    <cellStyle name="Standaard 2 19 6 2 2" xfId="18050"/>
    <cellStyle name="Standaard 2 19 6 2 2 2" xfId="18051"/>
    <cellStyle name="Standaard 2 19 6 2 2 2 2" xfId="18052"/>
    <cellStyle name="Standaard 2 19 6 2 2 3" xfId="18053"/>
    <cellStyle name="Standaard 2 19 6 2 3" xfId="18054"/>
    <cellStyle name="Standaard 2 19 6 2 3 2" xfId="18055"/>
    <cellStyle name="Standaard 2 19 6 2 4" xfId="18056"/>
    <cellStyle name="Standaard 2 19 6 3" xfId="18057"/>
    <cellStyle name="Standaard 2 19 6 3 2" xfId="18058"/>
    <cellStyle name="Standaard 2 19 6 3 2 2" xfId="18059"/>
    <cellStyle name="Standaard 2 19 6 3 3" xfId="18060"/>
    <cellStyle name="Standaard 2 19 6 4" xfId="18061"/>
    <cellStyle name="Standaard 2 19 6 4 2" xfId="18062"/>
    <cellStyle name="Standaard 2 19 6 5" xfId="18063"/>
    <cellStyle name="Standaard 2 19 6 6" xfId="18064"/>
    <cellStyle name="Standaard 2 19 7" xfId="18065"/>
    <cellStyle name="Standaard 2 19 7 2" xfId="18066"/>
    <cellStyle name="Standaard 2 19 7 2 2" xfId="18067"/>
    <cellStyle name="Standaard 2 19 7 2 2 2" xfId="18068"/>
    <cellStyle name="Standaard 2 19 7 2 3" xfId="18069"/>
    <cellStyle name="Standaard 2 19 7 3" xfId="18070"/>
    <cellStyle name="Standaard 2 19 7 3 2" xfId="18071"/>
    <cellStyle name="Standaard 2 19 7 4" xfId="18072"/>
    <cellStyle name="Standaard 2 19 8" xfId="18073"/>
    <cellStyle name="Standaard 2 19 8 2" xfId="18074"/>
    <cellStyle name="Standaard 2 19 8 2 2" xfId="18075"/>
    <cellStyle name="Standaard 2 19 8 3" xfId="18076"/>
    <cellStyle name="Standaard 2 19 9" xfId="18077"/>
    <cellStyle name="Standaard 2 19 9 2" xfId="18078"/>
    <cellStyle name="Standaard 2 2" xfId="18079"/>
    <cellStyle name="Standaard 2 2 2" xfId="18080"/>
    <cellStyle name="Standaard 2 2 2 10" xfId="18081"/>
    <cellStyle name="Standaard 2 2 2 10 2" xfId="18082"/>
    <cellStyle name="Standaard 2 2 2 10 2 2" xfId="18083"/>
    <cellStyle name="Standaard 2 2 2 10 3" xfId="18084"/>
    <cellStyle name="Standaard 2 2 2 11" xfId="18085"/>
    <cellStyle name="Standaard 2 2 2 11 2" xfId="18086"/>
    <cellStyle name="Standaard 2 2 2 12" xfId="18087"/>
    <cellStyle name="Standaard 2 2 2 13" xfId="18088"/>
    <cellStyle name="Standaard 2 2 2 2" xfId="18089"/>
    <cellStyle name="Standaard 2 2 2 2 10" xfId="18090"/>
    <cellStyle name="Standaard 2 2 2 2 10 2" xfId="18091"/>
    <cellStyle name="Standaard 2 2 2 2 11" xfId="18092"/>
    <cellStyle name="Standaard 2 2 2 2 12" xfId="18093"/>
    <cellStyle name="Standaard 2 2 2 2 2" xfId="18094"/>
    <cellStyle name="Standaard 2 2 2 2 2 10" xfId="18095"/>
    <cellStyle name="Standaard 2 2 2 2 2 11" xfId="18096"/>
    <cellStyle name="Standaard 2 2 2 2 2 2" xfId="18097"/>
    <cellStyle name="Standaard 2 2 2 2 2 2 2" xfId="18098"/>
    <cellStyle name="Standaard 2 2 2 2 2 2 2 2" xfId="18099"/>
    <cellStyle name="Standaard 2 2 2 2 2 2 2 2 2" xfId="18100"/>
    <cellStyle name="Standaard 2 2 2 2 2 2 2 2 2 2" xfId="18101"/>
    <cellStyle name="Standaard 2 2 2 2 2 2 2 2 2 2 2" xfId="18102"/>
    <cellStyle name="Standaard 2 2 2 2 2 2 2 2 2 2 2 2" xfId="18103"/>
    <cellStyle name="Standaard 2 2 2 2 2 2 2 2 2 2 2 2 2" xfId="18104"/>
    <cellStyle name="Standaard 2 2 2 2 2 2 2 2 2 2 2 3" xfId="18105"/>
    <cellStyle name="Standaard 2 2 2 2 2 2 2 2 2 2 3" xfId="18106"/>
    <cellStyle name="Standaard 2 2 2 2 2 2 2 2 2 2 3 2" xfId="18107"/>
    <cellStyle name="Standaard 2 2 2 2 2 2 2 2 2 2 4" xfId="18108"/>
    <cellStyle name="Standaard 2 2 2 2 2 2 2 2 2 3" xfId="18109"/>
    <cellStyle name="Standaard 2 2 2 2 2 2 2 2 2 3 2" xfId="18110"/>
    <cellStyle name="Standaard 2 2 2 2 2 2 2 2 2 3 2 2" xfId="18111"/>
    <cellStyle name="Standaard 2 2 2 2 2 2 2 2 2 3 3" xfId="18112"/>
    <cellStyle name="Standaard 2 2 2 2 2 2 2 2 2 4" xfId="18113"/>
    <cellStyle name="Standaard 2 2 2 2 2 2 2 2 2 4 2" xfId="18114"/>
    <cellStyle name="Standaard 2 2 2 2 2 2 2 2 2 5" xfId="18115"/>
    <cellStyle name="Standaard 2 2 2 2 2 2 2 2 2 6" xfId="18116"/>
    <cellStyle name="Standaard 2 2 2 2 2 2 2 2 3" xfId="18117"/>
    <cellStyle name="Standaard 2 2 2 2 2 2 2 2 3 2" xfId="18118"/>
    <cellStyle name="Standaard 2 2 2 2 2 2 2 2 3 2 2" xfId="18119"/>
    <cellStyle name="Standaard 2 2 2 2 2 2 2 2 3 2 2 2" xfId="18120"/>
    <cellStyle name="Standaard 2 2 2 2 2 2 2 2 3 2 3" xfId="18121"/>
    <cellStyle name="Standaard 2 2 2 2 2 2 2 2 3 3" xfId="18122"/>
    <cellStyle name="Standaard 2 2 2 2 2 2 2 2 3 3 2" xfId="18123"/>
    <cellStyle name="Standaard 2 2 2 2 2 2 2 2 3 4" xfId="18124"/>
    <cellStyle name="Standaard 2 2 2 2 2 2 2 2 4" xfId="18125"/>
    <cellStyle name="Standaard 2 2 2 2 2 2 2 2 4 2" xfId="18126"/>
    <cellStyle name="Standaard 2 2 2 2 2 2 2 2 4 2 2" xfId="18127"/>
    <cellStyle name="Standaard 2 2 2 2 2 2 2 2 4 3" xfId="18128"/>
    <cellStyle name="Standaard 2 2 2 2 2 2 2 2 5" xfId="18129"/>
    <cellStyle name="Standaard 2 2 2 2 2 2 2 2 5 2" xfId="18130"/>
    <cellStyle name="Standaard 2 2 2 2 2 2 2 2 6" xfId="18131"/>
    <cellStyle name="Standaard 2 2 2 2 2 2 2 2 7" xfId="18132"/>
    <cellStyle name="Standaard 2 2 2 2 2 2 2 3" xfId="18133"/>
    <cellStyle name="Standaard 2 2 2 2 2 2 2 3 2" xfId="18134"/>
    <cellStyle name="Standaard 2 2 2 2 2 2 2 3 2 2" xfId="18135"/>
    <cellStyle name="Standaard 2 2 2 2 2 2 2 3 2 2 2" xfId="18136"/>
    <cellStyle name="Standaard 2 2 2 2 2 2 2 3 2 2 2 2" xfId="18137"/>
    <cellStyle name="Standaard 2 2 2 2 2 2 2 3 2 2 3" xfId="18138"/>
    <cellStyle name="Standaard 2 2 2 2 2 2 2 3 2 3" xfId="18139"/>
    <cellStyle name="Standaard 2 2 2 2 2 2 2 3 2 3 2" xfId="18140"/>
    <cellStyle name="Standaard 2 2 2 2 2 2 2 3 2 4" xfId="18141"/>
    <cellStyle name="Standaard 2 2 2 2 2 2 2 3 3" xfId="18142"/>
    <cellStyle name="Standaard 2 2 2 2 2 2 2 3 3 2" xfId="18143"/>
    <cellStyle name="Standaard 2 2 2 2 2 2 2 3 3 2 2" xfId="18144"/>
    <cellStyle name="Standaard 2 2 2 2 2 2 2 3 3 3" xfId="18145"/>
    <cellStyle name="Standaard 2 2 2 2 2 2 2 3 4" xfId="18146"/>
    <cellStyle name="Standaard 2 2 2 2 2 2 2 3 4 2" xfId="18147"/>
    <cellStyle name="Standaard 2 2 2 2 2 2 2 3 5" xfId="18148"/>
    <cellStyle name="Standaard 2 2 2 2 2 2 2 3 6" xfId="18149"/>
    <cellStyle name="Standaard 2 2 2 2 2 2 2 4" xfId="18150"/>
    <cellStyle name="Standaard 2 2 2 2 2 2 2 4 2" xfId="18151"/>
    <cellStyle name="Standaard 2 2 2 2 2 2 2 4 2 2" xfId="18152"/>
    <cellStyle name="Standaard 2 2 2 2 2 2 2 4 2 2 2" xfId="18153"/>
    <cellStyle name="Standaard 2 2 2 2 2 2 2 4 2 3" xfId="18154"/>
    <cellStyle name="Standaard 2 2 2 2 2 2 2 4 3" xfId="18155"/>
    <cellStyle name="Standaard 2 2 2 2 2 2 2 4 3 2" xfId="18156"/>
    <cellStyle name="Standaard 2 2 2 2 2 2 2 4 4" xfId="18157"/>
    <cellStyle name="Standaard 2 2 2 2 2 2 2 5" xfId="18158"/>
    <cellStyle name="Standaard 2 2 2 2 2 2 2 5 2" xfId="18159"/>
    <cellStyle name="Standaard 2 2 2 2 2 2 2 5 2 2" xfId="18160"/>
    <cellStyle name="Standaard 2 2 2 2 2 2 2 5 3" xfId="18161"/>
    <cellStyle name="Standaard 2 2 2 2 2 2 2 6" xfId="18162"/>
    <cellStyle name="Standaard 2 2 2 2 2 2 2 6 2" xfId="18163"/>
    <cellStyle name="Standaard 2 2 2 2 2 2 2 7" xfId="18164"/>
    <cellStyle name="Standaard 2 2 2 2 2 2 2 8" xfId="18165"/>
    <cellStyle name="Standaard 2 2 2 2 2 2 3" xfId="18166"/>
    <cellStyle name="Standaard 2 2 2 2 2 2 3 2" xfId="18167"/>
    <cellStyle name="Standaard 2 2 2 2 2 2 3 2 2" xfId="18168"/>
    <cellStyle name="Standaard 2 2 2 2 2 2 3 2 2 2" xfId="18169"/>
    <cellStyle name="Standaard 2 2 2 2 2 2 3 2 2 2 2" xfId="18170"/>
    <cellStyle name="Standaard 2 2 2 2 2 2 3 2 2 2 2 2" xfId="18171"/>
    <cellStyle name="Standaard 2 2 2 2 2 2 3 2 2 2 3" xfId="18172"/>
    <cellStyle name="Standaard 2 2 2 2 2 2 3 2 2 3" xfId="18173"/>
    <cellStyle name="Standaard 2 2 2 2 2 2 3 2 2 3 2" xfId="18174"/>
    <cellStyle name="Standaard 2 2 2 2 2 2 3 2 2 4" xfId="18175"/>
    <cellStyle name="Standaard 2 2 2 2 2 2 3 2 3" xfId="18176"/>
    <cellStyle name="Standaard 2 2 2 2 2 2 3 2 3 2" xfId="18177"/>
    <cellStyle name="Standaard 2 2 2 2 2 2 3 2 3 2 2" xfId="18178"/>
    <cellStyle name="Standaard 2 2 2 2 2 2 3 2 3 3" xfId="18179"/>
    <cellStyle name="Standaard 2 2 2 2 2 2 3 2 4" xfId="18180"/>
    <cellStyle name="Standaard 2 2 2 2 2 2 3 2 4 2" xfId="18181"/>
    <cellStyle name="Standaard 2 2 2 2 2 2 3 2 5" xfId="18182"/>
    <cellStyle name="Standaard 2 2 2 2 2 2 3 2 6" xfId="18183"/>
    <cellStyle name="Standaard 2 2 2 2 2 2 3 3" xfId="18184"/>
    <cellStyle name="Standaard 2 2 2 2 2 2 3 3 2" xfId="18185"/>
    <cellStyle name="Standaard 2 2 2 2 2 2 3 3 2 2" xfId="18186"/>
    <cellStyle name="Standaard 2 2 2 2 2 2 3 3 2 2 2" xfId="18187"/>
    <cellStyle name="Standaard 2 2 2 2 2 2 3 3 2 3" xfId="18188"/>
    <cellStyle name="Standaard 2 2 2 2 2 2 3 3 3" xfId="18189"/>
    <cellStyle name="Standaard 2 2 2 2 2 2 3 3 3 2" xfId="18190"/>
    <cellStyle name="Standaard 2 2 2 2 2 2 3 3 4" xfId="18191"/>
    <cellStyle name="Standaard 2 2 2 2 2 2 3 4" xfId="18192"/>
    <cellStyle name="Standaard 2 2 2 2 2 2 3 4 2" xfId="18193"/>
    <cellStyle name="Standaard 2 2 2 2 2 2 3 4 2 2" xfId="18194"/>
    <cellStyle name="Standaard 2 2 2 2 2 2 3 4 3" xfId="18195"/>
    <cellStyle name="Standaard 2 2 2 2 2 2 3 5" xfId="18196"/>
    <cellStyle name="Standaard 2 2 2 2 2 2 3 5 2" xfId="18197"/>
    <cellStyle name="Standaard 2 2 2 2 2 2 3 6" xfId="18198"/>
    <cellStyle name="Standaard 2 2 2 2 2 2 3 7" xfId="18199"/>
    <cellStyle name="Standaard 2 2 2 2 2 2 4" xfId="18200"/>
    <cellStyle name="Standaard 2 2 2 2 2 2 4 2" xfId="18201"/>
    <cellStyle name="Standaard 2 2 2 2 2 2 4 2 2" xfId="18202"/>
    <cellStyle name="Standaard 2 2 2 2 2 2 4 2 2 2" xfId="18203"/>
    <cellStyle name="Standaard 2 2 2 2 2 2 4 2 2 2 2" xfId="18204"/>
    <cellStyle name="Standaard 2 2 2 2 2 2 4 2 2 3" xfId="18205"/>
    <cellStyle name="Standaard 2 2 2 2 2 2 4 2 3" xfId="18206"/>
    <cellStyle name="Standaard 2 2 2 2 2 2 4 2 3 2" xfId="18207"/>
    <cellStyle name="Standaard 2 2 2 2 2 2 4 2 4" xfId="18208"/>
    <cellStyle name="Standaard 2 2 2 2 2 2 4 3" xfId="18209"/>
    <cellStyle name="Standaard 2 2 2 2 2 2 4 3 2" xfId="18210"/>
    <cellStyle name="Standaard 2 2 2 2 2 2 4 3 2 2" xfId="18211"/>
    <cellStyle name="Standaard 2 2 2 2 2 2 4 3 3" xfId="18212"/>
    <cellStyle name="Standaard 2 2 2 2 2 2 4 4" xfId="18213"/>
    <cellStyle name="Standaard 2 2 2 2 2 2 4 4 2" xfId="18214"/>
    <cellStyle name="Standaard 2 2 2 2 2 2 4 5" xfId="18215"/>
    <cellStyle name="Standaard 2 2 2 2 2 2 4 6" xfId="18216"/>
    <cellStyle name="Standaard 2 2 2 2 2 2 5" xfId="18217"/>
    <cellStyle name="Standaard 2 2 2 2 2 2 5 2" xfId="18218"/>
    <cellStyle name="Standaard 2 2 2 2 2 2 5 2 2" xfId="18219"/>
    <cellStyle name="Standaard 2 2 2 2 2 2 5 2 2 2" xfId="18220"/>
    <cellStyle name="Standaard 2 2 2 2 2 2 5 2 3" xfId="18221"/>
    <cellStyle name="Standaard 2 2 2 2 2 2 5 3" xfId="18222"/>
    <cellStyle name="Standaard 2 2 2 2 2 2 5 3 2" xfId="18223"/>
    <cellStyle name="Standaard 2 2 2 2 2 2 5 4" xfId="18224"/>
    <cellStyle name="Standaard 2 2 2 2 2 2 6" xfId="18225"/>
    <cellStyle name="Standaard 2 2 2 2 2 2 6 2" xfId="18226"/>
    <cellStyle name="Standaard 2 2 2 2 2 2 6 2 2" xfId="18227"/>
    <cellStyle name="Standaard 2 2 2 2 2 2 6 3" xfId="18228"/>
    <cellStyle name="Standaard 2 2 2 2 2 2 7" xfId="18229"/>
    <cellStyle name="Standaard 2 2 2 2 2 2 7 2" xfId="18230"/>
    <cellStyle name="Standaard 2 2 2 2 2 2 8" xfId="18231"/>
    <cellStyle name="Standaard 2 2 2 2 2 2 9" xfId="18232"/>
    <cellStyle name="Standaard 2 2 2 2 2 3" xfId="18233"/>
    <cellStyle name="Standaard 2 2 2 2 2 3 2" xfId="18234"/>
    <cellStyle name="Standaard 2 2 2 2 2 3 2 2" xfId="18235"/>
    <cellStyle name="Standaard 2 2 2 2 2 3 2 2 2" xfId="18236"/>
    <cellStyle name="Standaard 2 2 2 2 2 3 2 2 2 2" xfId="18237"/>
    <cellStyle name="Standaard 2 2 2 2 2 3 2 2 2 2 2" xfId="18238"/>
    <cellStyle name="Standaard 2 2 2 2 2 3 2 2 2 2 2 2" xfId="18239"/>
    <cellStyle name="Standaard 2 2 2 2 2 3 2 2 2 2 3" xfId="18240"/>
    <cellStyle name="Standaard 2 2 2 2 2 3 2 2 2 3" xfId="18241"/>
    <cellStyle name="Standaard 2 2 2 2 2 3 2 2 2 3 2" xfId="18242"/>
    <cellStyle name="Standaard 2 2 2 2 2 3 2 2 2 4" xfId="18243"/>
    <cellStyle name="Standaard 2 2 2 2 2 3 2 2 3" xfId="18244"/>
    <cellStyle name="Standaard 2 2 2 2 2 3 2 2 3 2" xfId="18245"/>
    <cellStyle name="Standaard 2 2 2 2 2 3 2 2 3 2 2" xfId="18246"/>
    <cellStyle name="Standaard 2 2 2 2 2 3 2 2 3 3" xfId="18247"/>
    <cellStyle name="Standaard 2 2 2 2 2 3 2 2 4" xfId="18248"/>
    <cellStyle name="Standaard 2 2 2 2 2 3 2 2 4 2" xfId="18249"/>
    <cellStyle name="Standaard 2 2 2 2 2 3 2 2 5" xfId="18250"/>
    <cellStyle name="Standaard 2 2 2 2 2 3 2 2 6" xfId="18251"/>
    <cellStyle name="Standaard 2 2 2 2 2 3 2 3" xfId="18252"/>
    <cellStyle name="Standaard 2 2 2 2 2 3 2 3 2" xfId="18253"/>
    <cellStyle name="Standaard 2 2 2 2 2 3 2 3 2 2" xfId="18254"/>
    <cellStyle name="Standaard 2 2 2 2 2 3 2 3 2 2 2" xfId="18255"/>
    <cellStyle name="Standaard 2 2 2 2 2 3 2 3 2 3" xfId="18256"/>
    <cellStyle name="Standaard 2 2 2 2 2 3 2 3 3" xfId="18257"/>
    <cellStyle name="Standaard 2 2 2 2 2 3 2 3 3 2" xfId="18258"/>
    <cellStyle name="Standaard 2 2 2 2 2 3 2 3 4" xfId="18259"/>
    <cellStyle name="Standaard 2 2 2 2 2 3 2 4" xfId="18260"/>
    <cellStyle name="Standaard 2 2 2 2 2 3 2 4 2" xfId="18261"/>
    <cellStyle name="Standaard 2 2 2 2 2 3 2 4 2 2" xfId="18262"/>
    <cellStyle name="Standaard 2 2 2 2 2 3 2 4 3" xfId="18263"/>
    <cellStyle name="Standaard 2 2 2 2 2 3 2 5" xfId="18264"/>
    <cellStyle name="Standaard 2 2 2 2 2 3 2 5 2" xfId="18265"/>
    <cellStyle name="Standaard 2 2 2 2 2 3 2 6" xfId="18266"/>
    <cellStyle name="Standaard 2 2 2 2 2 3 2 7" xfId="18267"/>
    <cellStyle name="Standaard 2 2 2 2 2 3 3" xfId="18268"/>
    <cellStyle name="Standaard 2 2 2 2 2 3 3 2" xfId="18269"/>
    <cellStyle name="Standaard 2 2 2 2 2 3 3 2 2" xfId="18270"/>
    <cellStyle name="Standaard 2 2 2 2 2 3 3 2 2 2" xfId="18271"/>
    <cellStyle name="Standaard 2 2 2 2 2 3 3 2 2 2 2" xfId="18272"/>
    <cellStyle name="Standaard 2 2 2 2 2 3 3 2 2 3" xfId="18273"/>
    <cellStyle name="Standaard 2 2 2 2 2 3 3 2 3" xfId="18274"/>
    <cellStyle name="Standaard 2 2 2 2 2 3 3 2 3 2" xfId="18275"/>
    <cellStyle name="Standaard 2 2 2 2 2 3 3 2 4" xfId="18276"/>
    <cellStyle name="Standaard 2 2 2 2 2 3 3 3" xfId="18277"/>
    <cellStyle name="Standaard 2 2 2 2 2 3 3 3 2" xfId="18278"/>
    <cellStyle name="Standaard 2 2 2 2 2 3 3 3 2 2" xfId="18279"/>
    <cellStyle name="Standaard 2 2 2 2 2 3 3 3 3" xfId="18280"/>
    <cellStyle name="Standaard 2 2 2 2 2 3 3 4" xfId="18281"/>
    <cellStyle name="Standaard 2 2 2 2 2 3 3 4 2" xfId="18282"/>
    <cellStyle name="Standaard 2 2 2 2 2 3 3 5" xfId="18283"/>
    <cellStyle name="Standaard 2 2 2 2 2 3 3 6" xfId="18284"/>
    <cellStyle name="Standaard 2 2 2 2 2 3 4" xfId="18285"/>
    <cellStyle name="Standaard 2 2 2 2 2 3 4 2" xfId="18286"/>
    <cellStyle name="Standaard 2 2 2 2 2 3 4 2 2" xfId="18287"/>
    <cellStyle name="Standaard 2 2 2 2 2 3 4 2 2 2" xfId="18288"/>
    <cellStyle name="Standaard 2 2 2 2 2 3 4 2 3" xfId="18289"/>
    <cellStyle name="Standaard 2 2 2 2 2 3 4 3" xfId="18290"/>
    <cellStyle name="Standaard 2 2 2 2 2 3 4 3 2" xfId="18291"/>
    <cellStyle name="Standaard 2 2 2 2 2 3 4 4" xfId="18292"/>
    <cellStyle name="Standaard 2 2 2 2 2 3 5" xfId="18293"/>
    <cellStyle name="Standaard 2 2 2 2 2 3 5 2" xfId="18294"/>
    <cellStyle name="Standaard 2 2 2 2 2 3 5 2 2" xfId="18295"/>
    <cellStyle name="Standaard 2 2 2 2 2 3 5 3" xfId="18296"/>
    <cellStyle name="Standaard 2 2 2 2 2 3 6" xfId="18297"/>
    <cellStyle name="Standaard 2 2 2 2 2 3 6 2" xfId="18298"/>
    <cellStyle name="Standaard 2 2 2 2 2 3 7" xfId="18299"/>
    <cellStyle name="Standaard 2 2 2 2 2 3 8" xfId="18300"/>
    <cellStyle name="Standaard 2 2 2 2 2 4" xfId="18301"/>
    <cellStyle name="Standaard 2 2 2 2 2 4 2" xfId="18302"/>
    <cellStyle name="Standaard 2 2 2 2 2 4 2 2" xfId="18303"/>
    <cellStyle name="Standaard 2 2 2 2 2 4 2 2 2" xfId="18304"/>
    <cellStyle name="Standaard 2 2 2 2 2 4 2 2 2 2" xfId="18305"/>
    <cellStyle name="Standaard 2 2 2 2 2 4 2 2 2 2 2" xfId="18306"/>
    <cellStyle name="Standaard 2 2 2 2 2 4 2 2 2 2 2 2" xfId="18307"/>
    <cellStyle name="Standaard 2 2 2 2 2 4 2 2 2 2 3" xfId="18308"/>
    <cellStyle name="Standaard 2 2 2 2 2 4 2 2 2 3" xfId="18309"/>
    <cellStyle name="Standaard 2 2 2 2 2 4 2 2 2 3 2" xfId="18310"/>
    <cellStyle name="Standaard 2 2 2 2 2 4 2 2 2 4" xfId="18311"/>
    <cellStyle name="Standaard 2 2 2 2 2 4 2 2 3" xfId="18312"/>
    <cellStyle name="Standaard 2 2 2 2 2 4 2 2 3 2" xfId="18313"/>
    <cellStyle name="Standaard 2 2 2 2 2 4 2 2 3 2 2" xfId="18314"/>
    <cellStyle name="Standaard 2 2 2 2 2 4 2 2 3 3" xfId="18315"/>
    <cellStyle name="Standaard 2 2 2 2 2 4 2 2 4" xfId="18316"/>
    <cellStyle name="Standaard 2 2 2 2 2 4 2 2 4 2" xfId="18317"/>
    <cellStyle name="Standaard 2 2 2 2 2 4 2 2 5" xfId="18318"/>
    <cellStyle name="Standaard 2 2 2 2 2 4 2 2 6" xfId="18319"/>
    <cellStyle name="Standaard 2 2 2 2 2 4 2 3" xfId="18320"/>
    <cellStyle name="Standaard 2 2 2 2 2 4 2 3 2" xfId="18321"/>
    <cellStyle name="Standaard 2 2 2 2 2 4 2 3 2 2" xfId="18322"/>
    <cellStyle name="Standaard 2 2 2 2 2 4 2 3 2 2 2" xfId="18323"/>
    <cellStyle name="Standaard 2 2 2 2 2 4 2 3 2 3" xfId="18324"/>
    <cellStyle name="Standaard 2 2 2 2 2 4 2 3 3" xfId="18325"/>
    <cellStyle name="Standaard 2 2 2 2 2 4 2 3 3 2" xfId="18326"/>
    <cellStyle name="Standaard 2 2 2 2 2 4 2 3 4" xfId="18327"/>
    <cellStyle name="Standaard 2 2 2 2 2 4 2 4" xfId="18328"/>
    <cellStyle name="Standaard 2 2 2 2 2 4 2 4 2" xfId="18329"/>
    <cellStyle name="Standaard 2 2 2 2 2 4 2 4 2 2" xfId="18330"/>
    <cellStyle name="Standaard 2 2 2 2 2 4 2 4 3" xfId="18331"/>
    <cellStyle name="Standaard 2 2 2 2 2 4 2 5" xfId="18332"/>
    <cellStyle name="Standaard 2 2 2 2 2 4 2 5 2" xfId="18333"/>
    <cellStyle name="Standaard 2 2 2 2 2 4 2 6" xfId="18334"/>
    <cellStyle name="Standaard 2 2 2 2 2 4 2 7" xfId="18335"/>
    <cellStyle name="Standaard 2 2 2 2 2 4 3" xfId="18336"/>
    <cellStyle name="Standaard 2 2 2 2 2 4 3 2" xfId="18337"/>
    <cellStyle name="Standaard 2 2 2 2 2 4 3 2 2" xfId="18338"/>
    <cellStyle name="Standaard 2 2 2 2 2 4 3 2 2 2" xfId="18339"/>
    <cellStyle name="Standaard 2 2 2 2 2 4 3 2 2 2 2" xfId="18340"/>
    <cellStyle name="Standaard 2 2 2 2 2 4 3 2 2 3" xfId="18341"/>
    <cellStyle name="Standaard 2 2 2 2 2 4 3 2 3" xfId="18342"/>
    <cellStyle name="Standaard 2 2 2 2 2 4 3 2 3 2" xfId="18343"/>
    <cellStyle name="Standaard 2 2 2 2 2 4 3 2 4" xfId="18344"/>
    <cellStyle name="Standaard 2 2 2 2 2 4 3 3" xfId="18345"/>
    <cellStyle name="Standaard 2 2 2 2 2 4 3 3 2" xfId="18346"/>
    <cellStyle name="Standaard 2 2 2 2 2 4 3 3 2 2" xfId="18347"/>
    <cellStyle name="Standaard 2 2 2 2 2 4 3 3 3" xfId="18348"/>
    <cellStyle name="Standaard 2 2 2 2 2 4 3 4" xfId="18349"/>
    <cellStyle name="Standaard 2 2 2 2 2 4 3 4 2" xfId="18350"/>
    <cellStyle name="Standaard 2 2 2 2 2 4 3 5" xfId="18351"/>
    <cellStyle name="Standaard 2 2 2 2 2 4 3 6" xfId="18352"/>
    <cellStyle name="Standaard 2 2 2 2 2 4 4" xfId="18353"/>
    <cellStyle name="Standaard 2 2 2 2 2 4 4 2" xfId="18354"/>
    <cellStyle name="Standaard 2 2 2 2 2 4 4 2 2" xfId="18355"/>
    <cellStyle name="Standaard 2 2 2 2 2 4 4 2 2 2" xfId="18356"/>
    <cellStyle name="Standaard 2 2 2 2 2 4 4 2 3" xfId="18357"/>
    <cellStyle name="Standaard 2 2 2 2 2 4 4 3" xfId="18358"/>
    <cellStyle name="Standaard 2 2 2 2 2 4 4 3 2" xfId="18359"/>
    <cellStyle name="Standaard 2 2 2 2 2 4 4 4" xfId="18360"/>
    <cellStyle name="Standaard 2 2 2 2 2 4 5" xfId="18361"/>
    <cellStyle name="Standaard 2 2 2 2 2 4 5 2" xfId="18362"/>
    <cellStyle name="Standaard 2 2 2 2 2 4 5 2 2" xfId="18363"/>
    <cellStyle name="Standaard 2 2 2 2 2 4 5 3" xfId="18364"/>
    <cellStyle name="Standaard 2 2 2 2 2 4 6" xfId="18365"/>
    <cellStyle name="Standaard 2 2 2 2 2 4 6 2" xfId="18366"/>
    <cellStyle name="Standaard 2 2 2 2 2 4 7" xfId="18367"/>
    <cellStyle name="Standaard 2 2 2 2 2 4 8" xfId="18368"/>
    <cellStyle name="Standaard 2 2 2 2 2 5" xfId="18369"/>
    <cellStyle name="Standaard 2 2 2 2 2 5 2" xfId="18370"/>
    <cellStyle name="Standaard 2 2 2 2 2 5 2 2" xfId="18371"/>
    <cellStyle name="Standaard 2 2 2 2 2 5 2 2 2" xfId="18372"/>
    <cellStyle name="Standaard 2 2 2 2 2 5 2 2 2 2" xfId="18373"/>
    <cellStyle name="Standaard 2 2 2 2 2 5 2 2 2 2 2" xfId="18374"/>
    <cellStyle name="Standaard 2 2 2 2 2 5 2 2 2 3" xfId="18375"/>
    <cellStyle name="Standaard 2 2 2 2 2 5 2 2 3" xfId="18376"/>
    <cellStyle name="Standaard 2 2 2 2 2 5 2 2 3 2" xfId="18377"/>
    <cellStyle name="Standaard 2 2 2 2 2 5 2 2 4" xfId="18378"/>
    <cellStyle name="Standaard 2 2 2 2 2 5 2 3" xfId="18379"/>
    <cellStyle name="Standaard 2 2 2 2 2 5 2 3 2" xfId="18380"/>
    <cellStyle name="Standaard 2 2 2 2 2 5 2 3 2 2" xfId="18381"/>
    <cellStyle name="Standaard 2 2 2 2 2 5 2 3 3" xfId="18382"/>
    <cellStyle name="Standaard 2 2 2 2 2 5 2 4" xfId="18383"/>
    <cellStyle name="Standaard 2 2 2 2 2 5 2 4 2" xfId="18384"/>
    <cellStyle name="Standaard 2 2 2 2 2 5 2 5" xfId="18385"/>
    <cellStyle name="Standaard 2 2 2 2 2 5 2 6" xfId="18386"/>
    <cellStyle name="Standaard 2 2 2 2 2 5 3" xfId="18387"/>
    <cellStyle name="Standaard 2 2 2 2 2 5 3 2" xfId="18388"/>
    <cellStyle name="Standaard 2 2 2 2 2 5 3 2 2" xfId="18389"/>
    <cellStyle name="Standaard 2 2 2 2 2 5 3 2 2 2" xfId="18390"/>
    <cellStyle name="Standaard 2 2 2 2 2 5 3 2 3" xfId="18391"/>
    <cellStyle name="Standaard 2 2 2 2 2 5 3 3" xfId="18392"/>
    <cellStyle name="Standaard 2 2 2 2 2 5 3 3 2" xfId="18393"/>
    <cellStyle name="Standaard 2 2 2 2 2 5 3 4" xfId="18394"/>
    <cellStyle name="Standaard 2 2 2 2 2 5 4" xfId="18395"/>
    <cellStyle name="Standaard 2 2 2 2 2 5 4 2" xfId="18396"/>
    <cellStyle name="Standaard 2 2 2 2 2 5 4 2 2" xfId="18397"/>
    <cellStyle name="Standaard 2 2 2 2 2 5 4 3" xfId="18398"/>
    <cellStyle name="Standaard 2 2 2 2 2 5 5" xfId="18399"/>
    <cellStyle name="Standaard 2 2 2 2 2 5 5 2" xfId="18400"/>
    <cellStyle name="Standaard 2 2 2 2 2 5 6" xfId="18401"/>
    <cellStyle name="Standaard 2 2 2 2 2 5 7" xfId="18402"/>
    <cellStyle name="Standaard 2 2 2 2 2 6" xfId="18403"/>
    <cellStyle name="Standaard 2 2 2 2 2 6 2" xfId="18404"/>
    <cellStyle name="Standaard 2 2 2 2 2 6 2 2" xfId="18405"/>
    <cellStyle name="Standaard 2 2 2 2 2 6 2 2 2" xfId="18406"/>
    <cellStyle name="Standaard 2 2 2 2 2 6 2 2 2 2" xfId="18407"/>
    <cellStyle name="Standaard 2 2 2 2 2 6 2 2 3" xfId="18408"/>
    <cellStyle name="Standaard 2 2 2 2 2 6 2 3" xfId="18409"/>
    <cellStyle name="Standaard 2 2 2 2 2 6 2 3 2" xfId="18410"/>
    <cellStyle name="Standaard 2 2 2 2 2 6 2 4" xfId="18411"/>
    <cellStyle name="Standaard 2 2 2 2 2 6 3" xfId="18412"/>
    <cellStyle name="Standaard 2 2 2 2 2 6 3 2" xfId="18413"/>
    <cellStyle name="Standaard 2 2 2 2 2 6 3 2 2" xfId="18414"/>
    <cellStyle name="Standaard 2 2 2 2 2 6 3 3" xfId="18415"/>
    <cellStyle name="Standaard 2 2 2 2 2 6 4" xfId="18416"/>
    <cellStyle name="Standaard 2 2 2 2 2 6 4 2" xfId="18417"/>
    <cellStyle name="Standaard 2 2 2 2 2 6 5" xfId="18418"/>
    <cellStyle name="Standaard 2 2 2 2 2 6 6" xfId="18419"/>
    <cellStyle name="Standaard 2 2 2 2 2 7" xfId="18420"/>
    <cellStyle name="Standaard 2 2 2 2 2 7 2" xfId="18421"/>
    <cellStyle name="Standaard 2 2 2 2 2 7 2 2" xfId="18422"/>
    <cellStyle name="Standaard 2 2 2 2 2 7 2 2 2" xfId="18423"/>
    <cellStyle name="Standaard 2 2 2 2 2 7 2 3" xfId="18424"/>
    <cellStyle name="Standaard 2 2 2 2 2 7 3" xfId="18425"/>
    <cellStyle name="Standaard 2 2 2 2 2 7 3 2" xfId="18426"/>
    <cellStyle name="Standaard 2 2 2 2 2 7 4" xfId="18427"/>
    <cellStyle name="Standaard 2 2 2 2 2 8" xfId="18428"/>
    <cellStyle name="Standaard 2 2 2 2 2 8 2" xfId="18429"/>
    <cellStyle name="Standaard 2 2 2 2 2 8 2 2" xfId="18430"/>
    <cellStyle name="Standaard 2 2 2 2 2 8 3" xfId="18431"/>
    <cellStyle name="Standaard 2 2 2 2 2 9" xfId="18432"/>
    <cellStyle name="Standaard 2 2 2 2 2 9 2" xfId="18433"/>
    <cellStyle name="Standaard 2 2 2 2 3" xfId="18434"/>
    <cellStyle name="Standaard 2 2 2 2 3 2" xfId="18435"/>
    <cellStyle name="Standaard 2 2 2 2 3 2 2" xfId="18436"/>
    <cellStyle name="Standaard 2 2 2 2 3 2 2 2" xfId="18437"/>
    <cellStyle name="Standaard 2 2 2 2 3 2 2 2 2" xfId="18438"/>
    <cellStyle name="Standaard 2 2 2 2 3 2 2 2 2 2" xfId="18439"/>
    <cellStyle name="Standaard 2 2 2 2 3 2 2 2 2 2 2" xfId="18440"/>
    <cellStyle name="Standaard 2 2 2 2 3 2 2 2 2 2 2 2" xfId="18441"/>
    <cellStyle name="Standaard 2 2 2 2 3 2 2 2 2 2 3" xfId="18442"/>
    <cellStyle name="Standaard 2 2 2 2 3 2 2 2 2 3" xfId="18443"/>
    <cellStyle name="Standaard 2 2 2 2 3 2 2 2 2 3 2" xfId="18444"/>
    <cellStyle name="Standaard 2 2 2 2 3 2 2 2 2 4" xfId="18445"/>
    <cellStyle name="Standaard 2 2 2 2 3 2 2 2 3" xfId="18446"/>
    <cellStyle name="Standaard 2 2 2 2 3 2 2 2 3 2" xfId="18447"/>
    <cellStyle name="Standaard 2 2 2 2 3 2 2 2 3 2 2" xfId="18448"/>
    <cellStyle name="Standaard 2 2 2 2 3 2 2 2 3 3" xfId="18449"/>
    <cellStyle name="Standaard 2 2 2 2 3 2 2 2 4" xfId="18450"/>
    <cellStyle name="Standaard 2 2 2 2 3 2 2 2 4 2" xfId="18451"/>
    <cellStyle name="Standaard 2 2 2 2 3 2 2 2 5" xfId="18452"/>
    <cellStyle name="Standaard 2 2 2 2 3 2 2 2 6" xfId="18453"/>
    <cellStyle name="Standaard 2 2 2 2 3 2 2 3" xfId="18454"/>
    <cellStyle name="Standaard 2 2 2 2 3 2 2 3 2" xfId="18455"/>
    <cellStyle name="Standaard 2 2 2 2 3 2 2 3 2 2" xfId="18456"/>
    <cellStyle name="Standaard 2 2 2 2 3 2 2 3 2 2 2" xfId="18457"/>
    <cellStyle name="Standaard 2 2 2 2 3 2 2 3 2 3" xfId="18458"/>
    <cellStyle name="Standaard 2 2 2 2 3 2 2 3 3" xfId="18459"/>
    <cellStyle name="Standaard 2 2 2 2 3 2 2 3 3 2" xfId="18460"/>
    <cellStyle name="Standaard 2 2 2 2 3 2 2 3 4" xfId="18461"/>
    <cellStyle name="Standaard 2 2 2 2 3 2 2 4" xfId="18462"/>
    <cellStyle name="Standaard 2 2 2 2 3 2 2 4 2" xfId="18463"/>
    <cellStyle name="Standaard 2 2 2 2 3 2 2 4 2 2" xfId="18464"/>
    <cellStyle name="Standaard 2 2 2 2 3 2 2 4 3" xfId="18465"/>
    <cellStyle name="Standaard 2 2 2 2 3 2 2 5" xfId="18466"/>
    <cellStyle name="Standaard 2 2 2 2 3 2 2 5 2" xfId="18467"/>
    <cellStyle name="Standaard 2 2 2 2 3 2 2 6" xfId="18468"/>
    <cellStyle name="Standaard 2 2 2 2 3 2 2 7" xfId="18469"/>
    <cellStyle name="Standaard 2 2 2 2 3 2 3" xfId="18470"/>
    <cellStyle name="Standaard 2 2 2 2 3 2 3 2" xfId="18471"/>
    <cellStyle name="Standaard 2 2 2 2 3 2 3 2 2" xfId="18472"/>
    <cellStyle name="Standaard 2 2 2 2 3 2 3 2 2 2" xfId="18473"/>
    <cellStyle name="Standaard 2 2 2 2 3 2 3 2 2 2 2" xfId="18474"/>
    <cellStyle name="Standaard 2 2 2 2 3 2 3 2 2 3" xfId="18475"/>
    <cellStyle name="Standaard 2 2 2 2 3 2 3 2 3" xfId="18476"/>
    <cellStyle name="Standaard 2 2 2 2 3 2 3 2 3 2" xfId="18477"/>
    <cellStyle name="Standaard 2 2 2 2 3 2 3 2 4" xfId="18478"/>
    <cellStyle name="Standaard 2 2 2 2 3 2 3 3" xfId="18479"/>
    <cellStyle name="Standaard 2 2 2 2 3 2 3 3 2" xfId="18480"/>
    <cellStyle name="Standaard 2 2 2 2 3 2 3 3 2 2" xfId="18481"/>
    <cellStyle name="Standaard 2 2 2 2 3 2 3 3 3" xfId="18482"/>
    <cellStyle name="Standaard 2 2 2 2 3 2 3 4" xfId="18483"/>
    <cellStyle name="Standaard 2 2 2 2 3 2 3 4 2" xfId="18484"/>
    <cellStyle name="Standaard 2 2 2 2 3 2 3 5" xfId="18485"/>
    <cellStyle name="Standaard 2 2 2 2 3 2 3 6" xfId="18486"/>
    <cellStyle name="Standaard 2 2 2 2 3 2 4" xfId="18487"/>
    <cellStyle name="Standaard 2 2 2 2 3 2 4 2" xfId="18488"/>
    <cellStyle name="Standaard 2 2 2 2 3 2 4 2 2" xfId="18489"/>
    <cellStyle name="Standaard 2 2 2 2 3 2 4 2 2 2" xfId="18490"/>
    <cellStyle name="Standaard 2 2 2 2 3 2 4 2 3" xfId="18491"/>
    <cellStyle name="Standaard 2 2 2 2 3 2 4 3" xfId="18492"/>
    <cellStyle name="Standaard 2 2 2 2 3 2 4 3 2" xfId="18493"/>
    <cellStyle name="Standaard 2 2 2 2 3 2 4 4" xfId="18494"/>
    <cellStyle name="Standaard 2 2 2 2 3 2 5" xfId="18495"/>
    <cellStyle name="Standaard 2 2 2 2 3 2 5 2" xfId="18496"/>
    <cellStyle name="Standaard 2 2 2 2 3 2 5 2 2" xfId="18497"/>
    <cellStyle name="Standaard 2 2 2 2 3 2 5 3" xfId="18498"/>
    <cellStyle name="Standaard 2 2 2 2 3 2 6" xfId="18499"/>
    <cellStyle name="Standaard 2 2 2 2 3 2 6 2" xfId="18500"/>
    <cellStyle name="Standaard 2 2 2 2 3 2 7" xfId="18501"/>
    <cellStyle name="Standaard 2 2 2 2 3 2 8" xfId="18502"/>
    <cellStyle name="Standaard 2 2 2 2 3 3" xfId="18503"/>
    <cellStyle name="Standaard 2 2 2 2 3 3 2" xfId="18504"/>
    <cellStyle name="Standaard 2 2 2 2 3 3 2 2" xfId="18505"/>
    <cellStyle name="Standaard 2 2 2 2 3 3 2 2 2" xfId="18506"/>
    <cellStyle name="Standaard 2 2 2 2 3 3 2 2 2 2" xfId="18507"/>
    <cellStyle name="Standaard 2 2 2 2 3 3 2 2 2 2 2" xfId="18508"/>
    <cellStyle name="Standaard 2 2 2 2 3 3 2 2 2 3" xfId="18509"/>
    <cellStyle name="Standaard 2 2 2 2 3 3 2 2 3" xfId="18510"/>
    <cellStyle name="Standaard 2 2 2 2 3 3 2 2 3 2" xfId="18511"/>
    <cellStyle name="Standaard 2 2 2 2 3 3 2 2 4" xfId="18512"/>
    <cellStyle name="Standaard 2 2 2 2 3 3 2 3" xfId="18513"/>
    <cellStyle name="Standaard 2 2 2 2 3 3 2 3 2" xfId="18514"/>
    <cellStyle name="Standaard 2 2 2 2 3 3 2 3 2 2" xfId="18515"/>
    <cellStyle name="Standaard 2 2 2 2 3 3 2 3 3" xfId="18516"/>
    <cellStyle name="Standaard 2 2 2 2 3 3 2 4" xfId="18517"/>
    <cellStyle name="Standaard 2 2 2 2 3 3 2 4 2" xfId="18518"/>
    <cellStyle name="Standaard 2 2 2 2 3 3 2 5" xfId="18519"/>
    <cellStyle name="Standaard 2 2 2 2 3 3 2 6" xfId="18520"/>
    <cellStyle name="Standaard 2 2 2 2 3 3 3" xfId="18521"/>
    <cellStyle name="Standaard 2 2 2 2 3 3 3 2" xfId="18522"/>
    <cellStyle name="Standaard 2 2 2 2 3 3 3 2 2" xfId="18523"/>
    <cellStyle name="Standaard 2 2 2 2 3 3 3 2 2 2" xfId="18524"/>
    <cellStyle name="Standaard 2 2 2 2 3 3 3 2 3" xfId="18525"/>
    <cellStyle name="Standaard 2 2 2 2 3 3 3 3" xfId="18526"/>
    <cellStyle name="Standaard 2 2 2 2 3 3 3 3 2" xfId="18527"/>
    <cellStyle name="Standaard 2 2 2 2 3 3 3 4" xfId="18528"/>
    <cellStyle name="Standaard 2 2 2 2 3 3 4" xfId="18529"/>
    <cellStyle name="Standaard 2 2 2 2 3 3 4 2" xfId="18530"/>
    <cellStyle name="Standaard 2 2 2 2 3 3 4 2 2" xfId="18531"/>
    <cellStyle name="Standaard 2 2 2 2 3 3 4 3" xfId="18532"/>
    <cellStyle name="Standaard 2 2 2 2 3 3 5" xfId="18533"/>
    <cellStyle name="Standaard 2 2 2 2 3 3 5 2" xfId="18534"/>
    <cellStyle name="Standaard 2 2 2 2 3 3 6" xfId="18535"/>
    <cellStyle name="Standaard 2 2 2 2 3 3 7" xfId="18536"/>
    <cellStyle name="Standaard 2 2 2 2 3 4" xfId="18537"/>
    <cellStyle name="Standaard 2 2 2 2 3 4 2" xfId="18538"/>
    <cellStyle name="Standaard 2 2 2 2 3 4 2 2" xfId="18539"/>
    <cellStyle name="Standaard 2 2 2 2 3 4 2 2 2" xfId="18540"/>
    <cellStyle name="Standaard 2 2 2 2 3 4 2 2 2 2" xfId="18541"/>
    <cellStyle name="Standaard 2 2 2 2 3 4 2 2 3" xfId="18542"/>
    <cellStyle name="Standaard 2 2 2 2 3 4 2 3" xfId="18543"/>
    <cellStyle name="Standaard 2 2 2 2 3 4 2 3 2" xfId="18544"/>
    <cellStyle name="Standaard 2 2 2 2 3 4 2 4" xfId="18545"/>
    <cellStyle name="Standaard 2 2 2 2 3 4 3" xfId="18546"/>
    <cellStyle name="Standaard 2 2 2 2 3 4 3 2" xfId="18547"/>
    <cellStyle name="Standaard 2 2 2 2 3 4 3 2 2" xfId="18548"/>
    <cellStyle name="Standaard 2 2 2 2 3 4 3 3" xfId="18549"/>
    <cellStyle name="Standaard 2 2 2 2 3 4 4" xfId="18550"/>
    <cellStyle name="Standaard 2 2 2 2 3 4 4 2" xfId="18551"/>
    <cellStyle name="Standaard 2 2 2 2 3 4 5" xfId="18552"/>
    <cellStyle name="Standaard 2 2 2 2 3 4 6" xfId="18553"/>
    <cellStyle name="Standaard 2 2 2 2 3 5" xfId="18554"/>
    <cellStyle name="Standaard 2 2 2 2 3 5 2" xfId="18555"/>
    <cellStyle name="Standaard 2 2 2 2 3 5 2 2" xfId="18556"/>
    <cellStyle name="Standaard 2 2 2 2 3 5 2 2 2" xfId="18557"/>
    <cellStyle name="Standaard 2 2 2 2 3 5 2 3" xfId="18558"/>
    <cellStyle name="Standaard 2 2 2 2 3 5 3" xfId="18559"/>
    <cellStyle name="Standaard 2 2 2 2 3 5 3 2" xfId="18560"/>
    <cellStyle name="Standaard 2 2 2 2 3 5 4" xfId="18561"/>
    <cellStyle name="Standaard 2 2 2 2 3 6" xfId="18562"/>
    <cellStyle name="Standaard 2 2 2 2 3 6 2" xfId="18563"/>
    <cellStyle name="Standaard 2 2 2 2 3 6 2 2" xfId="18564"/>
    <cellStyle name="Standaard 2 2 2 2 3 6 3" xfId="18565"/>
    <cellStyle name="Standaard 2 2 2 2 3 7" xfId="18566"/>
    <cellStyle name="Standaard 2 2 2 2 3 7 2" xfId="18567"/>
    <cellStyle name="Standaard 2 2 2 2 3 8" xfId="18568"/>
    <cellStyle name="Standaard 2 2 2 2 3 9" xfId="18569"/>
    <cellStyle name="Standaard 2 2 2 2 4" xfId="18570"/>
    <cellStyle name="Standaard 2 2 2 2 4 2" xfId="18571"/>
    <cellStyle name="Standaard 2 2 2 2 4 2 2" xfId="18572"/>
    <cellStyle name="Standaard 2 2 2 2 4 2 2 2" xfId="18573"/>
    <cellStyle name="Standaard 2 2 2 2 4 2 2 2 2" xfId="18574"/>
    <cellStyle name="Standaard 2 2 2 2 4 2 2 2 2 2" xfId="18575"/>
    <cellStyle name="Standaard 2 2 2 2 4 2 2 2 2 2 2" xfId="18576"/>
    <cellStyle name="Standaard 2 2 2 2 4 2 2 2 2 3" xfId="18577"/>
    <cellStyle name="Standaard 2 2 2 2 4 2 2 2 3" xfId="18578"/>
    <cellStyle name="Standaard 2 2 2 2 4 2 2 2 3 2" xfId="18579"/>
    <cellStyle name="Standaard 2 2 2 2 4 2 2 2 4" xfId="18580"/>
    <cellStyle name="Standaard 2 2 2 2 4 2 2 3" xfId="18581"/>
    <cellStyle name="Standaard 2 2 2 2 4 2 2 3 2" xfId="18582"/>
    <cellStyle name="Standaard 2 2 2 2 4 2 2 3 2 2" xfId="18583"/>
    <cellStyle name="Standaard 2 2 2 2 4 2 2 3 3" xfId="18584"/>
    <cellStyle name="Standaard 2 2 2 2 4 2 2 4" xfId="18585"/>
    <cellStyle name="Standaard 2 2 2 2 4 2 2 4 2" xfId="18586"/>
    <cellStyle name="Standaard 2 2 2 2 4 2 2 5" xfId="18587"/>
    <cellStyle name="Standaard 2 2 2 2 4 2 2 6" xfId="18588"/>
    <cellStyle name="Standaard 2 2 2 2 4 2 3" xfId="18589"/>
    <cellStyle name="Standaard 2 2 2 2 4 2 3 2" xfId="18590"/>
    <cellStyle name="Standaard 2 2 2 2 4 2 3 2 2" xfId="18591"/>
    <cellStyle name="Standaard 2 2 2 2 4 2 3 2 2 2" xfId="18592"/>
    <cellStyle name="Standaard 2 2 2 2 4 2 3 2 3" xfId="18593"/>
    <cellStyle name="Standaard 2 2 2 2 4 2 3 3" xfId="18594"/>
    <cellStyle name="Standaard 2 2 2 2 4 2 3 3 2" xfId="18595"/>
    <cellStyle name="Standaard 2 2 2 2 4 2 3 4" xfId="18596"/>
    <cellStyle name="Standaard 2 2 2 2 4 2 4" xfId="18597"/>
    <cellStyle name="Standaard 2 2 2 2 4 2 4 2" xfId="18598"/>
    <cellStyle name="Standaard 2 2 2 2 4 2 4 2 2" xfId="18599"/>
    <cellStyle name="Standaard 2 2 2 2 4 2 4 3" xfId="18600"/>
    <cellStyle name="Standaard 2 2 2 2 4 2 5" xfId="18601"/>
    <cellStyle name="Standaard 2 2 2 2 4 2 5 2" xfId="18602"/>
    <cellStyle name="Standaard 2 2 2 2 4 2 6" xfId="18603"/>
    <cellStyle name="Standaard 2 2 2 2 4 2 7" xfId="18604"/>
    <cellStyle name="Standaard 2 2 2 2 4 3" xfId="18605"/>
    <cellStyle name="Standaard 2 2 2 2 4 3 2" xfId="18606"/>
    <cellStyle name="Standaard 2 2 2 2 4 3 2 2" xfId="18607"/>
    <cellStyle name="Standaard 2 2 2 2 4 3 2 2 2" xfId="18608"/>
    <cellStyle name="Standaard 2 2 2 2 4 3 2 2 2 2" xfId="18609"/>
    <cellStyle name="Standaard 2 2 2 2 4 3 2 2 3" xfId="18610"/>
    <cellStyle name="Standaard 2 2 2 2 4 3 2 3" xfId="18611"/>
    <cellStyle name="Standaard 2 2 2 2 4 3 2 3 2" xfId="18612"/>
    <cellStyle name="Standaard 2 2 2 2 4 3 2 4" xfId="18613"/>
    <cellStyle name="Standaard 2 2 2 2 4 3 3" xfId="18614"/>
    <cellStyle name="Standaard 2 2 2 2 4 3 3 2" xfId="18615"/>
    <cellStyle name="Standaard 2 2 2 2 4 3 3 2 2" xfId="18616"/>
    <cellStyle name="Standaard 2 2 2 2 4 3 3 3" xfId="18617"/>
    <cellStyle name="Standaard 2 2 2 2 4 3 4" xfId="18618"/>
    <cellStyle name="Standaard 2 2 2 2 4 3 4 2" xfId="18619"/>
    <cellStyle name="Standaard 2 2 2 2 4 3 5" xfId="18620"/>
    <cellStyle name="Standaard 2 2 2 2 4 3 6" xfId="18621"/>
    <cellStyle name="Standaard 2 2 2 2 4 4" xfId="18622"/>
    <cellStyle name="Standaard 2 2 2 2 4 4 2" xfId="18623"/>
    <cellStyle name="Standaard 2 2 2 2 4 4 2 2" xfId="18624"/>
    <cellStyle name="Standaard 2 2 2 2 4 4 2 2 2" xfId="18625"/>
    <cellStyle name="Standaard 2 2 2 2 4 4 2 3" xfId="18626"/>
    <cellStyle name="Standaard 2 2 2 2 4 4 3" xfId="18627"/>
    <cellStyle name="Standaard 2 2 2 2 4 4 3 2" xfId="18628"/>
    <cellStyle name="Standaard 2 2 2 2 4 4 4" xfId="18629"/>
    <cellStyle name="Standaard 2 2 2 2 4 5" xfId="18630"/>
    <cellStyle name="Standaard 2 2 2 2 4 5 2" xfId="18631"/>
    <cellStyle name="Standaard 2 2 2 2 4 5 2 2" xfId="18632"/>
    <cellStyle name="Standaard 2 2 2 2 4 5 3" xfId="18633"/>
    <cellStyle name="Standaard 2 2 2 2 4 6" xfId="18634"/>
    <cellStyle name="Standaard 2 2 2 2 4 6 2" xfId="18635"/>
    <cellStyle name="Standaard 2 2 2 2 4 7" xfId="18636"/>
    <cellStyle name="Standaard 2 2 2 2 4 8" xfId="18637"/>
    <cellStyle name="Standaard 2 2 2 2 5" xfId="18638"/>
    <cellStyle name="Standaard 2 2 2 2 5 2" xfId="18639"/>
    <cellStyle name="Standaard 2 2 2 2 5 2 2" xfId="18640"/>
    <cellStyle name="Standaard 2 2 2 2 5 2 2 2" xfId="18641"/>
    <cellStyle name="Standaard 2 2 2 2 5 2 2 2 2" xfId="18642"/>
    <cellStyle name="Standaard 2 2 2 2 5 2 2 2 2 2" xfId="18643"/>
    <cellStyle name="Standaard 2 2 2 2 5 2 2 2 2 2 2" xfId="18644"/>
    <cellStyle name="Standaard 2 2 2 2 5 2 2 2 2 3" xfId="18645"/>
    <cellStyle name="Standaard 2 2 2 2 5 2 2 2 3" xfId="18646"/>
    <cellStyle name="Standaard 2 2 2 2 5 2 2 2 3 2" xfId="18647"/>
    <cellStyle name="Standaard 2 2 2 2 5 2 2 2 4" xfId="18648"/>
    <cellStyle name="Standaard 2 2 2 2 5 2 2 3" xfId="18649"/>
    <cellStyle name="Standaard 2 2 2 2 5 2 2 3 2" xfId="18650"/>
    <cellStyle name="Standaard 2 2 2 2 5 2 2 3 2 2" xfId="18651"/>
    <cellStyle name="Standaard 2 2 2 2 5 2 2 3 3" xfId="18652"/>
    <cellStyle name="Standaard 2 2 2 2 5 2 2 4" xfId="18653"/>
    <cellStyle name="Standaard 2 2 2 2 5 2 2 4 2" xfId="18654"/>
    <cellStyle name="Standaard 2 2 2 2 5 2 2 5" xfId="18655"/>
    <cellStyle name="Standaard 2 2 2 2 5 2 2 6" xfId="18656"/>
    <cellStyle name="Standaard 2 2 2 2 5 2 3" xfId="18657"/>
    <cellStyle name="Standaard 2 2 2 2 5 2 3 2" xfId="18658"/>
    <cellStyle name="Standaard 2 2 2 2 5 2 3 2 2" xfId="18659"/>
    <cellStyle name="Standaard 2 2 2 2 5 2 3 2 2 2" xfId="18660"/>
    <cellStyle name="Standaard 2 2 2 2 5 2 3 2 3" xfId="18661"/>
    <cellStyle name="Standaard 2 2 2 2 5 2 3 3" xfId="18662"/>
    <cellStyle name="Standaard 2 2 2 2 5 2 3 3 2" xfId="18663"/>
    <cellStyle name="Standaard 2 2 2 2 5 2 3 4" xfId="18664"/>
    <cellStyle name="Standaard 2 2 2 2 5 2 4" xfId="18665"/>
    <cellStyle name="Standaard 2 2 2 2 5 2 4 2" xfId="18666"/>
    <cellStyle name="Standaard 2 2 2 2 5 2 4 2 2" xfId="18667"/>
    <cellStyle name="Standaard 2 2 2 2 5 2 4 3" xfId="18668"/>
    <cellStyle name="Standaard 2 2 2 2 5 2 5" xfId="18669"/>
    <cellStyle name="Standaard 2 2 2 2 5 2 5 2" xfId="18670"/>
    <cellStyle name="Standaard 2 2 2 2 5 2 6" xfId="18671"/>
    <cellStyle name="Standaard 2 2 2 2 5 2 7" xfId="18672"/>
    <cellStyle name="Standaard 2 2 2 2 5 3" xfId="18673"/>
    <cellStyle name="Standaard 2 2 2 2 5 3 2" xfId="18674"/>
    <cellStyle name="Standaard 2 2 2 2 5 3 2 2" xfId="18675"/>
    <cellStyle name="Standaard 2 2 2 2 5 3 2 2 2" xfId="18676"/>
    <cellStyle name="Standaard 2 2 2 2 5 3 2 2 2 2" xfId="18677"/>
    <cellStyle name="Standaard 2 2 2 2 5 3 2 2 3" xfId="18678"/>
    <cellStyle name="Standaard 2 2 2 2 5 3 2 3" xfId="18679"/>
    <cellStyle name="Standaard 2 2 2 2 5 3 2 3 2" xfId="18680"/>
    <cellStyle name="Standaard 2 2 2 2 5 3 2 4" xfId="18681"/>
    <cellStyle name="Standaard 2 2 2 2 5 3 3" xfId="18682"/>
    <cellStyle name="Standaard 2 2 2 2 5 3 3 2" xfId="18683"/>
    <cellStyle name="Standaard 2 2 2 2 5 3 3 2 2" xfId="18684"/>
    <cellStyle name="Standaard 2 2 2 2 5 3 3 3" xfId="18685"/>
    <cellStyle name="Standaard 2 2 2 2 5 3 4" xfId="18686"/>
    <cellStyle name="Standaard 2 2 2 2 5 3 4 2" xfId="18687"/>
    <cellStyle name="Standaard 2 2 2 2 5 3 5" xfId="18688"/>
    <cellStyle name="Standaard 2 2 2 2 5 3 6" xfId="18689"/>
    <cellStyle name="Standaard 2 2 2 2 5 4" xfId="18690"/>
    <cellStyle name="Standaard 2 2 2 2 5 4 2" xfId="18691"/>
    <cellStyle name="Standaard 2 2 2 2 5 4 2 2" xfId="18692"/>
    <cellStyle name="Standaard 2 2 2 2 5 4 2 2 2" xfId="18693"/>
    <cellStyle name="Standaard 2 2 2 2 5 4 2 3" xfId="18694"/>
    <cellStyle name="Standaard 2 2 2 2 5 4 3" xfId="18695"/>
    <cellStyle name="Standaard 2 2 2 2 5 4 3 2" xfId="18696"/>
    <cellStyle name="Standaard 2 2 2 2 5 4 4" xfId="18697"/>
    <cellStyle name="Standaard 2 2 2 2 5 5" xfId="18698"/>
    <cellStyle name="Standaard 2 2 2 2 5 5 2" xfId="18699"/>
    <cellStyle name="Standaard 2 2 2 2 5 5 2 2" xfId="18700"/>
    <cellStyle name="Standaard 2 2 2 2 5 5 3" xfId="18701"/>
    <cellStyle name="Standaard 2 2 2 2 5 6" xfId="18702"/>
    <cellStyle name="Standaard 2 2 2 2 5 6 2" xfId="18703"/>
    <cellStyle name="Standaard 2 2 2 2 5 7" xfId="18704"/>
    <cellStyle name="Standaard 2 2 2 2 5 8" xfId="18705"/>
    <cellStyle name="Standaard 2 2 2 2 6" xfId="18706"/>
    <cellStyle name="Standaard 2 2 2 2 6 2" xfId="18707"/>
    <cellStyle name="Standaard 2 2 2 2 6 2 2" xfId="18708"/>
    <cellStyle name="Standaard 2 2 2 2 6 2 2 2" xfId="18709"/>
    <cellStyle name="Standaard 2 2 2 2 6 2 2 2 2" xfId="18710"/>
    <cellStyle name="Standaard 2 2 2 2 6 2 2 2 2 2" xfId="18711"/>
    <cellStyle name="Standaard 2 2 2 2 6 2 2 2 3" xfId="18712"/>
    <cellStyle name="Standaard 2 2 2 2 6 2 2 3" xfId="18713"/>
    <cellStyle name="Standaard 2 2 2 2 6 2 2 3 2" xfId="18714"/>
    <cellStyle name="Standaard 2 2 2 2 6 2 2 4" xfId="18715"/>
    <cellStyle name="Standaard 2 2 2 2 6 2 3" xfId="18716"/>
    <cellStyle name="Standaard 2 2 2 2 6 2 3 2" xfId="18717"/>
    <cellStyle name="Standaard 2 2 2 2 6 2 3 2 2" xfId="18718"/>
    <cellStyle name="Standaard 2 2 2 2 6 2 3 3" xfId="18719"/>
    <cellStyle name="Standaard 2 2 2 2 6 2 4" xfId="18720"/>
    <cellStyle name="Standaard 2 2 2 2 6 2 4 2" xfId="18721"/>
    <cellStyle name="Standaard 2 2 2 2 6 2 5" xfId="18722"/>
    <cellStyle name="Standaard 2 2 2 2 6 2 6" xfId="18723"/>
    <cellStyle name="Standaard 2 2 2 2 6 3" xfId="18724"/>
    <cellStyle name="Standaard 2 2 2 2 6 3 2" xfId="18725"/>
    <cellStyle name="Standaard 2 2 2 2 6 3 2 2" xfId="18726"/>
    <cellStyle name="Standaard 2 2 2 2 6 3 2 2 2" xfId="18727"/>
    <cellStyle name="Standaard 2 2 2 2 6 3 2 3" xfId="18728"/>
    <cellStyle name="Standaard 2 2 2 2 6 3 3" xfId="18729"/>
    <cellStyle name="Standaard 2 2 2 2 6 3 3 2" xfId="18730"/>
    <cellStyle name="Standaard 2 2 2 2 6 3 4" xfId="18731"/>
    <cellStyle name="Standaard 2 2 2 2 6 4" xfId="18732"/>
    <cellStyle name="Standaard 2 2 2 2 6 4 2" xfId="18733"/>
    <cellStyle name="Standaard 2 2 2 2 6 4 2 2" xfId="18734"/>
    <cellStyle name="Standaard 2 2 2 2 6 4 3" xfId="18735"/>
    <cellStyle name="Standaard 2 2 2 2 6 5" xfId="18736"/>
    <cellStyle name="Standaard 2 2 2 2 6 5 2" xfId="18737"/>
    <cellStyle name="Standaard 2 2 2 2 6 6" xfId="18738"/>
    <cellStyle name="Standaard 2 2 2 2 6 7" xfId="18739"/>
    <cellStyle name="Standaard 2 2 2 2 7" xfId="18740"/>
    <cellStyle name="Standaard 2 2 2 2 7 2" xfId="18741"/>
    <cellStyle name="Standaard 2 2 2 2 7 2 2" xfId="18742"/>
    <cellStyle name="Standaard 2 2 2 2 7 2 2 2" xfId="18743"/>
    <cellStyle name="Standaard 2 2 2 2 7 2 2 2 2" xfId="18744"/>
    <cellStyle name="Standaard 2 2 2 2 7 2 2 3" xfId="18745"/>
    <cellStyle name="Standaard 2 2 2 2 7 2 3" xfId="18746"/>
    <cellStyle name="Standaard 2 2 2 2 7 2 3 2" xfId="18747"/>
    <cellStyle name="Standaard 2 2 2 2 7 2 4" xfId="18748"/>
    <cellStyle name="Standaard 2 2 2 2 7 3" xfId="18749"/>
    <cellStyle name="Standaard 2 2 2 2 7 3 2" xfId="18750"/>
    <cellStyle name="Standaard 2 2 2 2 7 3 2 2" xfId="18751"/>
    <cellStyle name="Standaard 2 2 2 2 7 3 3" xfId="18752"/>
    <cellStyle name="Standaard 2 2 2 2 7 4" xfId="18753"/>
    <cellStyle name="Standaard 2 2 2 2 7 4 2" xfId="18754"/>
    <cellStyle name="Standaard 2 2 2 2 7 5" xfId="18755"/>
    <cellStyle name="Standaard 2 2 2 2 7 6" xfId="18756"/>
    <cellStyle name="Standaard 2 2 2 2 8" xfId="18757"/>
    <cellStyle name="Standaard 2 2 2 2 8 2" xfId="18758"/>
    <cellStyle name="Standaard 2 2 2 2 8 2 2" xfId="18759"/>
    <cellStyle name="Standaard 2 2 2 2 8 2 2 2" xfId="18760"/>
    <cellStyle name="Standaard 2 2 2 2 8 2 3" xfId="18761"/>
    <cellStyle name="Standaard 2 2 2 2 8 3" xfId="18762"/>
    <cellStyle name="Standaard 2 2 2 2 8 3 2" xfId="18763"/>
    <cellStyle name="Standaard 2 2 2 2 8 4" xfId="18764"/>
    <cellStyle name="Standaard 2 2 2 2 9" xfId="18765"/>
    <cellStyle name="Standaard 2 2 2 2 9 2" xfId="18766"/>
    <cellStyle name="Standaard 2 2 2 2 9 2 2" xfId="18767"/>
    <cellStyle name="Standaard 2 2 2 2 9 3" xfId="18768"/>
    <cellStyle name="Standaard 2 2 2 3" xfId="18769"/>
    <cellStyle name="Standaard 2 2 2 3 10" xfId="18770"/>
    <cellStyle name="Standaard 2 2 2 3 11" xfId="18771"/>
    <cellStyle name="Standaard 2 2 2 3 2" xfId="18772"/>
    <cellStyle name="Standaard 2 2 2 3 2 2" xfId="18773"/>
    <cellStyle name="Standaard 2 2 2 3 2 2 2" xfId="18774"/>
    <cellStyle name="Standaard 2 2 2 3 2 2 2 2" xfId="18775"/>
    <cellStyle name="Standaard 2 2 2 3 2 2 2 2 2" xfId="18776"/>
    <cellStyle name="Standaard 2 2 2 3 2 2 2 2 2 2" xfId="18777"/>
    <cellStyle name="Standaard 2 2 2 3 2 2 2 2 2 2 2" xfId="18778"/>
    <cellStyle name="Standaard 2 2 2 3 2 2 2 2 2 2 2 2" xfId="18779"/>
    <cellStyle name="Standaard 2 2 2 3 2 2 2 2 2 2 3" xfId="18780"/>
    <cellStyle name="Standaard 2 2 2 3 2 2 2 2 2 3" xfId="18781"/>
    <cellStyle name="Standaard 2 2 2 3 2 2 2 2 2 3 2" xfId="18782"/>
    <cellStyle name="Standaard 2 2 2 3 2 2 2 2 2 4" xfId="18783"/>
    <cellStyle name="Standaard 2 2 2 3 2 2 2 2 3" xfId="18784"/>
    <cellStyle name="Standaard 2 2 2 3 2 2 2 2 3 2" xfId="18785"/>
    <cellStyle name="Standaard 2 2 2 3 2 2 2 2 3 2 2" xfId="18786"/>
    <cellStyle name="Standaard 2 2 2 3 2 2 2 2 3 3" xfId="18787"/>
    <cellStyle name="Standaard 2 2 2 3 2 2 2 2 4" xfId="18788"/>
    <cellStyle name="Standaard 2 2 2 3 2 2 2 2 4 2" xfId="18789"/>
    <cellStyle name="Standaard 2 2 2 3 2 2 2 2 5" xfId="18790"/>
    <cellStyle name="Standaard 2 2 2 3 2 2 2 2 6" xfId="18791"/>
    <cellStyle name="Standaard 2 2 2 3 2 2 2 3" xfId="18792"/>
    <cellStyle name="Standaard 2 2 2 3 2 2 2 3 2" xfId="18793"/>
    <cellStyle name="Standaard 2 2 2 3 2 2 2 3 2 2" xfId="18794"/>
    <cellStyle name="Standaard 2 2 2 3 2 2 2 3 2 2 2" xfId="18795"/>
    <cellStyle name="Standaard 2 2 2 3 2 2 2 3 2 3" xfId="18796"/>
    <cellStyle name="Standaard 2 2 2 3 2 2 2 3 3" xfId="18797"/>
    <cellStyle name="Standaard 2 2 2 3 2 2 2 3 3 2" xfId="18798"/>
    <cellStyle name="Standaard 2 2 2 3 2 2 2 3 4" xfId="18799"/>
    <cellStyle name="Standaard 2 2 2 3 2 2 2 4" xfId="18800"/>
    <cellStyle name="Standaard 2 2 2 3 2 2 2 4 2" xfId="18801"/>
    <cellStyle name="Standaard 2 2 2 3 2 2 2 4 2 2" xfId="18802"/>
    <cellStyle name="Standaard 2 2 2 3 2 2 2 4 3" xfId="18803"/>
    <cellStyle name="Standaard 2 2 2 3 2 2 2 5" xfId="18804"/>
    <cellStyle name="Standaard 2 2 2 3 2 2 2 5 2" xfId="18805"/>
    <cellStyle name="Standaard 2 2 2 3 2 2 2 6" xfId="18806"/>
    <cellStyle name="Standaard 2 2 2 3 2 2 2 7" xfId="18807"/>
    <cellStyle name="Standaard 2 2 2 3 2 2 3" xfId="18808"/>
    <cellStyle name="Standaard 2 2 2 3 2 2 3 2" xfId="18809"/>
    <cellStyle name="Standaard 2 2 2 3 2 2 3 2 2" xfId="18810"/>
    <cellStyle name="Standaard 2 2 2 3 2 2 3 2 2 2" xfId="18811"/>
    <cellStyle name="Standaard 2 2 2 3 2 2 3 2 2 2 2" xfId="18812"/>
    <cellStyle name="Standaard 2 2 2 3 2 2 3 2 2 3" xfId="18813"/>
    <cellStyle name="Standaard 2 2 2 3 2 2 3 2 3" xfId="18814"/>
    <cellStyle name="Standaard 2 2 2 3 2 2 3 2 3 2" xfId="18815"/>
    <cellStyle name="Standaard 2 2 2 3 2 2 3 2 4" xfId="18816"/>
    <cellStyle name="Standaard 2 2 2 3 2 2 3 3" xfId="18817"/>
    <cellStyle name="Standaard 2 2 2 3 2 2 3 3 2" xfId="18818"/>
    <cellStyle name="Standaard 2 2 2 3 2 2 3 3 2 2" xfId="18819"/>
    <cellStyle name="Standaard 2 2 2 3 2 2 3 3 3" xfId="18820"/>
    <cellStyle name="Standaard 2 2 2 3 2 2 3 4" xfId="18821"/>
    <cellStyle name="Standaard 2 2 2 3 2 2 3 4 2" xfId="18822"/>
    <cellStyle name="Standaard 2 2 2 3 2 2 3 5" xfId="18823"/>
    <cellStyle name="Standaard 2 2 2 3 2 2 3 6" xfId="18824"/>
    <cellStyle name="Standaard 2 2 2 3 2 2 4" xfId="18825"/>
    <cellStyle name="Standaard 2 2 2 3 2 2 4 2" xfId="18826"/>
    <cellStyle name="Standaard 2 2 2 3 2 2 4 2 2" xfId="18827"/>
    <cellStyle name="Standaard 2 2 2 3 2 2 4 2 2 2" xfId="18828"/>
    <cellStyle name="Standaard 2 2 2 3 2 2 4 2 3" xfId="18829"/>
    <cellStyle name="Standaard 2 2 2 3 2 2 4 3" xfId="18830"/>
    <cellStyle name="Standaard 2 2 2 3 2 2 4 3 2" xfId="18831"/>
    <cellStyle name="Standaard 2 2 2 3 2 2 4 4" xfId="18832"/>
    <cellStyle name="Standaard 2 2 2 3 2 2 5" xfId="18833"/>
    <cellStyle name="Standaard 2 2 2 3 2 2 5 2" xfId="18834"/>
    <cellStyle name="Standaard 2 2 2 3 2 2 5 2 2" xfId="18835"/>
    <cellStyle name="Standaard 2 2 2 3 2 2 5 3" xfId="18836"/>
    <cellStyle name="Standaard 2 2 2 3 2 2 6" xfId="18837"/>
    <cellStyle name="Standaard 2 2 2 3 2 2 6 2" xfId="18838"/>
    <cellStyle name="Standaard 2 2 2 3 2 2 7" xfId="18839"/>
    <cellStyle name="Standaard 2 2 2 3 2 2 8" xfId="18840"/>
    <cellStyle name="Standaard 2 2 2 3 2 3" xfId="18841"/>
    <cellStyle name="Standaard 2 2 2 3 2 3 2" xfId="18842"/>
    <cellStyle name="Standaard 2 2 2 3 2 3 2 2" xfId="18843"/>
    <cellStyle name="Standaard 2 2 2 3 2 3 2 2 2" xfId="18844"/>
    <cellStyle name="Standaard 2 2 2 3 2 3 2 2 2 2" xfId="18845"/>
    <cellStyle name="Standaard 2 2 2 3 2 3 2 2 2 2 2" xfId="18846"/>
    <cellStyle name="Standaard 2 2 2 3 2 3 2 2 2 3" xfId="18847"/>
    <cellStyle name="Standaard 2 2 2 3 2 3 2 2 3" xfId="18848"/>
    <cellStyle name="Standaard 2 2 2 3 2 3 2 2 3 2" xfId="18849"/>
    <cellStyle name="Standaard 2 2 2 3 2 3 2 2 4" xfId="18850"/>
    <cellStyle name="Standaard 2 2 2 3 2 3 2 3" xfId="18851"/>
    <cellStyle name="Standaard 2 2 2 3 2 3 2 3 2" xfId="18852"/>
    <cellStyle name="Standaard 2 2 2 3 2 3 2 3 2 2" xfId="18853"/>
    <cellStyle name="Standaard 2 2 2 3 2 3 2 3 3" xfId="18854"/>
    <cellStyle name="Standaard 2 2 2 3 2 3 2 4" xfId="18855"/>
    <cellStyle name="Standaard 2 2 2 3 2 3 2 4 2" xfId="18856"/>
    <cellStyle name="Standaard 2 2 2 3 2 3 2 5" xfId="18857"/>
    <cellStyle name="Standaard 2 2 2 3 2 3 2 6" xfId="18858"/>
    <cellStyle name="Standaard 2 2 2 3 2 3 3" xfId="18859"/>
    <cellStyle name="Standaard 2 2 2 3 2 3 3 2" xfId="18860"/>
    <cellStyle name="Standaard 2 2 2 3 2 3 3 2 2" xfId="18861"/>
    <cellStyle name="Standaard 2 2 2 3 2 3 3 2 2 2" xfId="18862"/>
    <cellStyle name="Standaard 2 2 2 3 2 3 3 2 3" xfId="18863"/>
    <cellStyle name="Standaard 2 2 2 3 2 3 3 3" xfId="18864"/>
    <cellStyle name="Standaard 2 2 2 3 2 3 3 3 2" xfId="18865"/>
    <cellStyle name="Standaard 2 2 2 3 2 3 3 4" xfId="18866"/>
    <cellStyle name="Standaard 2 2 2 3 2 3 4" xfId="18867"/>
    <cellStyle name="Standaard 2 2 2 3 2 3 4 2" xfId="18868"/>
    <cellStyle name="Standaard 2 2 2 3 2 3 4 2 2" xfId="18869"/>
    <cellStyle name="Standaard 2 2 2 3 2 3 4 3" xfId="18870"/>
    <cellStyle name="Standaard 2 2 2 3 2 3 5" xfId="18871"/>
    <cellStyle name="Standaard 2 2 2 3 2 3 5 2" xfId="18872"/>
    <cellStyle name="Standaard 2 2 2 3 2 3 6" xfId="18873"/>
    <cellStyle name="Standaard 2 2 2 3 2 3 7" xfId="18874"/>
    <cellStyle name="Standaard 2 2 2 3 2 4" xfId="18875"/>
    <cellStyle name="Standaard 2 2 2 3 2 4 2" xfId="18876"/>
    <cellStyle name="Standaard 2 2 2 3 2 4 2 2" xfId="18877"/>
    <cellStyle name="Standaard 2 2 2 3 2 4 2 2 2" xfId="18878"/>
    <cellStyle name="Standaard 2 2 2 3 2 4 2 2 2 2" xfId="18879"/>
    <cellStyle name="Standaard 2 2 2 3 2 4 2 2 3" xfId="18880"/>
    <cellStyle name="Standaard 2 2 2 3 2 4 2 3" xfId="18881"/>
    <cellStyle name="Standaard 2 2 2 3 2 4 2 3 2" xfId="18882"/>
    <cellStyle name="Standaard 2 2 2 3 2 4 2 4" xfId="18883"/>
    <cellStyle name="Standaard 2 2 2 3 2 4 3" xfId="18884"/>
    <cellStyle name="Standaard 2 2 2 3 2 4 3 2" xfId="18885"/>
    <cellStyle name="Standaard 2 2 2 3 2 4 3 2 2" xfId="18886"/>
    <cellStyle name="Standaard 2 2 2 3 2 4 3 3" xfId="18887"/>
    <cellStyle name="Standaard 2 2 2 3 2 4 4" xfId="18888"/>
    <cellStyle name="Standaard 2 2 2 3 2 4 4 2" xfId="18889"/>
    <cellStyle name="Standaard 2 2 2 3 2 4 5" xfId="18890"/>
    <cellStyle name="Standaard 2 2 2 3 2 4 6" xfId="18891"/>
    <cellStyle name="Standaard 2 2 2 3 2 5" xfId="18892"/>
    <cellStyle name="Standaard 2 2 2 3 2 5 2" xfId="18893"/>
    <cellStyle name="Standaard 2 2 2 3 2 5 2 2" xfId="18894"/>
    <cellStyle name="Standaard 2 2 2 3 2 5 2 2 2" xfId="18895"/>
    <cellStyle name="Standaard 2 2 2 3 2 5 2 3" xfId="18896"/>
    <cellStyle name="Standaard 2 2 2 3 2 5 3" xfId="18897"/>
    <cellStyle name="Standaard 2 2 2 3 2 5 3 2" xfId="18898"/>
    <cellStyle name="Standaard 2 2 2 3 2 5 4" xfId="18899"/>
    <cellStyle name="Standaard 2 2 2 3 2 6" xfId="18900"/>
    <cellStyle name="Standaard 2 2 2 3 2 6 2" xfId="18901"/>
    <cellStyle name="Standaard 2 2 2 3 2 6 2 2" xfId="18902"/>
    <cellStyle name="Standaard 2 2 2 3 2 6 3" xfId="18903"/>
    <cellStyle name="Standaard 2 2 2 3 2 7" xfId="18904"/>
    <cellStyle name="Standaard 2 2 2 3 2 7 2" xfId="18905"/>
    <cellStyle name="Standaard 2 2 2 3 2 8" xfId="18906"/>
    <cellStyle name="Standaard 2 2 2 3 2 9" xfId="18907"/>
    <cellStyle name="Standaard 2 2 2 3 3" xfId="18908"/>
    <cellStyle name="Standaard 2 2 2 3 3 2" xfId="18909"/>
    <cellStyle name="Standaard 2 2 2 3 3 2 2" xfId="18910"/>
    <cellStyle name="Standaard 2 2 2 3 3 2 2 2" xfId="18911"/>
    <cellStyle name="Standaard 2 2 2 3 3 2 2 2 2" xfId="18912"/>
    <cellStyle name="Standaard 2 2 2 3 3 2 2 2 2 2" xfId="18913"/>
    <cellStyle name="Standaard 2 2 2 3 3 2 2 2 2 2 2" xfId="18914"/>
    <cellStyle name="Standaard 2 2 2 3 3 2 2 2 2 3" xfId="18915"/>
    <cellStyle name="Standaard 2 2 2 3 3 2 2 2 3" xfId="18916"/>
    <cellStyle name="Standaard 2 2 2 3 3 2 2 2 3 2" xfId="18917"/>
    <cellStyle name="Standaard 2 2 2 3 3 2 2 2 4" xfId="18918"/>
    <cellStyle name="Standaard 2 2 2 3 3 2 2 3" xfId="18919"/>
    <cellStyle name="Standaard 2 2 2 3 3 2 2 3 2" xfId="18920"/>
    <cellStyle name="Standaard 2 2 2 3 3 2 2 3 2 2" xfId="18921"/>
    <cellStyle name="Standaard 2 2 2 3 3 2 2 3 3" xfId="18922"/>
    <cellStyle name="Standaard 2 2 2 3 3 2 2 4" xfId="18923"/>
    <cellStyle name="Standaard 2 2 2 3 3 2 2 4 2" xfId="18924"/>
    <cellStyle name="Standaard 2 2 2 3 3 2 2 5" xfId="18925"/>
    <cellStyle name="Standaard 2 2 2 3 3 2 2 6" xfId="18926"/>
    <cellStyle name="Standaard 2 2 2 3 3 2 3" xfId="18927"/>
    <cellStyle name="Standaard 2 2 2 3 3 2 3 2" xfId="18928"/>
    <cellStyle name="Standaard 2 2 2 3 3 2 3 2 2" xfId="18929"/>
    <cellStyle name="Standaard 2 2 2 3 3 2 3 2 2 2" xfId="18930"/>
    <cellStyle name="Standaard 2 2 2 3 3 2 3 2 3" xfId="18931"/>
    <cellStyle name="Standaard 2 2 2 3 3 2 3 3" xfId="18932"/>
    <cellStyle name="Standaard 2 2 2 3 3 2 3 3 2" xfId="18933"/>
    <cellStyle name="Standaard 2 2 2 3 3 2 3 4" xfId="18934"/>
    <cellStyle name="Standaard 2 2 2 3 3 2 4" xfId="18935"/>
    <cellStyle name="Standaard 2 2 2 3 3 2 4 2" xfId="18936"/>
    <cellStyle name="Standaard 2 2 2 3 3 2 4 2 2" xfId="18937"/>
    <cellStyle name="Standaard 2 2 2 3 3 2 4 3" xfId="18938"/>
    <cellStyle name="Standaard 2 2 2 3 3 2 5" xfId="18939"/>
    <cellStyle name="Standaard 2 2 2 3 3 2 5 2" xfId="18940"/>
    <cellStyle name="Standaard 2 2 2 3 3 2 6" xfId="18941"/>
    <cellStyle name="Standaard 2 2 2 3 3 2 7" xfId="18942"/>
    <cellStyle name="Standaard 2 2 2 3 3 3" xfId="18943"/>
    <cellStyle name="Standaard 2 2 2 3 3 3 2" xfId="18944"/>
    <cellStyle name="Standaard 2 2 2 3 3 3 2 2" xfId="18945"/>
    <cellStyle name="Standaard 2 2 2 3 3 3 2 2 2" xfId="18946"/>
    <cellStyle name="Standaard 2 2 2 3 3 3 2 2 2 2" xfId="18947"/>
    <cellStyle name="Standaard 2 2 2 3 3 3 2 2 3" xfId="18948"/>
    <cellStyle name="Standaard 2 2 2 3 3 3 2 3" xfId="18949"/>
    <cellStyle name="Standaard 2 2 2 3 3 3 2 3 2" xfId="18950"/>
    <cellStyle name="Standaard 2 2 2 3 3 3 2 4" xfId="18951"/>
    <cellStyle name="Standaard 2 2 2 3 3 3 3" xfId="18952"/>
    <cellStyle name="Standaard 2 2 2 3 3 3 3 2" xfId="18953"/>
    <cellStyle name="Standaard 2 2 2 3 3 3 3 2 2" xfId="18954"/>
    <cellStyle name="Standaard 2 2 2 3 3 3 3 3" xfId="18955"/>
    <cellStyle name="Standaard 2 2 2 3 3 3 4" xfId="18956"/>
    <cellStyle name="Standaard 2 2 2 3 3 3 4 2" xfId="18957"/>
    <cellStyle name="Standaard 2 2 2 3 3 3 5" xfId="18958"/>
    <cellStyle name="Standaard 2 2 2 3 3 3 6" xfId="18959"/>
    <cellStyle name="Standaard 2 2 2 3 3 4" xfId="18960"/>
    <cellStyle name="Standaard 2 2 2 3 3 4 2" xfId="18961"/>
    <cellStyle name="Standaard 2 2 2 3 3 4 2 2" xfId="18962"/>
    <cellStyle name="Standaard 2 2 2 3 3 4 2 2 2" xfId="18963"/>
    <cellStyle name="Standaard 2 2 2 3 3 4 2 3" xfId="18964"/>
    <cellStyle name="Standaard 2 2 2 3 3 4 3" xfId="18965"/>
    <cellStyle name="Standaard 2 2 2 3 3 4 3 2" xfId="18966"/>
    <cellStyle name="Standaard 2 2 2 3 3 4 4" xfId="18967"/>
    <cellStyle name="Standaard 2 2 2 3 3 5" xfId="18968"/>
    <cellStyle name="Standaard 2 2 2 3 3 5 2" xfId="18969"/>
    <cellStyle name="Standaard 2 2 2 3 3 5 2 2" xfId="18970"/>
    <cellStyle name="Standaard 2 2 2 3 3 5 3" xfId="18971"/>
    <cellStyle name="Standaard 2 2 2 3 3 6" xfId="18972"/>
    <cellStyle name="Standaard 2 2 2 3 3 6 2" xfId="18973"/>
    <cellStyle name="Standaard 2 2 2 3 3 7" xfId="18974"/>
    <cellStyle name="Standaard 2 2 2 3 3 8" xfId="18975"/>
    <cellStyle name="Standaard 2 2 2 3 4" xfId="18976"/>
    <cellStyle name="Standaard 2 2 2 3 4 2" xfId="18977"/>
    <cellStyle name="Standaard 2 2 2 3 4 2 2" xfId="18978"/>
    <cellStyle name="Standaard 2 2 2 3 4 2 2 2" xfId="18979"/>
    <cellStyle name="Standaard 2 2 2 3 4 2 2 2 2" xfId="18980"/>
    <cellStyle name="Standaard 2 2 2 3 4 2 2 2 2 2" xfId="18981"/>
    <cellStyle name="Standaard 2 2 2 3 4 2 2 2 2 2 2" xfId="18982"/>
    <cellStyle name="Standaard 2 2 2 3 4 2 2 2 2 3" xfId="18983"/>
    <cellStyle name="Standaard 2 2 2 3 4 2 2 2 3" xfId="18984"/>
    <cellStyle name="Standaard 2 2 2 3 4 2 2 2 3 2" xfId="18985"/>
    <cellStyle name="Standaard 2 2 2 3 4 2 2 2 4" xfId="18986"/>
    <cellStyle name="Standaard 2 2 2 3 4 2 2 3" xfId="18987"/>
    <cellStyle name="Standaard 2 2 2 3 4 2 2 3 2" xfId="18988"/>
    <cellStyle name="Standaard 2 2 2 3 4 2 2 3 2 2" xfId="18989"/>
    <cellStyle name="Standaard 2 2 2 3 4 2 2 3 3" xfId="18990"/>
    <cellStyle name="Standaard 2 2 2 3 4 2 2 4" xfId="18991"/>
    <cellStyle name="Standaard 2 2 2 3 4 2 2 4 2" xfId="18992"/>
    <cellStyle name="Standaard 2 2 2 3 4 2 2 5" xfId="18993"/>
    <cellStyle name="Standaard 2 2 2 3 4 2 2 6" xfId="18994"/>
    <cellStyle name="Standaard 2 2 2 3 4 2 3" xfId="18995"/>
    <cellStyle name="Standaard 2 2 2 3 4 2 3 2" xfId="18996"/>
    <cellStyle name="Standaard 2 2 2 3 4 2 3 2 2" xfId="18997"/>
    <cellStyle name="Standaard 2 2 2 3 4 2 3 2 2 2" xfId="18998"/>
    <cellStyle name="Standaard 2 2 2 3 4 2 3 2 3" xfId="18999"/>
    <cellStyle name="Standaard 2 2 2 3 4 2 3 3" xfId="19000"/>
    <cellStyle name="Standaard 2 2 2 3 4 2 3 3 2" xfId="19001"/>
    <cellStyle name="Standaard 2 2 2 3 4 2 3 4" xfId="19002"/>
    <cellStyle name="Standaard 2 2 2 3 4 2 4" xfId="19003"/>
    <cellStyle name="Standaard 2 2 2 3 4 2 4 2" xfId="19004"/>
    <cellStyle name="Standaard 2 2 2 3 4 2 4 2 2" xfId="19005"/>
    <cellStyle name="Standaard 2 2 2 3 4 2 4 3" xfId="19006"/>
    <cellStyle name="Standaard 2 2 2 3 4 2 5" xfId="19007"/>
    <cellStyle name="Standaard 2 2 2 3 4 2 5 2" xfId="19008"/>
    <cellStyle name="Standaard 2 2 2 3 4 2 6" xfId="19009"/>
    <cellStyle name="Standaard 2 2 2 3 4 2 7" xfId="19010"/>
    <cellStyle name="Standaard 2 2 2 3 4 3" xfId="19011"/>
    <cellStyle name="Standaard 2 2 2 3 4 3 2" xfId="19012"/>
    <cellStyle name="Standaard 2 2 2 3 4 3 2 2" xfId="19013"/>
    <cellStyle name="Standaard 2 2 2 3 4 3 2 2 2" xfId="19014"/>
    <cellStyle name="Standaard 2 2 2 3 4 3 2 2 2 2" xfId="19015"/>
    <cellStyle name="Standaard 2 2 2 3 4 3 2 2 3" xfId="19016"/>
    <cellStyle name="Standaard 2 2 2 3 4 3 2 3" xfId="19017"/>
    <cellStyle name="Standaard 2 2 2 3 4 3 2 3 2" xfId="19018"/>
    <cellStyle name="Standaard 2 2 2 3 4 3 2 4" xfId="19019"/>
    <cellStyle name="Standaard 2 2 2 3 4 3 3" xfId="19020"/>
    <cellStyle name="Standaard 2 2 2 3 4 3 3 2" xfId="19021"/>
    <cellStyle name="Standaard 2 2 2 3 4 3 3 2 2" xfId="19022"/>
    <cellStyle name="Standaard 2 2 2 3 4 3 3 3" xfId="19023"/>
    <cellStyle name="Standaard 2 2 2 3 4 3 4" xfId="19024"/>
    <cellStyle name="Standaard 2 2 2 3 4 3 4 2" xfId="19025"/>
    <cellStyle name="Standaard 2 2 2 3 4 3 5" xfId="19026"/>
    <cellStyle name="Standaard 2 2 2 3 4 3 6" xfId="19027"/>
    <cellStyle name="Standaard 2 2 2 3 4 4" xfId="19028"/>
    <cellStyle name="Standaard 2 2 2 3 4 4 2" xfId="19029"/>
    <cellStyle name="Standaard 2 2 2 3 4 4 2 2" xfId="19030"/>
    <cellStyle name="Standaard 2 2 2 3 4 4 2 2 2" xfId="19031"/>
    <cellStyle name="Standaard 2 2 2 3 4 4 2 3" xfId="19032"/>
    <cellStyle name="Standaard 2 2 2 3 4 4 3" xfId="19033"/>
    <cellStyle name="Standaard 2 2 2 3 4 4 3 2" xfId="19034"/>
    <cellStyle name="Standaard 2 2 2 3 4 4 4" xfId="19035"/>
    <cellStyle name="Standaard 2 2 2 3 4 5" xfId="19036"/>
    <cellStyle name="Standaard 2 2 2 3 4 5 2" xfId="19037"/>
    <cellStyle name="Standaard 2 2 2 3 4 5 2 2" xfId="19038"/>
    <cellStyle name="Standaard 2 2 2 3 4 5 3" xfId="19039"/>
    <cellStyle name="Standaard 2 2 2 3 4 6" xfId="19040"/>
    <cellStyle name="Standaard 2 2 2 3 4 6 2" xfId="19041"/>
    <cellStyle name="Standaard 2 2 2 3 4 7" xfId="19042"/>
    <cellStyle name="Standaard 2 2 2 3 4 8" xfId="19043"/>
    <cellStyle name="Standaard 2 2 2 3 5" xfId="19044"/>
    <cellStyle name="Standaard 2 2 2 3 5 2" xfId="19045"/>
    <cellStyle name="Standaard 2 2 2 3 5 2 2" xfId="19046"/>
    <cellStyle name="Standaard 2 2 2 3 5 2 2 2" xfId="19047"/>
    <cellStyle name="Standaard 2 2 2 3 5 2 2 2 2" xfId="19048"/>
    <cellStyle name="Standaard 2 2 2 3 5 2 2 2 2 2" xfId="19049"/>
    <cellStyle name="Standaard 2 2 2 3 5 2 2 2 3" xfId="19050"/>
    <cellStyle name="Standaard 2 2 2 3 5 2 2 3" xfId="19051"/>
    <cellStyle name="Standaard 2 2 2 3 5 2 2 3 2" xfId="19052"/>
    <cellStyle name="Standaard 2 2 2 3 5 2 2 4" xfId="19053"/>
    <cellStyle name="Standaard 2 2 2 3 5 2 3" xfId="19054"/>
    <cellStyle name="Standaard 2 2 2 3 5 2 3 2" xfId="19055"/>
    <cellStyle name="Standaard 2 2 2 3 5 2 3 2 2" xfId="19056"/>
    <cellStyle name="Standaard 2 2 2 3 5 2 3 3" xfId="19057"/>
    <cellStyle name="Standaard 2 2 2 3 5 2 4" xfId="19058"/>
    <cellStyle name="Standaard 2 2 2 3 5 2 4 2" xfId="19059"/>
    <cellStyle name="Standaard 2 2 2 3 5 2 5" xfId="19060"/>
    <cellStyle name="Standaard 2 2 2 3 5 2 6" xfId="19061"/>
    <cellStyle name="Standaard 2 2 2 3 5 3" xfId="19062"/>
    <cellStyle name="Standaard 2 2 2 3 5 3 2" xfId="19063"/>
    <cellStyle name="Standaard 2 2 2 3 5 3 2 2" xfId="19064"/>
    <cellStyle name="Standaard 2 2 2 3 5 3 2 2 2" xfId="19065"/>
    <cellStyle name="Standaard 2 2 2 3 5 3 2 3" xfId="19066"/>
    <cellStyle name="Standaard 2 2 2 3 5 3 3" xfId="19067"/>
    <cellStyle name="Standaard 2 2 2 3 5 3 3 2" xfId="19068"/>
    <cellStyle name="Standaard 2 2 2 3 5 3 4" xfId="19069"/>
    <cellStyle name="Standaard 2 2 2 3 5 4" xfId="19070"/>
    <cellStyle name="Standaard 2 2 2 3 5 4 2" xfId="19071"/>
    <cellStyle name="Standaard 2 2 2 3 5 4 2 2" xfId="19072"/>
    <cellStyle name="Standaard 2 2 2 3 5 4 3" xfId="19073"/>
    <cellStyle name="Standaard 2 2 2 3 5 5" xfId="19074"/>
    <cellStyle name="Standaard 2 2 2 3 5 5 2" xfId="19075"/>
    <cellStyle name="Standaard 2 2 2 3 5 6" xfId="19076"/>
    <cellStyle name="Standaard 2 2 2 3 5 7" xfId="19077"/>
    <cellStyle name="Standaard 2 2 2 3 6" xfId="19078"/>
    <cellStyle name="Standaard 2 2 2 3 6 2" xfId="19079"/>
    <cellStyle name="Standaard 2 2 2 3 6 2 2" xfId="19080"/>
    <cellStyle name="Standaard 2 2 2 3 6 2 2 2" xfId="19081"/>
    <cellStyle name="Standaard 2 2 2 3 6 2 2 2 2" xfId="19082"/>
    <cellStyle name="Standaard 2 2 2 3 6 2 2 3" xfId="19083"/>
    <cellStyle name="Standaard 2 2 2 3 6 2 3" xfId="19084"/>
    <cellStyle name="Standaard 2 2 2 3 6 2 3 2" xfId="19085"/>
    <cellStyle name="Standaard 2 2 2 3 6 2 4" xfId="19086"/>
    <cellStyle name="Standaard 2 2 2 3 6 3" xfId="19087"/>
    <cellStyle name="Standaard 2 2 2 3 6 3 2" xfId="19088"/>
    <cellStyle name="Standaard 2 2 2 3 6 3 2 2" xfId="19089"/>
    <cellStyle name="Standaard 2 2 2 3 6 3 3" xfId="19090"/>
    <cellStyle name="Standaard 2 2 2 3 6 4" xfId="19091"/>
    <cellStyle name="Standaard 2 2 2 3 6 4 2" xfId="19092"/>
    <cellStyle name="Standaard 2 2 2 3 6 5" xfId="19093"/>
    <cellStyle name="Standaard 2 2 2 3 6 6" xfId="19094"/>
    <cellStyle name="Standaard 2 2 2 3 7" xfId="19095"/>
    <cellStyle name="Standaard 2 2 2 3 7 2" xfId="19096"/>
    <cellStyle name="Standaard 2 2 2 3 7 2 2" xfId="19097"/>
    <cellStyle name="Standaard 2 2 2 3 7 2 2 2" xfId="19098"/>
    <cellStyle name="Standaard 2 2 2 3 7 2 3" xfId="19099"/>
    <cellStyle name="Standaard 2 2 2 3 7 3" xfId="19100"/>
    <cellStyle name="Standaard 2 2 2 3 7 3 2" xfId="19101"/>
    <cellStyle name="Standaard 2 2 2 3 7 4" xfId="19102"/>
    <cellStyle name="Standaard 2 2 2 3 8" xfId="19103"/>
    <cellStyle name="Standaard 2 2 2 3 8 2" xfId="19104"/>
    <cellStyle name="Standaard 2 2 2 3 8 2 2" xfId="19105"/>
    <cellStyle name="Standaard 2 2 2 3 8 3" xfId="19106"/>
    <cellStyle name="Standaard 2 2 2 3 9" xfId="19107"/>
    <cellStyle name="Standaard 2 2 2 3 9 2" xfId="19108"/>
    <cellStyle name="Standaard 2 2 2 4" xfId="19109"/>
    <cellStyle name="Standaard 2 2 2 4 2" xfId="19110"/>
    <cellStyle name="Standaard 2 2 2 4 2 2" xfId="19111"/>
    <cellStyle name="Standaard 2 2 2 4 2 2 2" xfId="19112"/>
    <cellStyle name="Standaard 2 2 2 4 2 2 2 2" xfId="19113"/>
    <cellStyle name="Standaard 2 2 2 4 2 2 2 2 2" xfId="19114"/>
    <cellStyle name="Standaard 2 2 2 4 2 2 2 2 2 2" xfId="19115"/>
    <cellStyle name="Standaard 2 2 2 4 2 2 2 2 2 2 2" xfId="19116"/>
    <cellStyle name="Standaard 2 2 2 4 2 2 2 2 2 3" xfId="19117"/>
    <cellStyle name="Standaard 2 2 2 4 2 2 2 2 3" xfId="19118"/>
    <cellStyle name="Standaard 2 2 2 4 2 2 2 2 3 2" xfId="19119"/>
    <cellStyle name="Standaard 2 2 2 4 2 2 2 2 4" xfId="19120"/>
    <cellStyle name="Standaard 2 2 2 4 2 2 2 3" xfId="19121"/>
    <cellStyle name="Standaard 2 2 2 4 2 2 2 3 2" xfId="19122"/>
    <cellStyle name="Standaard 2 2 2 4 2 2 2 3 2 2" xfId="19123"/>
    <cellStyle name="Standaard 2 2 2 4 2 2 2 3 3" xfId="19124"/>
    <cellStyle name="Standaard 2 2 2 4 2 2 2 4" xfId="19125"/>
    <cellStyle name="Standaard 2 2 2 4 2 2 2 4 2" xfId="19126"/>
    <cellStyle name="Standaard 2 2 2 4 2 2 2 5" xfId="19127"/>
    <cellStyle name="Standaard 2 2 2 4 2 2 2 6" xfId="19128"/>
    <cellStyle name="Standaard 2 2 2 4 2 2 3" xfId="19129"/>
    <cellStyle name="Standaard 2 2 2 4 2 2 3 2" xfId="19130"/>
    <cellStyle name="Standaard 2 2 2 4 2 2 3 2 2" xfId="19131"/>
    <cellStyle name="Standaard 2 2 2 4 2 2 3 2 2 2" xfId="19132"/>
    <cellStyle name="Standaard 2 2 2 4 2 2 3 2 3" xfId="19133"/>
    <cellStyle name="Standaard 2 2 2 4 2 2 3 3" xfId="19134"/>
    <cellStyle name="Standaard 2 2 2 4 2 2 3 3 2" xfId="19135"/>
    <cellStyle name="Standaard 2 2 2 4 2 2 3 4" xfId="19136"/>
    <cellStyle name="Standaard 2 2 2 4 2 2 4" xfId="19137"/>
    <cellStyle name="Standaard 2 2 2 4 2 2 4 2" xfId="19138"/>
    <cellStyle name="Standaard 2 2 2 4 2 2 4 2 2" xfId="19139"/>
    <cellStyle name="Standaard 2 2 2 4 2 2 4 3" xfId="19140"/>
    <cellStyle name="Standaard 2 2 2 4 2 2 5" xfId="19141"/>
    <cellStyle name="Standaard 2 2 2 4 2 2 5 2" xfId="19142"/>
    <cellStyle name="Standaard 2 2 2 4 2 2 6" xfId="19143"/>
    <cellStyle name="Standaard 2 2 2 4 2 2 7" xfId="19144"/>
    <cellStyle name="Standaard 2 2 2 4 2 3" xfId="19145"/>
    <cellStyle name="Standaard 2 2 2 4 2 3 2" xfId="19146"/>
    <cellStyle name="Standaard 2 2 2 4 2 3 2 2" xfId="19147"/>
    <cellStyle name="Standaard 2 2 2 4 2 3 2 2 2" xfId="19148"/>
    <cellStyle name="Standaard 2 2 2 4 2 3 2 2 2 2" xfId="19149"/>
    <cellStyle name="Standaard 2 2 2 4 2 3 2 2 3" xfId="19150"/>
    <cellStyle name="Standaard 2 2 2 4 2 3 2 3" xfId="19151"/>
    <cellStyle name="Standaard 2 2 2 4 2 3 2 3 2" xfId="19152"/>
    <cellStyle name="Standaard 2 2 2 4 2 3 2 4" xfId="19153"/>
    <cellStyle name="Standaard 2 2 2 4 2 3 3" xfId="19154"/>
    <cellStyle name="Standaard 2 2 2 4 2 3 3 2" xfId="19155"/>
    <cellStyle name="Standaard 2 2 2 4 2 3 3 2 2" xfId="19156"/>
    <cellStyle name="Standaard 2 2 2 4 2 3 3 3" xfId="19157"/>
    <cellStyle name="Standaard 2 2 2 4 2 3 4" xfId="19158"/>
    <cellStyle name="Standaard 2 2 2 4 2 3 4 2" xfId="19159"/>
    <cellStyle name="Standaard 2 2 2 4 2 3 5" xfId="19160"/>
    <cellStyle name="Standaard 2 2 2 4 2 3 6" xfId="19161"/>
    <cellStyle name="Standaard 2 2 2 4 2 4" xfId="19162"/>
    <cellStyle name="Standaard 2 2 2 4 2 4 2" xfId="19163"/>
    <cellStyle name="Standaard 2 2 2 4 2 4 2 2" xfId="19164"/>
    <cellStyle name="Standaard 2 2 2 4 2 4 2 2 2" xfId="19165"/>
    <cellStyle name="Standaard 2 2 2 4 2 4 2 3" xfId="19166"/>
    <cellStyle name="Standaard 2 2 2 4 2 4 3" xfId="19167"/>
    <cellStyle name="Standaard 2 2 2 4 2 4 3 2" xfId="19168"/>
    <cellStyle name="Standaard 2 2 2 4 2 4 4" xfId="19169"/>
    <cellStyle name="Standaard 2 2 2 4 2 5" xfId="19170"/>
    <cellStyle name="Standaard 2 2 2 4 2 5 2" xfId="19171"/>
    <cellStyle name="Standaard 2 2 2 4 2 5 2 2" xfId="19172"/>
    <cellStyle name="Standaard 2 2 2 4 2 5 3" xfId="19173"/>
    <cellStyle name="Standaard 2 2 2 4 2 6" xfId="19174"/>
    <cellStyle name="Standaard 2 2 2 4 2 6 2" xfId="19175"/>
    <cellStyle name="Standaard 2 2 2 4 2 7" xfId="19176"/>
    <cellStyle name="Standaard 2 2 2 4 2 8" xfId="19177"/>
    <cellStyle name="Standaard 2 2 2 4 3" xfId="19178"/>
    <cellStyle name="Standaard 2 2 2 4 3 2" xfId="19179"/>
    <cellStyle name="Standaard 2 2 2 4 3 2 2" xfId="19180"/>
    <cellStyle name="Standaard 2 2 2 4 3 2 2 2" xfId="19181"/>
    <cellStyle name="Standaard 2 2 2 4 3 2 2 2 2" xfId="19182"/>
    <cellStyle name="Standaard 2 2 2 4 3 2 2 2 2 2" xfId="19183"/>
    <cellStyle name="Standaard 2 2 2 4 3 2 2 2 3" xfId="19184"/>
    <cellStyle name="Standaard 2 2 2 4 3 2 2 3" xfId="19185"/>
    <cellStyle name="Standaard 2 2 2 4 3 2 2 3 2" xfId="19186"/>
    <cellStyle name="Standaard 2 2 2 4 3 2 2 4" xfId="19187"/>
    <cellStyle name="Standaard 2 2 2 4 3 2 3" xfId="19188"/>
    <cellStyle name="Standaard 2 2 2 4 3 2 3 2" xfId="19189"/>
    <cellStyle name="Standaard 2 2 2 4 3 2 3 2 2" xfId="19190"/>
    <cellStyle name="Standaard 2 2 2 4 3 2 3 3" xfId="19191"/>
    <cellStyle name="Standaard 2 2 2 4 3 2 4" xfId="19192"/>
    <cellStyle name="Standaard 2 2 2 4 3 2 4 2" xfId="19193"/>
    <cellStyle name="Standaard 2 2 2 4 3 2 5" xfId="19194"/>
    <cellStyle name="Standaard 2 2 2 4 3 2 6" xfId="19195"/>
    <cellStyle name="Standaard 2 2 2 4 3 3" xfId="19196"/>
    <cellStyle name="Standaard 2 2 2 4 3 3 2" xfId="19197"/>
    <cellStyle name="Standaard 2 2 2 4 3 3 2 2" xfId="19198"/>
    <cellStyle name="Standaard 2 2 2 4 3 3 2 2 2" xfId="19199"/>
    <cellStyle name="Standaard 2 2 2 4 3 3 2 3" xfId="19200"/>
    <cellStyle name="Standaard 2 2 2 4 3 3 3" xfId="19201"/>
    <cellStyle name="Standaard 2 2 2 4 3 3 3 2" xfId="19202"/>
    <cellStyle name="Standaard 2 2 2 4 3 3 4" xfId="19203"/>
    <cellStyle name="Standaard 2 2 2 4 3 4" xfId="19204"/>
    <cellStyle name="Standaard 2 2 2 4 3 4 2" xfId="19205"/>
    <cellStyle name="Standaard 2 2 2 4 3 4 2 2" xfId="19206"/>
    <cellStyle name="Standaard 2 2 2 4 3 4 3" xfId="19207"/>
    <cellStyle name="Standaard 2 2 2 4 3 5" xfId="19208"/>
    <cellStyle name="Standaard 2 2 2 4 3 5 2" xfId="19209"/>
    <cellStyle name="Standaard 2 2 2 4 3 6" xfId="19210"/>
    <cellStyle name="Standaard 2 2 2 4 3 7" xfId="19211"/>
    <cellStyle name="Standaard 2 2 2 4 4" xfId="19212"/>
    <cellStyle name="Standaard 2 2 2 4 4 2" xfId="19213"/>
    <cellStyle name="Standaard 2 2 2 4 4 2 2" xfId="19214"/>
    <cellStyle name="Standaard 2 2 2 4 4 2 2 2" xfId="19215"/>
    <cellStyle name="Standaard 2 2 2 4 4 2 2 2 2" xfId="19216"/>
    <cellStyle name="Standaard 2 2 2 4 4 2 2 3" xfId="19217"/>
    <cellStyle name="Standaard 2 2 2 4 4 2 3" xfId="19218"/>
    <cellStyle name="Standaard 2 2 2 4 4 2 3 2" xfId="19219"/>
    <cellStyle name="Standaard 2 2 2 4 4 2 4" xfId="19220"/>
    <cellStyle name="Standaard 2 2 2 4 4 3" xfId="19221"/>
    <cellStyle name="Standaard 2 2 2 4 4 3 2" xfId="19222"/>
    <cellStyle name="Standaard 2 2 2 4 4 3 2 2" xfId="19223"/>
    <cellStyle name="Standaard 2 2 2 4 4 3 3" xfId="19224"/>
    <cellStyle name="Standaard 2 2 2 4 4 4" xfId="19225"/>
    <cellStyle name="Standaard 2 2 2 4 4 4 2" xfId="19226"/>
    <cellStyle name="Standaard 2 2 2 4 4 5" xfId="19227"/>
    <cellStyle name="Standaard 2 2 2 4 4 6" xfId="19228"/>
    <cellStyle name="Standaard 2 2 2 4 5" xfId="19229"/>
    <cellStyle name="Standaard 2 2 2 4 5 2" xfId="19230"/>
    <cellStyle name="Standaard 2 2 2 4 5 2 2" xfId="19231"/>
    <cellStyle name="Standaard 2 2 2 4 5 2 2 2" xfId="19232"/>
    <cellStyle name="Standaard 2 2 2 4 5 2 3" xfId="19233"/>
    <cellStyle name="Standaard 2 2 2 4 5 3" xfId="19234"/>
    <cellStyle name="Standaard 2 2 2 4 5 3 2" xfId="19235"/>
    <cellStyle name="Standaard 2 2 2 4 5 4" xfId="19236"/>
    <cellStyle name="Standaard 2 2 2 4 6" xfId="19237"/>
    <cellStyle name="Standaard 2 2 2 4 6 2" xfId="19238"/>
    <cellStyle name="Standaard 2 2 2 4 6 2 2" xfId="19239"/>
    <cellStyle name="Standaard 2 2 2 4 6 3" xfId="19240"/>
    <cellStyle name="Standaard 2 2 2 4 7" xfId="19241"/>
    <cellStyle name="Standaard 2 2 2 4 7 2" xfId="19242"/>
    <cellStyle name="Standaard 2 2 2 4 8" xfId="19243"/>
    <cellStyle name="Standaard 2 2 2 4 9" xfId="19244"/>
    <cellStyle name="Standaard 2 2 2 5" xfId="19245"/>
    <cellStyle name="Standaard 2 2 2 5 2" xfId="19246"/>
    <cellStyle name="Standaard 2 2 2 5 2 2" xfId="19247"/>
    <cellStyle name="Standaard 2 2 2 5 2 2 2" xfId="19248"/>
    <cellStyle name="Standaard 2 2 2 5 2 2 2 2" xfId="19249"/>
    <cellStyle name="Standaard 2 2 2 5 2 2 2 2 2" xfId="19250"/>
    <cellStyle name="Standaard 2 2 2 5 2 2 2 2 2 2" xfId="19251"/>
    <cellStyle name="Standaard 2 2 2 5 2 2 2 2 3" xfId="19252"/>
    <cellStyle name="Standaard 2 2 2 5 2 2 2 3" xfId="19253"/>
    <cellStyle name="Standaard 2 2 2 5 2 2 2 3 2" xfId="19254"/>
    <cellStyle name="Standaard 2 2 2 5 2 2 2 4" xfId="19255"/>
    <cellStyle name="Standaard 2 2 2 5 2 2 3" xfId="19256"/>
    <cellStyle name="Standaard 2 2 2 5 2 2 3 2" xfId="19257"/>
    <cellStyle name="Standaard 2 2 2 5 2 2 3 2 2" xfId="19258"/>
    <cellStyle name="Standaard 2 2 2 5 2 2 3 3" xfId="19259"/>
    <cellStyle name="Standaard 2 2 2 5 2 2 4" xfId="19260"/>
    <cellStyle name="Standaard 2 2 2 5 2 2 4 2" xfId="19261"/>
    <cellStyle name="Standaard 2 2 2 5 2 2 5" xfId="19262"/>
    <cellStyle name="Standaard 2 2 2 5 2 2 6" xfId="19263"/>
    <cellStyle name="Standaard 2 2 2 5 2 3" xfId="19264"/>
    <cellStyle name="Standaard 2 2 2 5 2 3 2" xfId="19265"/>
    <cellStyle name="Standaard 2 2 2 5 2 3 2 2" xfId="19266"/>
    <cellStyle name="Standaard 2 2 2 5 2 3 2 2 2" xfId="19267"/>
    <cellStyle name="Standaard 2 2 2 5 2 3 2 3" xfId="19268"/>
    <cellStyle name="Standaard 2 2 2 5 2 3 3" xfId="19269"/>
    <cellStyle name="Standaard 2 2 2 5 2 3 3 2" xfId="19270"/>
    <cellStyle name="Standaard 2 2 2 5 2 3 4" xfId="19271"/>
    <cellStyle name="Standaard 2 2 2 5 2 4" xfId="19272"/>
    <cellStyle name="Standaard 2 2 2 5 2 4 2" xfId="19273"/>
    <cellStyle name="Standaard 2 2 2 5 2 4 2 2" xfId="19274"/>
    <cellStyle name="Standaard 2 2 2 5 2 4 3" xfId="19275"/>
    <cellStyle name="Standaard 2 2 2 5 2 5" xfId="19276"/>
    <cellStyle name="Standaard 2 2 2 5 2 5 2" xfId="19277"/>
    <cellStyle name="Standaard 2 2 2 5 2 6" xfId="19278"/>
    <cellStyle name="Standaard 2 2 2 5 2 7" xfId="19279"/>
    <cellStyle name="Standaard 2 2 2 5 3" xfId="19280"/>
    <cellStyle name="Standaard 2 2 2 5 3 2" xfId="19281"/>
    <cellStyle name="Standaard 2 2 2 5 3 2 2" xfId="19282"/>
    <cellStyle name="Standaard 2 2 2 5 3 2 2 2" xfId="19283"/>
    <cellStyle name="Standaard 2 2 2 5 3 2 2 2 2" xfId="19284"/>
    <cellStyle name="Standaard 2 2 2 5 3 2 2 3" xfId="19285"/>
    <cellStyle name="Standaard 2 2 2 5 3 2 3" xfId="19286"/>
    <cellStyle name="Standaard 2 2 2 5 3 2 3 2" xfId="19287"/>
    <cellStyle name="Standaard 2 2 2 5 3 2 4" xfId="19288"/>
    <cellStyle name="Standaard 2 2 2 5 3 3" xfId="19289"/>
    <cellStyle name="Standaard 2 2 2 5 3 3 2" xfId="19290"/>
    <cellStyle name="Standaard 2 2 2 5 3 3 2 2" xfId="19291"/>
    <cellStyle name="Standaard 2 2 2 5 3 3 3" xfId="19292"/>
    <cellStyle name="Standaard 2 2 2 5 3 4" xfId="19293"/>
    <cellStyle name="Standaard 2 2 2 5 3 4 2" xfId="19294"/>
    <cellStyle name="Standaard 2 2 2 5 3 5" xfId="19295"/>
    <cellStyle name="Standaard 2 2 2 5 3 6" xfId="19296"/>
    <cellStyle name="Standaard 2 2 2 5 4" xfId="19297"/>
    <cellStyle name="Standaard 2 2 2 5 4 2" xfId="19298"/>
    <cellStyle name="Standaard 2 2 2 5 4 2 2" xfId="19299"/>
    <cellStyle name="Standaard 2 2 2 5 4 2 2 2" xfId="19300"/>
    <cellStyle name="Standaard 2 2 2 5 4 2 3" xfId="19301"/>
    <cellStyle name="Standaard 2 2 2 5 4 3" xfId="19302"/>
    <cellStyle name="Standaard 2 2 2 5 4 3 2" xfId="19303"/>
    <cellStyle name="Standaard 2 2 2 5 4 4" xfId="19304"/>
    <cellStyle name="Standaard 2 2 2 5 5" xfId="19305"/>
    <cellStyle name="Standaard 2 2 2 5 5 2" xfId="19306"/>
    <cellStyle name="Standaard 2 2 2 5 5 2 2" xfId="19307"/>
    <cellStyle name="Standaard 2 2 2 5 5 3" xfId="19308"/>
    <cellStyle name="Standaard 2 2 2 5 6" xfId="19309"/>
    <cellStyle name="Standaard 2 2 2 5 6 2" xfId="19310"/>
    <cellStyle name="Standaard 2 2 2 5 7" xfId="19311"/>
    <cellStyle name="Standaard 2 2 2 5 8" xfId="19312"/>
    <cellStyle name="Standaard 2 2 2 6" xfId="19313"/>
    <cellStyle name="Standaard 2 2 2 6 2" xfId="19314"/>
    <cellStyle name="Standaard 2 2 2 6 2 2" xfId="19315"/>
    <cellStyle name="Standaard 2 2 2 6 2 2 2" xfId="19316"/>
    <cellStyle name="Standaard 2 2 2 6 2 2 2 2" xfId="19317"/>
    <cellStyle name="Standaard 2 2 2 6 2 2 2 2 2" xfId="19318"/>
    <cellStyle name="Standaard 2 2 2 6 2 2 2 2 2 2" xfId="19319"/>
    <cellStyle name="Standaard 2 2 2 6 2 2 2 2 3" xfId="19320"/>
    <cellStyle name="Standaard 2 2 2 6 2 2 2 3" xfId="19321"/>
    <cellStyle name="Standaard 2 2 2 6 2 2 2 3 2" xfId="19322"/>
    <cellStyle name="Standaard 2 2 2 6 2 2 2 4" xfId="19323"/>
    <cellStyle name="Standaard 2 2 2 6 2 2 3" xfId="19324"/>
    <cellStyle name="Standaard 2 2 2 6 2 2 3 2" xfId="19325"/>
    <cellStyle name="Standaard 2 2 2 6 2 2 3 2 2" xfId="19326"/>
    <cellStyle name="Standaard 2 2 2 6 2 2 3 3" xfId="19327"/>
    <cellStyle name="Standaard 2 2 2 6 2 2 4" xfId="19328"/>
    <cellStyle name="Standaard 2 2 2 6 2 2 4 2" xfId="19329"/>
    <cellStyle name="Standaard 2 2 2 6 2 2 5" xfId="19330"/>
    <cellStyle name="Standaard 2 2 2 6 2 2 6" xfId="19331"/>
    <cellStyle name="Standaard 2 2 2 6 2 3" xfId="19332"/>
    <cellStyle name="Standaard 2 2 2 6 2 3 2" xfId="19333"/>
    <cellStyle name="Standaard 2 2 2 6 2 3 2 2" xfId="19334"/>
    <cellStyle name="Standaard 2 2 2 6 2 3 2 2 2" xfId="19335"/>
    <cellStyle name="Standaard 2 2 2 6 2 3 2 3" xfId="19336"/>
    <cellStyle name="Standaard 2 2 2 6 2 3 3" xfId="19337"/>
    <cellStyle name="Standaard 2 2 2 6 2 3 3 2" xfId="19338"/>
    <cellStyle name="Standaard 2 2 2 6 2 3 4" xfId="19339"/>
    <cellStyle name="Standaard 2 2 2 6 2 4" xfId="19340"/>
    <cellStyle name="Standaard 2 2 2 6 2 4 2" xfId="19341"/>
    <cellStyle name="Standaard 2 2 2 6 2 4 2 2" xfId="19342"/>
    <cellStyle name="Standaard 2 2 2 6 2 4 3" xfId="19343"/>
    <cellStyle name="Standaard 2 2 2 6 2 5" xfId="19344"/>
    <cellStyle name="Standaard 2 2 2 6 2 5 2" xfId="19345"/>
    <cellStyle name="Standaard 2 2 2 6 2 6" xfId="19346"/>
    <cellStyle name="Standaard 2 2 2 6 2 7" xfId="19347"/>
    <cellStyle name="Standaard 2 2 2 6 3" xfId="19348"/>
    <cellStyle name="Standaard 2 2 2 6 3 2" xfId="19349"/>
    <cellStyle name="Standaard 2 2 2 6 3 2 2" xfId="19350"/>
    <cellStyle name="Standaard 2 2 2 6 3 2 2 2" xfId="19351"/>
    <cellStyle name="Standaard 2 2 2 6 3 2 2 2 2" xfId="19352"/>
    <cellStyle name="Standaard 2 2 2 6 3 2 2 3" xfId="19353"/>
    <cellStyle name="Standaard 2 2 2 6 3 2 3" xfId="19354"/>
    <cellStyle name="Standaard 2 2 2 6 3 2 3 2" xfId="19355"/>
    <cellStyle name="Standaard 2 2 2 6 3 2 4" xfId="19356"/>
    <cellStyle name="Standaard 2 2 2 6 3 3" xfId="19357"/>
    <cellStyle name="Standaard 2 2 2 6 3 3 2" xfId="19358"/>
    <cellStyle name="Standaard 2 2 2 6 3 3 2 2" xfId="19359"/>
    <cellStyle name="Standaard 2 2 2 6 3 3 3" xfId="19360"/>
    <cellStyle name="Standaard 2 2 2 6 3 4" xfId="19361"/>
    <cellStyle name="Standaard 2 2 2 6 3 4 2" xfId="19362"/>
    <cellStyle name="Standaard 2 2 2 6 3 5" xfId="19363"/>
    <cellStyle name="Standaard 2 2 2 6 3 6" xfId="19364"/>
    <cellStyle name="Standaard 2 2 2 6 4" xfId="19365"/>
    <cellStyle name="Standaard 2 2 2 6 4 2" xfId="19366"/>
    <cellStyle name="Standaard 2 2 2 6 4 2 2" xfId="19367"/>
    <cellStyle name="Standaard 2 2 2 6 4 2 2 2" xfId="19368"/>
    <cellStyle name="Standaard 2 2 2 6 4 2 3" xfId="19369"/>
    <cellStyle name="Standaard 2 2 2 6 4 3" xfId="19370"/>
    <cellStyle name="Standaard 2 2 2 6 4 3 2" xfId="19371"/>
    <cellStyle name="Standaard 2 2 2 6 4 4" xfId="19372"/>
    <cellStyle name="Standaard 2 2 2 6 5" xfId="19373"/>
    <cellStyle name="Standaard 2 2 2 6 5 2" xfId="19374"/>
    <cellStyle name="Standaard 2 2 2 6 5 2 2" xfId="19375"/>
    <cellStyle name="Standaard 2 2 2 6 5 3" xfId="19376"/>
    <cellStyle name="Standaard 2 2 2 6 6" xfId="19377"/>
    <cellStyle name="Standaard 2 2 2 6 6 2" xfId="19378"/>
    <cellStyle name="Standaard 2 2 2 6 7" xfId="19379"/>
    <cellStyle name="Standaard 2 2 2 6 8" xfId="19380"/>
    <cellStyle name="Standaard 2 2 2 7" xfId="19381"/>
    <cellStyle name="Standaard 2 2 2 7 2" xfId="19382"/>
    <cellStyle name="Standaard 2 2 2 7 2 2" xfId="19383"/>
    <cellStyle name="Standaard 2 2 2 7 2 2 2" xfId="19384"/>
    <cellStyle name="Standaard 2 2 2 7 2 2 2 2" xfId="19385"/>
    <cellStyle name="Standaard 2 2 2 7 2 2 2 2 2" xfId="19386"/>
    <cellStyle name="Standaard 2 2 2 7 2 2 2 3" xfId="19387"/>
    <cellStyle name="Standaard 2 2 2 7 2 2 3" xfId="19388"/>
    <cellStyle name="Standaard 2 2 2 7 2 2 3 2" xfId="19389"/>
    <cellStyle name="Standaard 2 2 2 7 2 2 4" xfId="19390"/>
    <cellStyle name="Standaard 2 2 2 7 2 3" xfId="19391"/>
    <cellStyle name="Standaard 2 2 2 7 2 3 2" xfId="19392"/>
    <cellStyle name="Standaard 2 2 2 7 2 3 2 2" xfId="19393"/>
    <cellStyle name="Standaard 2 2 2 7 2 3 3" xfId="19394"/>
    <cellStyle name="Standaard 2 2 2 7 2 4" xfId="19395"/>
    <cellStyle name="Standaard 2 2 2 7 2 4 2" xfId="19396"/>
    <cellStyle name="Standaard 2 2 2 7 2 5" xfId="19397"/>
    <cellStyle name="Standaard 2 2 2 7 2 6" xfId="19398"/>
    <cellStyle name="Standaard 2 2 2 7 3" xfId="19399"/>
    <cellStyle name="Standaard 2 2 2 7 3 2" xfId="19400"/>
    <cellStyle name="Standaard 2 2 2 7 3 2 2" xfId="19401"/>
    <cellStyle name="Standaard 2 2 2 7 3 2 2 2" xfId="19402"/>
    <cellStyle name="Standaard 2 2 2 7 3 2 3" xfId="19403"/>
    <cellStyle name="Standaard 2 2 2 7 3 3" xfId="19404"/>
    <cellStyle name="Standaard 2 2 2 7 3 3 2" xfId="19405"/>
    <cellStyle name="Standaard 2 2 2 7 3 4" xfId="19406"/>
    <cellStyle name="Standaard 2 2 2 7 4" xfId="19407"/>
    <cellStyle name="Standaard 2 2 2 7 4 2" xfId="19408"/>
    <cellStyle name="Standaard 2 2 2 7 4 2 2" xfId="19409"/>
    <cellStyle name="Standaard 2 2 2 7 4 3" xfId="19410"/>
    <cellStyle name="Standaard 2 2 2 7 5" xfId="19411"/>
    <cellStyle name="Standaard 2 2 2 7 5 2" xfId="19412"/>
    <cellStyle name="Standaard 2 2 2 7 6" xfId="19413"/>
    <cellStyle name="Standaard 2 2 2 7 7" xfId="19414"/>
    <cellStyle name="Standaard 2 2 2 8" xfId="19415"/>
    <cellStyle name="Standaard 2 2 2 8 2" xfId="19416"/>
    <cellStyle name="Standaard 2 2 2 8 2 2" xfId="19417"/>
    <cellStyle name="Standaard 2 2 2 8 2 2 2" xfId="19418"/>
    <cellStyle name="Standaard 2 2 2 8 2 2 2 2" xfId="19419"/>
    <cellStyle name="Standaard 2 2 2 8 2 2 3" xfId="19420"/>
    <cellStyle name="Standaard 2 2 2 8 2 3" xfId="19421"/>
    <cellStyle name="Standaard 2 2 2 8 2 3 2" xfId="19422"/>
    <cellStyle name="Standaard 2 2 2 8 2 4" xfId="19423"/>
    <cellStyle name="Standaard 2 2 2 8 3" xfId="19424"/>
    <cellStyle name="Standaard 2 2 2 8 3 2" xfId="19425"/>
    <cellStyle name="Standaard 2 2 2 8 3 2 2" xfId="19426"/>
    <cellStyle name="Standaard 2 2 2 8 3 3" xfId="19427"/>
    <cellStyle name="Standaard 2 2 2 8 4" xfId="19428"/>
    <cellStyle name="Standaard 2 2 2 8 4 2" xfId="19429"/>
    <cellStyle name="Standaard 2 2 2 8 5" xfId="19430"/>
    <cellStyle name="Standaard 2 2 2 8 6" xfId="19431"/>
    <cellStyle name="Standaard 2 2 2 9" xfId="19432"/>
    <cellStyle name="Standaard 2 2 2 9 2" xfId="19433"/>
    <cellStyle name="Standaard 2 2 2 9 2 2" xfId="19434"/>
    <cellStyle name="Standaard 2 2 2 9 2 2 2" xfId="19435"/>
    <cellStyle name="Standaard 2 2 2 9 2 3" xfId="19436"/>
    <cellStyle name="Standaard 2 2 2 9 3" xfId="19437"/>
    <cellStyle name="Standaard 2 2 2 9 3 2" xfId="19438"/>
    <cellStyle name="Standaard 2 2 2 9 4" xfId="19439"/>
    <cellStyle name="Standaard 2 2 3" xfId="19440"/>
    <cellStyle name="Standaard 2 2 4" xfId="19441"/>
    <cellStyle name="Standaard 2 20" xfId="19442"/>
    <cellStyle name="Standaard 2 20 2" xfId="19443"/>
    <cellStyle name="Standaard 2 21" xfId="19444"/>
    <cellStyle name="Standaard 2 21 2" xfId="19445"/>
    <cellStyle name="Standaard 2 22" xfId="19446"/>
    <cellStyle name="Standaard 2 22 2" xfId="19447"/>
    <cellStyle name="Standaard 2 23" xfId="19448"/>
    <cellStyle name="Standaard 2 23 2" xfId="19449"/>
    <cellStyle name="Standaard 2 23 2 2" xfId="19450"/>
    <cellStyle name="Standaard 2 23 2 2 2" xfId="19451"/>
    <cellStyle name="Standaard 2 23 2 2 2 2" xfId="19452"/>
    <cellStyle name="Standaard 2 23 2 2 2 2 2" xfId="19453"/>
    <cellStyle name="Standaard 2 23 2 2 2 2 2 2" xfId="19454"/>
    <cellStyle name="Standaard 2 23 2 2 2 2 2 2 2" xfId="19455"/>
    <cellStyle name="Standaard 2 23 2 2 2 2 2 3" xfId="19456"/>
    <cellStyle name="Standaard 2 23 2 2 2 2 3" xfId="19457"/>
    <cellStyle name="Standaard 2 23 2 2 2 2 3 2" xfId="19458"/>
    <cellStyle name="Standaard 2 23 2 2 2 2 4" xfId="19459"/>
    <cellStyle name="Standaard 2 23 2 2 2 3" xfId="19460"/>
    <cellStyle name="Standaard 2 23 2 2 2 3 2" xfId="19461"/>
    <cellStyle name="Standaard 2 23 2 2 2 3 2 2" xfId="19462"/>
    <cellStyle name="Standaard 2 23 2 2 2 3 3" xfId="19463"/>
    <cellStyle name="Standaard 2 23 2 2 2 4" xfId="19464"/>
    <cellStyle name="Standaard 2 23 2 2 2 4 2" xfId="19465"/>
    <cellStyle name="Standaard 2 23 2 2 2 5" xfId="19466"/>
    <cellStyle name="Standaard 2 23 2 2 2 6" xfId="19467"/>
    <cellStyle name="Standaard 2 23 2 2 3" xfId="19468"/>
    <cellStyle name="Standaard 2 23 2 2 3 2" xfId="19469"/>
    <cellStyle name="Standaard 2 23 2 2 3 2 2" xfId="19470"/>
    <cellStyle name="Standaard 2 23 2 2 3 2 2 2" xfId="19471"/>
    <cellStyle name="Standaard 2 23 2 2 3 2 3" xfId="19472"/>
    <cellStyle name="Standaard 2 23 2 2 3 3" xfId="19473"/>
    <cellStyle name="Standaard 2 23 2 2 3 3 2" xfId="19474"/>
    <cellStyle name="Standaard 2 23 2 2 3 4" xfId="19475"/>
    <cellStyle name="Standaard 2 23 2 2 4" xfId="19476"/>
    <cellStyle name="Standaard 2 23 2 2 4 2" xfId="19477"/>
    <cellStyle name="Standaard 2 23 2 2 4 2 2" xfId="19478"/>
    <cellStyle name="Standaard 2 23 2 2 4 3" xfId="19479"/>
    <cellStyle name="Standaard 2 23 2 2 5" xfId="19480"/>
    <cellStyle name="Standaard 2 23 2 2 5 2" xfId="19481"/>
    <cellStyle name="Standaard 2 23 2 2 6" xfId="19482"/>
    <cellStyle name="Standaard 2 23 2 2 7" xfId="19483"/>
    <cellStyle name="Standaard 2 23 2 3" xfId="19484"/>
    <cellStyle name="Standaard 2 23 2 3 2" xfId="19485"/>
    <cellStyle name="Standaard 2 23 2 3 2 2" xfId="19486"/>
    <cellStyle name="Standaard 2 23 2 3 2 2 2" xfId="19487"/>
    <cellStyle name="Standaard 2 23 2 3 2 2 2 2" xfId="19488"/>
    <cellStyle name="Standaard 2 23 2 3 2 2 3" xfId="19489"/>
    <cellStyle name="Standaard 2 23 2 3 2 3" xfId="19490"/>
    <cellStyle name="Standaard 2 23 2 3 2 3 2" xfId="19491"/>
    <cellStyle name="Standaard 2 23 2 3 2 4" xfId="19492"/>
    <cellStyle name="Standaard 2 23 2 3 3" xfId="19493"/>
    <cellStyle name="Standaard 2 23 2 3 3 2" xfId="19494"/>
    <cellStyle name="Standaard 2 23 2 3 3 2 2" xfId="19495"/>
    <cellStyle name="Standaard 2 23 2 3 3 3" xfId="19496"/>
    <cellStyle name="Standaard 2 23 2 3 4" xfId="19497"/>
    <cellStyle name="Standaard 2 23 2 3 4 2" xfId="19498"/>
    <cellStyle name="Standaard 2 23 2 3 5" xfId="19499"/>
    <cellStyle name="Standaard 2 23 2 3 6" xfId="19500"/>
    <cellStyle name="Standaard 2 23 2 4" xfId="19501"/>
    <cellStyle name="Standaard 2 23 2 4 2" xfId="19502"/>
    <cellStyle name="Standaard 2 23 2 4 2 2" xfId="19503"/>
    <cellStyle name="Standaard 2 23 2 4 2 2 2" xfId="19504"/>
    <cellStyle name="Standaard 2 23 2 4 2 3" xfId="19505"/>
    <cellStyle name="Standaard 2 23 2 4 3" xfId="19506"/>
    <cellStyle name="Standaard 2 23 2 4 3 2" xfId="19507"/>
    <cellStyle name="Standaard 2 23 2 4 4" xfId="19508"/>
    <cellStyle name="Standaard 2 23 2 5" xfId="19509"/>
    <cellStyle name="Standaard 2 23 2 5 2" xfId="19510"/>
    <cellStyle name="Standaard 2 23 2 5 2 2" xfId="19511"/>
    <cellStyle name="Standaard 2 23 2 5 3" xfId="19512"/>
    <cellStyle name="Standaard 2 23 2 6" xfId="19513"/>
    <cellStyle name="Standaard 2 23 2 6 2" xfId="19514"/>
    <cellStyle name="Standaard 2 23 2 7" xfId="19515"/>
    <cellStyle name="Standaard 2 23 2 8" xfId="19516"/>
    <cellStyle name="Standaard 2 23 3" xfId="19517"/>
    <cellStyle name="Standaard 2 23 3 2" xfId="19518"/>
    <cellStyle name="Standaard 2 23 3 2 2" xfId="19519"/>
    <cellStyle name="Standaard 2 23 3 2 2 2" xfId="19520"/>
    <cellStyle name="Standaard 2 23 3 2 2 2 2" xfId="19521"/>
    <cellStyle name="Standaard 2 23 3 2 2 2 2 2" xfId="19522"/>
    <cellStyle name="Standaard 2 23 3 2 2 2 3" xfId="19523"/>
    <cellStyle name="Standaard 2 23 3 2 2 3" xfId="19524"/>
    <cellStyle name="Standaard 2 23 3 2 2 3 2" xfId="19525"/>
    <cellStyle name="Standaard 2 23 3 2 2 4" xfId="19526"/>
    <cellStyle name="Standaard 2 23 3 2 3" xfId="19527"/>
    <cellStyle name="Standaard 2 23 3 2 3 2" xfId="19528"/>
    <cellStyle name="Standaard 2 23 3 2 3 2 2" xfId="19529"/>
    <cellStyle name="Standaard 2 23 3 2 3 3" xfId="19530"/>
    <cellStyle name="Standaard 2 23 3 2 4" xfId="19531"/>
    <cellStyle name="Standaard 2 23 3 2 4 2" xfId="19532"/>
    <cellStyle name="Standaard 2 23 3 2 5" xfId="19533"/>
    <cellStyle name="Standaard 2 23 3 2 6" xfId="19534"/>
    <cellStyle name="Standaard 2 23 3 3" xfId="19535"/>
    <cellStyle name="Standaard 2 23 3 3 2" xfId="19536"/>
    <cellStyle name="Standaard 2 23 3 3 2 2" xfId="19537"/>
    <cellStyle name="Standaard 2 23 3 3 2 2 2" xfId="19538"/>
    <cellStyle name="Standaard 2 23 3 3 2 3" xfId="19539"/>
    <cellStyle name="Standaard 2 23 3 3 3" xfId="19540"/>
    <cellStyle name="Standaard 2 23 3 3 3 2" xfId="19541"/>
    <cellStyle name="Standaard 2 23 3 3 4" xfId="19542"/>
    <cellStyle name="Standaard 2 23 3 4" xfId="19543"/>
    <cellStyle name="Standaard 2 23 3 4 2" xfId="19544"/>
    <cellStyle name="Standaard 2 23 3 4 2 2" xfId="19545"/>
    <cellStyle name="Standaard 2 23 3 4 3" xfId="19546"/>
    <cellStyle name="Standaard 2 23 3 5" xfId="19547"/>
    <cellStyle name="Standaard 2 23 3 5 2" xfId="19548"/>
    <cellStyle name="Standaard 2 23 3 6" xfId="19549"/>
    <cellStyle name="Standaard 2 23 3 7" xfId="19550"/>
    <cellStyle name="Standaard 2 23 4" xfId="19551"/>
    <cellStyle name="Standaard 2 23 4 2" xfId="19552"/>
    <cellStyle name="Standaard 2 23 4 2 2" xfId="19553"/>
    <cellStyle name="Standaard 2 23 4 2 2 2" xfId="19554"/>
    <cellStyle name="Standaard 2 23 4 2 2 2 2" xfId="19555"/>
    <cellStyle name="Standaard 2 23 4 2 2 3" xfId="19556"/>
    <cellStyle name="Standaard 2 23 4 2 3" xfId="19557"/>
    <cellStyle name="Standaard 2 23 4 2 3 2" xfId="19558"/>
    <cellStyle name="Standaard 2 23 4 2 4" xfId="19559"/>
    <cellStyle name="Standaard 2 23 4 3" xfId="19560"/>
    <cellStyle name="Standaard 2 23 4 3 2" xfId="19561"/>
    <cellStyle name="Standaard 2 23 4 3 2 2" xfId="19562"/>
    <cellStyle name="Standaard 2 23 4 3 3" xfId="19563"/>
    <cellStyle name="Standaard 2 23 4 4" xfId="19564"/>
    <cellStyle name="Standaard 2 23 4 4 2" xfId="19565"/>
    <cellStyle name="Standaard 2 23 4 5" xfId="19566"/>
    <cellStyle name="Standaard 2 23 4 6" xfId="19567"/>
    <cellStyle name="Standaard 2 23 5" xfId="19568"/>
    <cellStyle name="Standaard 2 23 5 2" xfId="19569"/>
    <cellStyle name="Standaard 2 23 5 2 2" xfId="19570"/>
    <cellStyle name="Standaard 2 23 5 2 2 2" xfId="19571"/>
    <cellStyle name="Standaard 2 23 5 2 3" xfId="19572"/>
    <cellStyle name="Standaard 2 23 5 3" xfId="19573"/>
    <cellStyle name="Standaard 2 23 5 3 2" xfId="19574"/>
    <cellStyle name="Standaard 2 23 5 4" xfId="19575"/>
    <cellStyle name="Standaard 2 23 6" xfId="19576"/>
    <cellStyle name="Standaard 2 23 6 2" xfId="19577"/>
    <cellStyle name="Standaard 2 23 6 2 2" xfId="19578"/>
    <cellStyle name="Standaard 2 23 6 3" xfId="19579"/>
    <cellStyle name="Standaard 2 23 7" xfId="19580"/>
    <cellStyle name="Standaard 2 23 7 2" xfId="19581"/>
    <cellStyle name="Standaard 2 23 8" xfId="19582"/>
    <cellStyle name="Standaard 2 23 9" xfId="19583"/>
    <cellStyle name="Standaard 2 24" xfId="19584"/>
    <cellStyle name="Standaard 2 24 2" xfId="19585"/>
    <cellStyle name="Standaard 2 24 2 2" xfId="19586"/>
    <cellStyle name="Standaard 2 24 2 2 2" xfId="19587"/>
    <cellStyle name="Standaard 2 24 2 2 2 2" xfId="19588"/>
    <cellStyle name="Standaard 2 24 2 2 2 2 2" xfId="19589"/>
    <cellStyle name="Standaard 2 24 2 2 2 2 2 2" xfId="19590"/>
    <cellStyle name="Standaard 2 24 2 2 2 2 3" xfId="19591"/>
    <cellStyle name="Standaard 2 24 2 2 2 3" xfId="19592"/>
    <cellStyle name="Standaard 2 24 2 2 2 3 2" xfId="19593"/>
    <cellStyle name="Standaard 2 24 2 2 2 4" xfId="19594"/>
    <cellStyle name="Standaard 2 24 2 2 3" xfId="19595"/>
    <cellStyle name="Standaard 2 24 2 2 3 2" xfId="19596"/>
    <cellStyle name="Standaard 2 24 2 2 3 2 2" xfId="19597"/>
    <cellStyle name="Standaard 2 24 2 2 3 3" xfId="19598"/>
    <cellStyle name="Standaard 2 24 2 2 4" xfId="19599"/>
    <cellStyle name="Standaard 2 24 2 2 4 2" xfId="19600"/>
    <cellStyle name="Standaard 2 24 2 2 5" xfId="19601"/>
    <cellStyle name="Standaard 2 24 2 2 6" xfId="19602"/>
    <cellStyle name="Standaard 2 24 2 3" xfId="19603"/>
    <cellStyle name="Standaard 2 24 2 3 2" xfId="19604"/>
    <cellStyle name="Standaard 2 24 2 3 2 2" xfId="19605"/>
    <cellStyle name="Standaard 2 24 2 3 2 2 2" xfId="19606"/>
    <cellStyle name="Standaard 2 24 2 3 2 3" xfId="19607"/>
    <cellStyle name="Standaard 2 24 2 3 3" xfId="19608"/>
    <cellStyle name="Standaard 2 24 2 3 3 2" xfId="19609"/>
    <cellStyle name="Standaard 2 24 2 3 4" xfId="19610"/>
    <cellStyle name="Standaard 2 24 2 4" xfId="19611"/>
    <cellStyle name="Standaard 2 24 2 4 2" xfId="19612"/>
    <cellStyle name="Standaard 2 24 2 4 2 2" xfId="19613"/>
    <cellStyle name="Standaard 2 24 2 4 3" xfId="19614"/>
    <cellStyle name="Standaard 2 24 2 5" xfId="19615"/>
    <cellStyle name="Standaard 2 24 2 5 2" xfId="19616"/>
    <cellStyle name="Standaard 2 24 2 6" xfId="19617"/>
    <cellStyle name="Standaard 2 24 2 7" xfId="19618"/>
    <cellStyle name="Standaard 2 24 3" xfId="19619"/>
    <cellStyle name="Standaard 2 24 3 2" xfId="19620"/>
    <cellStyle name="Standaard 2 24 3 2 2" xfId="19621"/>
    <cellStyle name="Standaard 2 24 3 2 2 2" xfId="19622"/>
    <cellStyle name="Standaard 2 24 3 2 2 2 2" xfId="19623"/>
    <cellStyle name="Standaard 2 24 3 2 2 3" xfId="19624"/>
    <cellStyle name="Standaard 2 24 3 2 3" xfId="19625"/>
    <cellStyle name="Standaard 2 24 3 2 3 2" xfId="19626"/>
    <cellStyle name="Standaard 2 24 3 2 4" xfId="19627"/>
    <cellStyle name="Standaard 2 24 3 3" xfId="19628"/>
    <cellStyle name="Standaard 2 24 3 3 2" xfId="19629"/>
    <cellStyle name="Standaard 2 24 3 3 2 2" xfId="19630"/>
    <cellStyle name="Standaard 2 24 3 3 3" xfId="19631"/>
    <cellStyle name="Standaard 2 24 3 4" xfId="19632"/>
    <cellStyle name="Standaard 2 24 3 4 2" xfId="19633"/>
    <cellStyle name="Standaard 2 24 3 5" xfId="19634"/>
    <cellStyle name="Standaard 2 24 3 6" xfId="19635"/>
    <cellStyle name="Standaard 2 24 4" xfId="19636"/>
    <cellStyle name="Standaard 2 24 4 2" xfId="19637"/>
    <cellStyle name="Standaard 2 24 4 2 2" xfId="19638"/>
    <cellStyle name="Standaard 2 24 4 2 2 2" xfId="19639"/>
    <cellStyle name="Standaard 2 24 4 2 3" xfId="19640"/>
    <cellStyle name="Standaard 2 24 4 3" xfId="19641"/>
    <cellStyle name="Standaard 2 24 4 3 2" xfId="19642"/>
    <cellStyle name="Standaard 2 24 4 4" xfId="19643"/>
    <cellStyle name="Standaard 2 24 5" xfId="19644"/>
    <cellStyle name="Standaard 2 24 5 2" xfId="19645"/>
    <cellStyle name="Standaard 2 24 5 2 2" xfId="19646"/>
    <cellStyle name="Standaard 2 24 5 3" xfId="19647"/>
    <cellStyle name="Standaard 2 24 6" xfId="19648"/>
    <cellStyle name="Standaard 2 24 6 2" xfId="19649"/>
    <cellStyle name="Standaard 2 24 7" xfId="19650"/>
    <cellStyle name="Standaard 2 24 8" xfId="19651"/>
    <cellStyle name="Standaard 2 25" xfId="19652"/>
    <cellStyle name="Standaard 2 25 2" xfId="19653"/>
    <cellStyle name="Standaard 2 25 2 2" xfId="19654"/>
    <cellStyle name="Standaard 2 25 2 2 2" xfId="19655"/>
    <cellStyle name="Standaard 2 25 2 2 2 2" xfId="19656"/>
    <cellStyle name="Standaard 2 25 2 2 2 2 2" xfId="19657"/>
    <cellStyle name="Standaard 2 25 2 2 2 2 2 2" xfId="19658"/>
    <cellStyle name="Standaard 2 25 2 2 2 2 3" xfId="19659"/>
    <cellStyle name="Standaard 2 25 2 2 2 3" xfId="19660"/>
    <cellStyle name="Standaard 2 25 2 2 2 3 2" xfId="19661"/>
    <cellStyle name="Standaard 2 25 2 2 2 4" xfId="19662"/>
    <cellStyle name="Standaard 2 25 2 2 3" xfId="19663"/>
    <cellStyle name="Standaard 2 25 2 2 3 2" xfId="19664"/>
    <cellStyle name="Standaard 2 25 2 2 3 2 2" xfId="19665"/>
    <cellStyle name="Standaard 2 25 2 2 3 3" xfId="19666"/>
    <cellStyle name="Standaard 2 25 2 2 4" xfId="19667"/>
    <cellStyle name="Standaard 2 25 2 2 4 2" xfId="19668"/>
    <cellStyle name="Standaard 2 25 2 2 5" xfId="19669"/>
    <cellStyle name="Standaard 2 25 2 2 6" xfId="19670"/>
    <cellStyle name="Standaard 2 25 2 3" xfId="19671"/>
    <cellStyle name="Standaard 2 25 2 3 2" xfId="19672"/>
    <cellStyle name="Standaard 2 25 2 3 2 2" xfId="19673"/>
    <cellStyle name="Standaard 2 25 2 3 2 2 2" xfId="19674"/>
    <cellStyle name="Standaard 2 25 2 3 2 3" xfId="19675"/>
    <cellStyle name="Standaard 2 25 2 3 3" xfId="19676"/>
    <cellStyle name="Standaard 2 25 2 3 3 2" xfId="19677"/>
    <cellStyle name="Standaard 2 25 2 3 4" xfId="19678"/>
    <cellStyle name="Standaard 2 25 2 4" xfId="19679"/>
    <cellStyle name="Standaard 2 25 2 4 2" xfId="19680"/>
    <cellStyle name="Standaard 2 25 2 4 2 2" xfId="19681"/>
    <cellStyle name="Standaard 2 25 2 4 3" xfId="19682"/>
    <cellStyle name="Standaard 2 25 2 5" xfId="19683"/>
    <cellStyle name="Standaard 2 25 2 5 2" xfId="19684"/>
    <cellStyle name="Standaard 2 25 2 6" xfId="19685"/>
    <cellStyle name="Standaard 2 25 2 7" xfId="19686"/>
    <cellStyle name="Standaard 2 25 3" xfId="19687"/>
    <cellStyle name="Standaard 2 25 3 2" xfId="19688"/>
    <cellStyle name="Standaard 2 25 3 2 2" xfId="19689"/>
    <cellStyle name="Standaard 2 25 3 2 2 2" xfId="19690"/>
    <cellStyle name="Standaard 2 25 3 2 2 2 2" xfId="19691"/>
    <cellStyle name="Standaard 2 25 3 2 2 3" xfId="19692"/>
    <cellStyle name="Standaard 2 25 3 2 3" xfId="19693"/>
    <cellStyle name="Standaard 2 25 3 2 3 2" xfId="19694"/>
    <cellStyle name="Standaard 2 25 3 2 4" xfId="19695"/>
    <cellStyle name="Standaard 2 25 3 3" xfId="19696"/>
    <cellStyle name="Standaard 2 25 3 3 2" xfId="19697"/>
    <cellStyle name="Standaard 2 25 3 3 2 2" xfId="19698"/>
    <cellStyle name="Standaard 2 25 3 3 3" xfId="19699"/>
    <cellStyle name="Standaard 2 25 3 4" xfId="19700"/>
    <cellStyle name="Standaard 2 25 3 4 2" xfId="19701"/>
    <cellStyle name="Standaard 2 25 3 5" xfId="19702"/>
    <cellStyle name="Standaard 2 25 3 6" xfId="19703"/>
    <cellStyle name="Standaard 2 25 4" xfId="19704"/>
    <cellStyle name="Standaard 2 25 4 2" xfId="19705"/>
    <cellStyle name="Standaard 2 25 4 2 2" xfId="19706"/>
    <cellStyle name="Standaard 2 25 4 2 2 2" xfId="19707"/>
    <cellStyle name="Standaard 2 25 4 2 3" xfId="19708"/>
    <cellStyle name="Standaard 2 25 4 3" xfId="19709"/>
    <cellStyle name="Standaard 2 25 4 3 2" xfId="19710"/>
    <cellStyle name="Standaard 2 25 4 4" xfId="19711"/>
    <cellStyle name="Standaard 2 25 5" xfId="19712"/>
    <cellStyle name="Standaard 2 25 5 2" xfId="19713"/>
    <cellStyle name="Standaard 2 25 5 2 2" xfId="19714"/>
    <cellStyle name="Standaard 2 25 5 3" xfId="19715"/>
    <cellStyle name="Standaard 2 25 6" xfId="19716"/>
    <cellStyle name="Standaard 2 25 6 2" xfId="19717"/>
    <cellStyle name="Standaard 2 25 7" xfId="19718"/>
    <cellStyle name="Standaard 2 25 8" xfId="19719"/>
    <cellStyle name="Standaard 2 26" xfId="19720"/>
    <cellStyle name="Standaard 2 26 2" xfId="19721"/>
    <cellStyle name="Standaard 2 26 2 2" xfId="19722"/>
    <cellStyle name="Standaard 2 26 2 2 2" xfId="19723"/>
    <cellStyle name="Standaard 2 26 2 2 2 2" xfId="19724"/>
    <cellStyle name="Standaard 2 26 2 2 2 2 2" xfId="19725"/>
    <cellStyle name="Standaard 2 26 2 2 2 3" xfId="19726"/>
    <cellStyle name="Standaard 2 26 2 2 3" xfId="19727"/>
    <cellStyle name="Standaard 2 26 2 2 3 2" xfId="19728"/>
    <cellStyle name="Standaard 2 26 2 2 4" xfId="19729"/>
    <cellStyle name="Standaard 2 26 2 3" xfId="19730"/>
    <cellStyle name="Standaard 2 26 2 3 2" xfId="19731"/>
    <cellStyle name="Standaard 2 26 2 3 2 2" xfId="19732"/>
    <cellStyle name="Standaard 2 26 2 3 3" xfId="19733"/>
    <cellStyle name="Standaard 2 26 2 4" xfId="19734"/>
    <cellStyle name="Standaard 2 26 2 4 2" xfId="19735"/>
    <cellStyle name="Standaard 2 26 2 5" xfId="19736"/>
    <cellStyle name="Standaard 2 26 2 6" xfId="19737"/>
    <cellStyle name="Standaard 2 26 3" xfId="19738"/>
    <cellStyle name="Standaard 2 26 3 2" xfId="19739"/>
    <cellStyle name="Standaard 2 26 3 2 2" xfId="19740"/>
    <cellStyle name="Standaard 2 26 3 2 2 2" xfId="19741"/>
    <cellStyle name="Standaard 2 26 3 2 3" xfId="19742"/>
    <cellStyle name="Standaard 2 26 3 3" xfId="19743"/>
    <cellStyle name="Standaard 2 26 3 3 2" xfId="19744"/>
    <cellStyle name="Standaard 2 26 3 4" xfId="19745"/>
    <cellStyle name="Standaard 2 26 4" xfId="19746"/>
    <cellStyle name="Standaard 2 26 4 2" xfId="19747"/>
    <cellStyle name="Standaard 2 26 4 2 2" xfId="19748"/>
    <cellStyle name="Standaard 2 26 4 3" xfId="19749"/>
    <cellStyle name="Standaard 2 26 5" xfId="19750"/>
    <cellStyle name="Standaard 2 26 5 2" xfId="19751"/>
    <cellStyle name="Standaard 2 26 6" xfId="19752"/>
    <cellStyle name="Standaard 2 26 7" xfId="19753"/>
    <cellStyle name="Standaard 2 27" xfId="19754"/>
    <cellStyle name="Standaard 2 27 2" xfId="19755"/>
    <cellStyle name="Standaard 2 27 2 2" xfId="19756"/>
    <cellStyle name="Standaard 2 27 2 2 2" xfId="19757"/>
    <cellStyle name="Standaard 2 27 2 2 2 2" xfId="19758"/>
    <cellStyle name="Standaard 2 27 2 2 3" xfId="19759"/>
    <cellStyle name="Standaard 2 27 2 3" xfId="19760"/>
    <cellStyle name="Standaard 2 27 2 3 2" xfId="19761"/>
    <cellStyle name="Standaard 2 27 2 4" xfId="19762"/>
    <cellStyle name="Standaard 2 27 3" xfId="19763"/>
    <cellStyle name="Standaard 2 27 3 2" xfId="19764"/>
    <cellStyle name="Standaard 2 27 3 2 2" xfId="19765"/>
    <cellStyle name="Standaard 2 27 3 3" xfId="19766"/>
    <cellStyle name="Standaard 2 27 4" xfId="19767"/>
    <cellStyle name="Standaard 2 27 4 2" xfId="19768"/>
    <cellStyle name="Standaard 2 27 5" xfId="19769"/>
    <cellStyle name="Standaard 2 27 6" xfId="19770"/>
    <cellStyle name="Standaard 2 28" xfId="19771"/>
    <cellStyle name="Standaard 2 28 2" xfId="19772"/>
    <cellStyle name="Standaard 2 28 2 2" xfId="19773"/>
    <cellStyle name="Standaard 2 28 2 2 2" xfId="19774"/>
    <cellStyle name="Standaard 2 28 2 3" xfId="19775"/>
    <cellStyle name="Standaard 2 28 3" xfId="19776"/>
    <cellStyle name="Standaard 2 28 3 2" xfId="19777"/>
    <cellStyle name="Standaard 2 28 4" xfId="19778"/>
    <cellStyle name="Standaard 2 29" xfId="19779"/>
    <cellStyle name="Standaard 2 29 2" xfId="19780"/>
    <cellStyle name="Standaard 2 29 2 2" xfId="19781"/>
    <cellStyle name="Standaard 2 29 3" xfId="19782"/>
    <cellStyle name="Standaard 2 3" xfId="19783"/>
    <cellStyle name="Standaard 2 3 2" xfId="19784"/>
    <cellStyle name="Standaard 2 30" xfId="19785"/>
    <cellStyle name="Standaard 2 30 2" xfId="19786"/>
    <cellStyle name="Standaard 2 31" xfId="19787"/>
    <cellStyle name="Standaard 2 32" xfId="19788"/>
    <cellStyle name="Standaard 2 4" xfId="19789"/>
    <cellStyle name="Standaard 2 4 2" xfId="19790"/>
    <cellStyle name="Standaard 2 5" xfId="19791"/>
    <cellStyle name="Standaard 2 5 2" xfId="19792"/>
    <cellStyle name="Standaard 2 6" xfId="19793"/>
    <cellStyle name="Standaard 2 6 10" xfId="19794"/>
    <cellStyle name="Standaard 2 6 10 2" xfId="19795"/>
    <cellStyle name="Standaard 2 6 11" xfId="19796"/>
    <cellStyle name="Standaard 2 6 12" xfId="19797"/>
    <cellStyle name="Standaard 2 6 2" xfId="19798"/>
    <cellStyle name="Standaard 2 6 2 10" xfId="19799"/>
    <cellStyle name="Standaard 2 6 2 11" xfId="19800"/>
    <cellStyle name="Standaard 2 6 2 2" xfId="19801"/>
    <cellStyle name="Standaard 2 6 2 2 2" xfId="19802"/>
    <cellStyle name="Standaard 2 6 2 2 2 2" xfId="19803"/>
    <cellStyle name="Standaard 2 6 2 2 2 2 2" xfId="19804"/>
    <cellStyle name="Standaard 2 6 2 2 2 2 2 2" xfId="19805"/>
    <cellStyle name="Standaard 2 6 2 2 2 2 2 2 2" xfId="19806"/>
    <cellStyle name="Standaard 2 6 2 2 2 2 2 2 2 2" xfId="19807"/>
    <cellStyle name="Standaard 2 6 2 2 2 2 2 2 2 2 2" xfId="19808"/>
    <cellStyle name="Standaard 2 6 2 2 2 2 2 2 2 3" xfId="19809"/>
    <cellStyle name="Standaard 2 6 2 2 2 2 2 2 3" xfId="19810"/>
    <cellStyle name="Standaard 2 6 2 2 2 2 2 2 3 2" xfId="19811"/>
    <cellStyle name="Standaard 2 6 2 2 2 2 2 2 4" xfId="19812"/>
    <cellStyle name="Standaard 2 6 2 2 2 2 2 3" xfId="19813"/>
    <cellStyle name="Standaard 2 6 2 2 2 2 2 3 2" xfId="19814"/>
    <cellStyle name="Standaard 2 6 2 2 2 2 2 3 2 2" xfId="19815"/>
    <cellStyle name="Standaard 2 6 2 2 2 2 2 3 3" xfId="19816"/>
    <cellStyle name="Standaard 2 6 2 2 2 2 2 4" xfId="19817"/>
    <cellStyle name="Standaard 2 6 2 2 2 2 2 4 2" xfId="19818"/>
    <cellStyle name="Standaard 2 6 2 2 2 2 2 5" xfId="19819"/>
    <cellStyle name="Standaard 2 6 2 2 2 2 2 6" xfId="19820"/>
    <cellStyle name="Standaard 2 6 2 2 2 2 3" xfId="19821"/>
    <cellStyle name="Standaard 2 6 2 2 2 2 3 2" xfId="19822"/>
    <cellStyle name="Standaard 2 6 2 2 2 2 3 2 2" xfId="19823"/>
    <cellStyle name="Standaard 2 6 2 2 2 2 3 2 2 2" xfId="19824"/>
    <cellStyle name="Standaard 2 6 2 2 2 2 3 2 3" xfId="19825"/>
    <cellStyle name="Standaard 2 6 2 2 2 2 3 3" xfId="19826"/>
    <cellStyle name="Standaard 2 6 2 2 2 2 3 3 2" xfId="19827"/>
    <cellStyle name="Standaard 2 6 2 2 2 2 3 4" xfId="19828"/>
    <cellStyle name="Standaard 2 6 2 2 2 2 4" xfId="19829"/>
    <cellStyle name="Standaard 2 6 2 2 2 2 4 2" xfId="19830"/>
    <cellStyle name="Standaard 2 6 2 2 2 2 4 2 2" xfId="19831"/>
    <cellStyle name="Standaard 2 6 2 2 2 2 4 3" xfId="19832"/>
    <cellStyle name="Standaard 2 6 2 2 2 2 5" xfId="19833"/>
    <cellStyle name="Standaard 2 6 2 2 2 2 5 2" xfId="19834"/>
    <cellStyle name="Standaard 2 6 2 2 2 2 6" xfId="19835"/>
    <cellStyle name="Standaard 2 6 2 2 2 2 7" xfId="19836"/>
    <cellStyle name="Standaard 2 6 2 2 2 3" xfId="19837"/>
    <cellStyle name="Standaard 2 6 2 2 2 3 2" xfId="19838"/>
    <cellStyle name="Standaard 2 6 2 2 2 3 2 2" xfId="19839"/>
    <cellStyle name="Standaard 2 6 2 2 2 3 2 2 2" xfId="19840"/>
    <cellStyle name="Standaard 2 6 2 2 2 3 2 2 2 2" xfId="19841"/>
    <cellStyle name="Standaard 2 6 2 2 2 3 2 2 3" xfId="19842"/>
    <cellStyle name="Standaard 2 6 2 2 2 3 2 3" xfId="19843"/>
    <cellStyle name="Standaard 2 6 2 2 2 3 2 3 2" xfId="19844"/>
    <cellStyle name="Standaard 2 6 2 2 2 3 2 4" xfId="19845"/>
    <cellStyle name="Standaard 2 6 2 2 2 3 3" xfId="19846"/>
    <cellStyle name="Standaard 2 6 2 2 2 3 3 2" xfId="19847"/>
    <cellStyle name="Standaard 2 6 2 2 2 3 3 2 2" xfId="19848"/>
    <cellStyle name="Standaard 2 6 2 2 2 3 3 3" xfId="19849"/>
    <cellStyle name="Standaard 2 6 2 2 2 3 4" xfId="19850"/>
    <cellStyle name="Standaard 2 6 2 2 2 3 4 2" xfId="19851"/>
    <cellStyle name="Standaard 2 6 2 2 2 3 5" xfId="19852"/>
    <cellStyle name="Standaard 2 6 2 2 2 3 6" xfId="19853"/>
    <cellStyle name="Standaard 2 6 2 2 2 4" xfId="19854"/>
    <cellStyle name="Standaard 2 6 2 2 2 4 2" xfId="19855"/>
    <cellStyle name="Standaard 2 6 2 2 2 4 2 2" xfId="19856"/>
    <cellStyle name="Standaard 2 6 2 2 2 4 2 2 2" xfId="19857"/>
    <cellStyle name="Standaard 2 6 2 2 2 4 2 3" xfId="19858"/>
    <cellStyle name="Standaard 2 6 2 2 2 4 3" xfId="19859"/>
    <cellStyle name="Standaard 2 6 2 2 2 4 3 2" xfId="19860"/>
    <cellStyle name="Standaard 2 6 2 2 2 4 4" xfId="19861"/>
    <cellStyle name="Standaard 2 6 2 2 2 5" xfId="19862"/>
    <cellStyle name="Standaard 2 6 2 2 2 5 2" xfId="19863"/>
    <cellStyle name="Standaard 2 6 2 2 2 5 2 2" xfId="19864"/>
    <cellStyle name="Standaard 2 6 2 2 2 5 3" xfId="19865"/>
    <cellStyle name="Standaard 2 6 2 2 2 6" xfId="19866"/>
    <cellStyle name="Standaard 2 6 2 2 2 6 2" xfId="19867"/>
    <cellStyle name="Standaard 2 6 2 2 2 7" xfId="19868"/>
    <cellStyle name="Standaard 2 6 2 2 2 8" xfId="19869"/>
    <cellStyle name="Standaard 2 6 2 2 3" xfId="19870"/>
    <cellStyle name="Standaard 2 6 2 2 3 2" xfId="19871"/>
    <cellStyle name="Standaard 2 6 2 2 3 2 2" xfId="19872"/>
    <cellStyle name="Standaard 2 6 2 2 3 2 2 2" xfId="19873"/>
    <cellStyle name="Standaard 2 6 2 2 3 2 2 2 2" xfId="19874"/>
    <cellStyle name="Standaard 2 6 2 2 3 2 2 2 2 2" xfId="19875"/>
    <cellStyle name="Standaard 2 6 2 2 3 2 2 2 3" xfId="19876"/>
    <cellStyle name="Standaard 2 6 2 2 3 2 2 3" xfId="19877"/>
    <cellStyle name="Standaard 2 6 2 2 3 2 2 3 2" xfId="19878"/>
    <cellStyle name="Standaard 2 6 2 2 3 2 2 4" xfId="19879"/>
    <cellStyle name="Standaard 2 6 2 2 3 2 3" xfId="19880"/>
    <cellStyle name="Standaard 2 6 2 2 3 2 3 2" xfId="19881"/>
    <cellStyle name="Standaard 2 6 2 2 3 2 3 2 2" xfId="19882"/>
    <cellStyle name="Standaard 2 6 2 2 3 2 3 3" xfId="19883"/>
    <cellStyle name="Standaard 2 6 2 2 3 2 4" xfId="19884"/>
    <cellStyle name="Standaard 2 6 2 2 3 2 4 2" xfId="19885"/>
    <cellStyle name="Standaard 2 6 2 2 3 2 5" xfId="19886"/>
    <cellStyle name="Standaard 2 6 2 2 3 2 6" xfId="19887"/>
    <cellStyle name="Standaard 2 6 2 2 3 3" xfId="19888"/>
    <cellStyle name="Standaard 2 6 2 2 3 3 2" xfId="19889"/>
    <cellStyle name="Standaard 2 6 2 2 3 3 2 2" xfId="19890"/>
    <cellStyle name="Standaard 2 6 2 2 3 3 2 2 2" xfId="19891"/>
    <cellStyle name="Standaard 2 6 2 2 3 3 2 3" xfId="19892"/>
    <cellStyle name="Standaard 2 6 2 2 3 3 3" xfId="19893"/>
    <cellStyle name="Standaard 2 6 2 2 3 3 3 2" xfId="19894"/>
    <cellStyle name="Standaard 2 6 2 2 3 3 4" xfId="19895"/>
    <cellStyle name="Standaard 2 6 2 2 3 4" xfId="19896"/>
    <cellStyle name="Standaard 2 6 2 2 3 4 2" xfId="19897"/>
    <cellStyle name="Standaard 2 6 2 2 3 4 2 2" xfId="19898"/>
    <cellStyle name="Standaard 2 6 2 2 3 4 3" xfId="19899"/>
    <cellStyle name="Standaard 2 6 2 2 3 5" xfId="19900"/>
    <cellStyle name="Standaard 2 6 2 2 3 5 2" xfId="19901"/>
    <cellStyle name="Standaard 2 6 2 2 3 6" xfId="19902"/>
    <cellStyle name="Standaard 2 6 2 2 3 7" xfId="19903"/>
    <cellStyle name="Standaard 2 6 2 2 4" xfId="19904"/>
    <cellStyle name="Standaard 2 6 2 2 4 2" xfId="19905"/>
    <cellStyle name="Standaard 2 6 2 2 4 2 2" xfId="19906"/>
    <cellStyle name="Standaard 2 6 2 2 4 2 2 2" xfId="19907"/>
    <cellStyle name="Standaard 2 6 2 2 4 2 2 2 2" xfId="19908"/>
    <cellStyle name="Standaard 2 6 2 2 4 2 2 3" xfId="19909"/>
    <cellStyle name="Standaard 2 6 2 2 4 2 3" xfId="19910"/>
    <cellStyle name="Standaard 2 6 2 2 4 2 3 2" xfId="19911"/>
    <cellStyle name="Standaard 2 6 2 2 4 2 4" xfId="19912"/>
    <cellStyle name="Standaard 2 6 2 2 4 3" xfId="19913"/>
    <cellStyle name="Standaard 2 6 2 2 4 3 2" xfId="19914"/>
    <cellStyle name="Standaard 2 6 2 2 4 3 2 2" xfId="19915"/>
    <cellStyle name="Standaard 2 6 2 2 4 3 3" xfId="19916"/>
    <cellStyle name="Standaard 2 6 2 2 4 4" xfId="19917"/>
    <cellStyle name="Standaard 2 6 2 2 4 4 2" xfId="19918"/>
    <cellStyle name="Standaard 2 6 2 2 4 5" xfId="19919"/>
    <cellStyle name="Standaard 2 6 2 2 4 6" xfId="19920"/>
    <cellStyle name="Standaard 2 6 2 2 5" xfId="19921"/>
    <cellStyle name="Standaard 2 6 2 2 5 2" xfId="19922"/>
    <cellStyle name="Standaard 2 6 2 2 5 2 2" xfId="19923"/>
    <cellStyle name="Standaard 2 6 2 2 5 2 2 2" xfId="19924"/>
    <cellStyle name="Standaard 2 6 2 2 5 2 3" xfId="19925"/>
    <cellStyle name="Standaard 2 6 2 2 5 3" xfId="19926"/>
    <cellStyle name="Standaard 2 6 2 2 5 3 2" xfId="19927"/>
    <cellStyle name="Standaard 2 6 2 2 5 4" xfId="19928"/>
    <cellStyle name="Standaard 2 6 2 2 6" xfId="19929"/>
    <cellStyle name="Standaard 2 6 2 2 6 2" xfId="19930"/>
    <cellStyle name="Standaard 2 6 2 2 6 2 2" xfId="19931"/>
    <cellStyle name="Standaard 2 6 2 2 6 3" xfId="19932"/>
    <cellStyle name="Standaard 2 6 2 2 7" xfId="19933"/>
    <cellStyle name="Standaard 2 6 2 2 7 2" xfId="19934"/>
    <cellStyle name="Standaard 2 6 2 2 8" xfId="19935"/>
    <cellStyle name="Standaard 2 6 2 2 9" xfId="19936"/>
    <cellStyle name="Standaard 2 6 2 3" xfId="19937"/>
    <cellStyle name="Standaard 2 6 2 3 2" xfId="19938"/>
    <cellStyle name="Standaard 2 6 2 3 2 2" xfId="19939"/>
    <cellStyle name="Standaard 2 6 2 3 2 2 2" xfId="19940"/>
    <cellStyle name="Standaard 2 6 2 3 2 2 2 2" xfId="19941"/>
    <cellStyle name="Standaard 2 6 2 3 2 2 2 2 2" xfId="19942"/>
    <cellStyle name="Standaard 2 6 2 3 2 2 2 2 2 2" xfId="19943"/>
    <cellStyle name="Standaard 2 6 2 3 2 2 2 2 3" xfId="19944"/>
    <cellStyle name="Standaard 2 6 2 3 2 2 2 3" xfId="19945"/>
    <cellStyle name="Standaard 2 6 2 3 2 2 2 3 2" xfId="19946"/>
    <cellStyle name="Standaard 2 6 2 3 2 2 2 4" xfId="19947"/>
    <cellStyle name="Standaard 2 6 2 3 2 2 3" xfId="19948"/>
    <cellStyle name="Standaard 2 6 2 3 2 2 3 2" xfId="19949"/>
    <cellStyle name="Standaard 2 6 2 3 2 2 3 2 2" xfId="19950"/>
    <cellStyle name="Standaard 2 6 2 3 2 2 3 3" xfId="19951"/>
    <cellStyle name="Standaard 2 6 2 3 2 2 4" xfId="19952"/>
    <cellStyle name="Standaard 2 6 2 3 2 2 4 2" xfId="19953"/>
    <cellStyle name="Standaard 2 6 2 3 2 2 5" xfId="19954"/>
    <cellStyle name="Standaard 2 6 2 3 2 2 6" xfId="19955"/>
    <cellStyle name="Standaard 2 6 2 3 2 3" xfId="19956"/>
    <cellStyle name="Standaard 2 6 2 3 2 3 2" xfId="19957"/>
    <cellStyle name="Standaard 2 6 2 3 2 3 2 2" xfId="19958"/>
    <cellStyle name="Standaard 2 6 2 3 2 3 2 2 2" xfId="19959"/>
    <cellStyle name="Standaard 2 6 2 3 2 3 2 3" xfId="19960"/>
    <cellStyle name="Standaard 2 6 2 3 2 3 3" xfId="19961"/>
    <cellStyle name="Standaard 2 6 2 3 2 3 3 2" xfId="19962"/>
    <cellStyle name="Standaard 2 6 2 3 2 3 4" xfId="19963"/>
    <cellStyle name="Standaard 2 6 2 3 2 4" xfId="19964"/>
    <cellStyle name="Standaard 2 6 2 3 2 4 2" xfId="19965"/>
    <cellStyle name="Standaard 2 6 2 3 2 4 2 2" xfId="19966"/>
    <cellStyle name="Standaard 2 6 2 3 2 4 3" xfId="19967"/>
    <cellStyle name="Standaard 2 6 2 3 2 5" xfId="19968"/>
    <cellStyle name="Standaard 2 6 2 3 2 5 2" xfId="19969"/>
    <cellStyle name="Standaard 2 6 2 3 2 6" xfId="19970"/>
    <cellStyle name="Standaard 2 6 2 3 2 7" xfId="19971"/>
    <cellStyle name="Standaard 2 6 2 3 3" xfId="19972"/>
    <cellStyle name="Standaard 2 6 2 3 3 2" xfId="19973"/>
    <cellStyle name="Standaard 2 6 2 3 3 2 2" xfId="19974"/>
    <cellStyle name="Standaard 2 6 2 3 3 2 2 2" xfId="19975"/>
    <cellStyle name="Standaard 2 6 2 3 3 2 2 2 2" xfId="19976"/>
    <cellStyle name="Standaard 2 6 2 3 3 2 2 3" xfId="19977"/>
    <cellStyle name="Standaard 2 6 2 3 3 2 3" xfId="19978"/>
    <cellStyle name="Standaard 2 6 2 3 3 2 3 2" xfId="19979"/>
    <cellStyle name="Standaard 2 6 2 3 3 2 4" xfId="19980"/>
    <cellStyle name="Standaard 2 6 2 3 3 3" xfId="19981"/>
    <cellStyle name="Standaard 2 6 2 3 3 3 2" xfId="19982"/>
    <cellStyle name="Standaard 2 6 2 3 3 3 2 2" xfId="19983"/>
    <cellStyle name="Standaard 2 6 2 3 3 3 3" xfId="19984"/>
    <cellStyle name="Standaard 2 6 2 3 3 4" xfId="19985"/>
    <cellStyle name="Standaard 2 6 2 3 3 4 2" xfId="19986"/>
    <cellStyle name="Standaard 2 6 2 3 3 5" xfId="19987"/>
    <cellStyle name="Standaard 2 6 2 3 3 6" xfId="19988"/>
    <cellStyle name="Standaard 2 6 2 3 4" xfId="19989"/>
    <cellStyle name="Standaard 2 6 2 3 4 2" xfId="19990"/>
    <cellStyle name="Standaard 2 6 2 3 4 2 2" xfId="19991"/>
    <cellStyle name="Standaard 2 6 2 3 4 2 2 2" xfId="19992"/>
    <cellStyle name="Standaard 2 6 2 3 4 2 3" xfId="19993"/>
    <cellStyle name="Standaard 2 6 2 3 4 3" xfId="19994"/>
    <cellStyle name="Standaard 2 6 2 3 4 3 2" xfId="19995"/>
    <cellStyle name="Standaard 2 6 2 3 4 4" xfId="19996"/>
    <cellStyle name="Standaard 2 6 2 3 5" xfId="19997"/>
    <cellStyle name="Standaard 2 6 2 3 5 2" xfId="19998"/>
    <cellStyle name="Standaard 2 6 2 3 5 2 2" xfId="19999"/>
    <cellStyle name="Standaard 2 6 2 3 5 3" xfId="20000"/>
    <cellStyle name="Standaard 2 6 2 3 6" xfId="20001"/>
    <cellStyle name="Standaard 2 6 2 3 6 2" xfId="20002"/>
    <cellStyle name="Standaard 2 6 2 3 7" xfId="20003"/>
    <cellStyle name="Standaard 2 6 2 3 8" xfId="20004"/>
    <cellStyle name="Standaard 2 6 2 4" xfId="20005"/>
    <cellStyle name="Standaard 2 6 2 4 2" xfId="20006"/>
    <cellStyle name="Standaard 2 6 2 4 2 2" xfId="20007"/>
    <cellStyle name="Standaard 2 6 2 4 2 2 2" xfId="20008"/>
    <cellStyle name="Standaard 2 6 2 4 2 2 2 2" xfId="20009"/>
    <cellStyle name="Standaard 2 6 2 4 2 2 2 2 2" xfId="20010"/>
    <cellStyle name="Standaard 2 6 2 4 2 2 2 2 2 2" xfId="20011"/>
    <cellStyle name="Standaard 2 6 2 4 2 2 2 2 3" xfId="20012"/>
    <cellStyle name="Standaard 2 6 2 4 2 2 2 3" xfId="20013"/>
    <cellStyle name="Standaard 2 6 2 4 2 2 2 3 2" xfId="20014"/>
    <cellStyle name="Standaard 2 6 2 4 2 2 2 4" xfId="20015"/>
    <cellStyle name="Standaard 2 6 2 4 2 2 3" xfId="20016"/>
    <cellStyle name="Standaard 2 6 2 4 2 2 3 2" xfId="20017"/>
    <cellStyle name="Standaard 2 6 2 4 2 2 3 2 2" xfId="20018"/>
    <cellStyle name="Standaard 2 6 2 4 2 2 3 3" xfId="20019"/>
    <cellStyle name="Standaard 2 6 2 4 2 2 4" xfId="20020"/>
    <cellStyle name="Standaard 2 6 2 4 2 2 4 2" xfId="20021"/>
    <cellStyle name="Standaard 2 6 2 4 2 2 5" xfId="20022"/>
    <cellStyle name="Standaard 2 6 2 4 2 2 6" xfId="20023"/>
    <cellStyle name="Standaard 2 6 2 4 2 3" xfId="20024"/>
    <cellStyle name="Standaard 2 6 2 4 2 3 2" xfId="20025"/>
    <cellStyle name="Standaard 2 6 2 4 2 3 2 2" xfId="20026"/>
    <cellStyle name="Standaard 2 6 2 4 2 3 2 2 2" xfId="20027"/>
    <cellStyle name="Standaard 2 6 2 4 2 3 2 3" xfId="20028"/>
    <cellStyle name="Standaard 2 6 2 4 2 3 3" xfId="20029"/>
    <cellStyle name="Standaard 2 6 2 4 2 3 3 2" xfId="20030"/>
    <cellStyle name="Standaard 2 6 2 4 2 3 4" xfId="20031"/>
    <cellStyle name="Standaard 2 6 2 4 2 4" xfId="20032"/>
    <cellStyle name="Standaard 2 6 2 4 2 4 2" xfId="20033"/>
    <cellStyle name="Standaard 2 6 2 4 2 4 2 2" xfId="20034"/>
    <cellStyle name="Standaard 2 6 2 4 2 4 3" xfId="20035"/>
    <cellStyle name="Standaard 2 6 2 4 2 5" xfId="20036"/>
    <cellStyle name="Standaard 2 6 2 4 2 5 2" xfId="20037"/>
    <cellStyle name="Standaard 2 6 2 4 2 6" xfId="20038"/>
    <cellStyle name="Standaard 2 6 2 4 2 7" xfId="20039"/>
    <cellStyle name="Standaard 2 6 2 4 3" xfId="20040"/>
    <cellStyle name="Standaard 2 6 2 4 3 2" xfId="20041"/>
    <cellStyle name="Standaard 2 6 2 4 3 2 2" xfId="20042"/>
    <cellStyle name="Standaard 2 6 2 4 3 2 2 2" xfId="20043"/>
    <cellStyle name="Standaard 2 6 2 4 3 2 2 2 2" xfId="20044"/>
    <cellStyle name="Standaard 2 6 2 4 3 2 2 3" xfId="20045"/>
    <cellStyle name="Standaard 2 6 2 4 3 2 3" xfId="20046"/>
    <cellStyle name="Standaard 2 6 2 4 3 2 3 2" xfId="20047"/>
    <cellStyle name="Standaard 2 6 2 4 3 2 4" xfId="20048"/>
    <cellStyle name="Standaard 2 6 2 4 3 3" xfId="20049"/>
    <cellStyle name="Standaard 2 6 2 4 3 3 2" xfId="20050"/>
    <cellStyle name="Standaard 2 6 2 4 3 3 2 2" xfId="20051"/>
    <cellStyle name="Standaard 2 6 2 4 3 3 3" xfId="20052"/>
    <cellStyle name="Standaard 2 6 2 4 3 4" xfId="20053"/>
    <cellStyle name="Standaard 2 6 2 4 3 4 2" xfId="20054"/>
    <cellStyle name="Standaard 2 6 2 4 3 5" xfId="20055"/>
    <cellStyle name="Standaard 2 6 2 4 3 6" xfId="20056"/>
    <cellStyle name="Standaard 2 6 2 4 4" xfId="20057"/>
    <cellStyle name="Standaard 2 6 2 4 4 2" xfId="20058"/>
    <cellStyle name="Standaard 2 6 2 4 4 2 2" xfId="20059"/>
    <cellStyle name="Standaard 2 6 2 4 4 2 2 2" xfId="20060"/>
    <cellStyle name="Standaard 2 6 2 4 4 2 3" xfId="20061"/>
    <cellStyle name="Standaard 2 6 2 4 4 3" xfId="20062"/>
    <cellStyle name="Standaard 2 6 2 4 4 3 2" xfId="20063"/>
    <cellStyle name="Standaard 2 6 2 4 4 4" xfId="20064"/>
    <cellStyle name="Standaard 2 6 2 4 5" xfId="20065"/>
    <cellStyle name="Standaard 2 6 2 4 5 2" xfId="20066"/>
    <cellStyle name="Standaard 2 6 2 4 5 2 2" xfId="20067"/>
    <cellStyle name="Standaard 2 6 2 4 5 3" xfId="20068"/>
    <cellStyle name="Standaard 2 6 2 4 6" xfId="20069"/>
    <cellStyle name="Standaard 2 6 2 4 6 2" xfId="20070"/>
    <cellStyle name="Standaard 2 6 2 4 7" xfId="20071"/>
    <cellStyle name="Standaard 2 6 2 4 8" xfId="20072"/>
    <cellStyle name="Standaard 2 6 2 5" xfId="20073"/>
    <cellStyle name="Standaard 2 6 2 5 2" xfId="20074"/>
    <cellStyle name="Standaard 2 6 2 5 2 2" xfId="20075"/>
    <cellStyle name="Standaard 2 6 2 5 2 2 2" xfId="20076"/>
    <cellStyle name="Standaard 2 6 2 5 2 2 2 2" xfId="20077"/>
    <cellStyle name="Standaard 2 6 2 5 2 2 2 2 2" xfId="20078"/>
    <cellStyle name="Standaard 2 6 2 5 2 2 2 3" xfId="20079"/>
    <cellStyle name="Standaard 2 6 2 5 2 2 3" xfId="20080"/>
    <cellStyle name="Standaard 2 6 2 5 2 2 3 2" xfId="20081"/>
    <cellStyle name="Standaard 2 6 2 5 2 2 4" xfId="20082"/>
    <cellStyle name="Standaard 2 6 2 5 2 3" xfId="20083"/>
    <cellStyle name="Standaard 2 6 2 5 2 3 2" xfId="20084"/>
    <cellStyle name="Standaard 2 6 2 5 2 3 2 2" xfId="20085"/>
    <cellStyle name="Standaard 2 6 2 5 2 3 3" xfId="20086"/>
    <cellStyle name="Standaard 2 6 2 5 2 4" xfId="20087"/>
    <cellStyle name="Standaard 2 6 2 5 2 4 2" xfId="20088"/>
    <cellStyle name="Standaard 2 6 2 5 2 5" xfId="20089"/>
    <cellStyle name="Standaard 2 6 2 5 2 6" xfId="20090"/>
    <cellStyle name="Standaard 2 6 2 5 3" xfId="20091"/>
    <cellStyle name="Standaard 2 6 2 5 3 2" xfId="20092"/>
    <cellStyle name="Standaard 2 6 2 5 3 2 2" xfId="20093"/>
    <cellStyle name="Standaard 2 6 2 5 3 2 2 2" xfId="20094"/>
    <cellStyle name="Standaard 2 6 2 5 3 2 3" xfId="20095"/>
    <cellStyle name="Standaard 2 6 2 5 3 3" xfId="20096"/>
    <cellStyle name="Standaard 2 6 2 5 3 3 2" xfId="20097"/>
    <cellStyle name="Standaard 2 6 2 5 3 4" xfId="20098"/>
    <cellStyle name="Standaard 2 6 2 5 4" xfId="20099"/>
    <cellStyle name="Standaard 2 6 2 5 4 2" xfId="20100"/>
    <cellStyle name="Standaard 2 6 2 5 4 2 2" xfId="20101"/>
    <cellStyle name="Standaard 2 6 2 5 4 3" xfId="20102"/>
    <cellStyle name="Standaard 2 6 2 5 5" xfId="20103"/>
    <cellStyle name="Standaard 2 6 2 5 5 2" xfId="20104"/>
    <cellStyle name="Standaard 2 6 2 5 6" xfId="20105"/>
    <cellStyle name="Standaard 2 6 2 5 7" xfId="20106"/>
    <cellStyle name="Standaard 2 6 2 6" xfId="20107"/>
    <cellStyle name="Standaard 2 6 2 6 2" xfId="20108"/>
    <cellStyle name="Standaard 2 6 2 6 2 2" xfId="20109"/>
    <cellStyle name="Standaard 2 6 2 6 2 2 2" xfId="20110"/>
    <cellStyle name="Standaard 2 6 2 6 2 2 2 2" xfId="20111"/>
    <cellStyle name="Standaard 2 6 2 6 2 2 3" xfId="20112"/>
    <cellStyle name="Standaard 2 6 2 6 2 3" xfId="20113"/>
    <cellStyle name="Standaard 2 6 2 6 2 3 2" xfId="20114"/>
    <cellStyle name="Standaard 2 6 2 6 2 4" xfId="20115"/>
    <cellStyle name="Standaard 2 6 2 6 3" xfId="20116"/>
    <cellStyle name="Standaard 2 6 2 6 3 2" xfId="20117"/>
    <cellStyle name="Standaard 2 6 2 6 3 2 2" xfId="20118"/>
    <cellStyle name="Standaard 2 6 2 6 3 3" xfId="20119"/>
    <cellStyle name="Standaard 2 6 2 6 4" xfId="20120"/>
    <cellStyle name="Standaard 2 6 2 6 4 2" xfId="20121"/>
    <cellStyle name="Standaard 2 6 2 6 5" xfId="20122"/>
    <cellStyle name="Standaard 2 6 2 6 6" xfId="20123"/>
    <cellStyle name="Standaard 2 6 2 7" xfId="20124"/>
    <cellStyle name="Standaard 2 6 2 7 2" xfId="20125"/>
    <cellStyle name="Standaard 2 6 2 7 2 2" xfId="20126"/>
    <cellStyle name="Standaard 2 6 2 7 2 2 2" xfId="20127"/>
    <cellStyle name="Standaard 2 6 2 7 2 3" xfId="20128"/>
    <cellStyle name="Standaard 2 6 2 7 3" xfId="20129"/>
    <cellStyle name="Standaard 2 6 2 7 3 2" xfId="20130"/>
    <cellStyle name="Standaard 2 6 2 7 4" xfId="20131"/>
    <cellStyle name="Standaard 2 6 2 8" xfId="20132"/>
    <cellStyle name="Standaard 2 6 2 8 2" xfId="20133"/>
    <cellStyle name="Standaard 2 6 2 8 2 2" xfId="20134"/>
    <cellStyle name="Standaard 2 6 2 8 3" xfId="20135"/>
    <cellStyle name="Standaard 2 6 2 9" xfId="20136"/>
    <cellStyle name="Standaard 2 6 2 9 2" xfId="20137"/>
    <cellStyle name="Standaard 2 6 3" xfId="20138"/>
    <cellStyle name="Standaard 2 6 3 2" xfId="20139"/>
    <cellStyle name="Standaard 2 6 3 2 2" xfId="20140"/>
    <cellStyle name="Standaard 2 6 3 2 2 2" xfId="20141"/>
    <cellStyle name="Standaard 2 6 3 2 2 2 2" xfId="20142"/>
    <cellStyle name="Standaard 2 6 3 2 2 2 2 2" xfId="20143"/>
    <cellStyle name="Standaard 2 6 3 2 2 2 2 2 2" xfId="20144"/>
    <cellStyle name="Standaard 2 6 3 2 2 2 2 2 2 2" xfId="20145"/>
    <cellStyle name="Standaard 2 6 3 2 2 2 2 2 3" xfId="20146"/>
    <cellStyle name="Standaard 2 6 3 2 2 2 2 3" xfId="20147"/>
    <cellStyle name="Standaard 2 6 3 2 2 2 2 3 2" xfId="20148"/>
    <cellStyle name="Standaard 2 6 3 2 2 2 2 4" xfId="20149"/>
    <cellStyle name="Standaard 2 6 3 2 2 2 3" xfId="20150"/>
    <cellStyle name="Standaard 2 6 3 2 2 2 3 2" xfId="20151"/>
    <cellStyle name="Standaard 2 6 3 2 2 2 3 2 2" xfId="20152"/>
    <cellStyle name="Standaard 2 6 3 2 2 2 3 3" xfId="20153"/>
    <cellStyle name="Standaard 2 6 3 2 2 2 4" xfId="20154"/>
    <cellStyle name="Standaard 2 6 3 2 2 2 4 2" xfId="20155"/>
    <cellStyle name="Standaard 2 6 3 2 2 2 5" xfId="20156"/>
    <cellStyle name="Standaard 2 6 3 2 2 2 6" xfId="20157"/>
    <cellStyle name="Standaard 2 6 3 2 2 3" xfId="20158"/>
    <cellStyle name="Standaard 2 6 3 2 2 3 2" xfId="20159"/>
    <cellStyle name="Standaard 2 6 3 2 2 3 2 2" xfId="20160"/>
    <cellStyle name="Standaard 2 6 3 2 2 3 2 2 2" xfId="20161"/>
    <cellStyle name="Standaard 2 6 3 2 2 3 2 3" xfId="20162"/>
    <cellStyle name="Standaard 2 6 3 2 2 3 3" xfId="20163"/>
    <cellStyle name="Standaard 2 6 3 2 2 3 3 2" xfId="20164"/>
    <cellStyle name="Standaard 2 6 3 2 2 3 4" xfId="20165"/>
    <cellStyle name="Standaard 2 6 3 2 2 4" xfId="20166"/>
    <cellStyle name="Standaard 2 6 3 2 2 4 2" xfId="20167"/>
    <cellStyle name="Standaard 2 6 3 2 2 4 2 2" xfId="20168"/>
    <cellStyle name="Standaard 2 6 3 2 2 4 3" xfId="20169"/>
    <cellStyle name="Standaard 2 6 3 2 2 5" xfId="20170"/>
    <cellStyle name="Standaard 2 6 3 2 2 5 2" xfId="20171"/>
    <cellStyle name="Standaard 2 6 3 2 2 6" xfId="20172"/>
    <cellStyle name="Standaard 2 6 3 2 2 7" xfId="20173"/>
    <cellStyle name="Standaard 2 6 3 2 3" xfId="20174"/>
    <cellStyle name="Standaard 2 6 3 2 3 2" xfId="20175"/>
    <cellStyle name="Standaard 2 6 3 2 3 2 2" xfId="20176"/>
    <cellStyle name="Standaard 2 6 3 2 3 2 2 2" xfId="20177"/>
    <cellStyle name="Standaard 2 6 3 2 3 2 2 2 2" xfId="20178"/>
    <cellStyle name="Standaard 2 6 3 2 3 2 2 3" xfId="20179"/>
    <cellStyle name="Standaard 2 6 3 2 3 2 3" xfId="20180"/>
    <cellStyle name="Standaard 2 6 3 2 3 2 3 2" xfId="20181"/>
    <cellStyle name="Standaard 2 6 3 2 3 2 4" xfId="20182"/>
    <cellStyle name="Standaard 2 6 3 2 3 3" xfId="20183"/>
    <cellStyle name="Standaard 2 6 3 2 3 3 2" xfId="20184"/>
    <cellStyle name="Standaard 2 6 3 2 3 3 2 2" xfId="20185"/>
    <cellStyle name="Standaard 2 6 3 2 3 3 3" xfId="20186"/>
    <cellStyle name="Standaard 2 6 3 2 3 4" xfId="20187"/>
    <cellStyle name="Standaard 2 6 3 2 3 4 2" xfId="20188"/>
    <cellStyle name="Standaard 2 6 3 2 3 5" xfId="20189"/>
    <cellStyle name="Standaard 2 6 3 2 3 6" xfId="20190"/>
    <cellStyle name="Standaard 2 6 3 2 4" xfId="20191"/>
    <cellStyle name="Standaard 2 6 3 2 4 2" xfId="20192"/>
    <cellStyle name="Standaard 2 6 3 2 4 2 2" xfId="20193"/>
    <cellStyle name="Standaard 2 6 3 2 4 2 2 2" xfId="20194"/>
    <cellStyle name="Standaard 2 6 3 2 4 2 3" xfId="20195"/>
    <cellStyle name="Standaard 2 6 3 2 4 3" xfId="20196"/>
    <cellStyle name="Standaard 2 6 3 2 4 3 2" xfId="20197"/>
    <cellStyle name="Standaard 2 6 3 2 4 4" xfId="20198"/>
    <cellStyle name="Standaard 2 6 3 2 5" xfId="20199"/>
    <cellStyle name="Standaard 2 6 3 2 5 2" xfId="20200"/>
    <cellStyle name="Standaard 2 6 3 2 5 2 2" xfId="20201"/>
    <cellStyle name="Standaard 2 6 3 2 5 3" xfId="20202"/>
    <cellStyle name="Standaard 2 6 3 2 6" xfId="20203"/>
    <cellStyle name="Standaard 2 6 3 2 6 2" xfId="20204"/>
    <cellStyle name="Standaard 2 6 3 2 7" xfId="20205"/>
    <cellStyle name="Standaard 2 6 3 2 8" xfId="20206"/>
    <cellStyle name="Standaard 2 6 3 3" xfId="20207"/>
    <cellStyle name="Standaard 2 6 3 3 2" xfId="20208"/>
    <cellStyle name="Standaard 2 6 3 3 2 2" xfId="20209"/>
    <cellStyle name="Standaard 2 6 3 3 2 2 2" xfId="20210"/>
    <cellStyle name="Standaard 2 6 3 3 2 2 2 2" xfId="20211"/>
    <cellStyle name="Standaard 2 6 3 3 2 2 2 2 2" xfId="20212"/>
    <cellStyle name="Standaard 2 6 3 3 2 2 2 3" xfId="20213"/>
    <cellStyle name="Standaard 2 6 3 3 2 2 3" xfId="20214"/>
    <cellStyle name="Standaard 2 6 3 3 2 2 3 2" xfId="20215"/>
    <cellStyle name="Standaard 2 6 3 3 2 2 4" xfId="20216"/>
    <cellStyle name="Standaard 2 6 3 3 2 3" xfId="20217"/>
    <cellStyle name="Standaard 2 6 3 3 2 3 2" xfId="20218"/>
    <cellStyle name="Standaard 2 6 3 3 2 3 2 2" xfId="20219"/>
    <cellStyle name="Standaard 2 6 3 3 2 3 3" xfId="20220"/>
    <cellStyle name="Standaard 2 6 3 3 2 4" xfId="20221"/>
    <cellStyle name="Standaard 2 6 3 3 2 4 2" xfId="20222"/>
    <cellStyle name="Standaard 2 6 3 3 2 5" xfId="20223"/>
    <cellStyle name="Standaard 2 6 3 3 2 6" xfId="20224"/>
    <cellStyle name="Standaard 2 6 3 3 3" xfId="20225"/>
    <cellStyle name="Standaard 2 6 3 3 3 2" xfId="20226"/>
    <cellStyle name="Standaard 2 6 3 3 3 2 2" xfId="20227"/>
    <cellStyle name="Standaard 2 6 3 3 3 2 2 2" xfId="20228"/>
    <cellStyle name="Standaard 2 6 3 3 3 2 3" xfId="20229"/>
    <cellStyle name="Standaard 2 6 3 3 3 3" xfId="20230"/>
    <cellStyle name="Standaard 2 6 3 3 3 3 2" xfId="20231"/>
    <cellStyle name="Standaard 2 6 3 3 3 4" xfId="20232"/>
    <cellStyle name="Standaard 2 6 3 3 4" xfId="20233"/>
    <cellStyle name="Standaard 2 6 3 3 4 2" xfId="20234"/>
    <cellStyle name="Standaard 2 6 3 3 4 2 2" xfId="20235"/>
    <cellStyle name="Standaard 2 6 3 3 4 3" xfId="20236"/>
    <cellStyle name="Standaard 2 6 3 3 5" xfId="20237"/>
    <cellStyle name="Standaard 2 6 3 3 5 2" xfId="20238"/>
    <cellStyle name="Standaard 2 6 3 3 6" xfId="20239"/>
    <cellStyle name="Standaard 2 6 3 3 7" xfId="20240"/>
    <cellStyle name="Standaard 2 6 3 4" xfId="20241"/>
    <cellStyle name="Standaard 2 6 3 4 2" xfId="20242"/>
    <cellStyle name="Standaard 2 6 3 4 2 2" xfId="20243"/>
    <cellStyle name="Standaard 2 6 3 4 2 2 2" xfId="20244"/>
    <cellStyle name="Standaard 2 6 3 4 2 2 2 2" xfId="20245"/>
    <cellStyle name="Standaard 2 6 3 4 2 2 3" xfId="20246"/>
    <cellStyle name="Standaard 2 6 3 4 2 3" xfId="20247"/>
    <cellStyle name="Standaard 2 6 3 4 2 3 2" xfId="20248"/>
    <cellStyle name="Standaard 2 6 3 4 2 4" xfId="20249"/>
    <cellStyle name="Standaard 2 6 3 4 3" xfId="20250"/>
    <cellStyle name="Standaard 2 6 3 4 3 2" xfId="20251"/>
    <cellStyle name="Standaard 2 6 3 4 3 2 2" xfId="20252"/>
    <cellStyle name="Standaard 2 6 3 4 3 3" xfId="20253"/>
    <cellStyle name="Standaard 2 6 3 4 4" xfId="20254"/>
    <cellStyle name="Standaard 2 6 3 4 4 2" xfId="20255"/>
    <cellStyle name="Standaard 2 6 3 4 5" xfId="20256"/>
    <cellStyle name="Standaard 2 6 3 4 6" xfId="20257"/>
    <cellStyle name="Standaard 2 6 3 5" xfId="20258"/>
    <cellStyle name="Standaard 2 6 3 5 2" xfId="20259"/>
    <cellStyle name="Standaard 2 6 3 5 2 2" xfId="20260"/>
    <cellStyle name="Standaard 2 6 3 5 2 2 2" xfId="20261"/>
    <cellStyle name="Standaard 2 6 3 5 2 3" xfId="20262"/>
    <cellStyle name="Standaard 2 6 3 5 3" xfId="20263"/>
    <cellStyle name="Standaard 2 6 3 5 3 2" xfId="20264"/>
    <cellStyle name="Standaard 2 6 3 5 4" xfId="20265"/>
    <cellStyle name="Standaard 2 6 3 6" xfId="20266"/>
    <cellStyle name="Standaard 2 6 3 6 2" xfId="20267"/>
    <cellStyle name="Standaard 2 6 3 6 2 2" xfId="20268"/>
    <cellStyle name="Standaard 2 6 3 6 3" xfId="20269"/>
    <cellStyle name="Standaard 2 6 3 7" xfId="20270"/>
    <cellStyle name="Standaard 2 6 3 7 2" xfId="20271"/>
    <cellStyle name="Standaard 2 6 3 8" xfId="20272"/>
    <cellStyle name="Standaard 2 6 3 9" xfId="20273"/>
    <cellStyle name="Standaard 2 6 4" xfId="20274"/>
    <cellStyle name="Standaard 2 6 4 2" xfId="20275"/>
    <cellStyle name="Standaard 2 6 4 2 2" xfId="20276"/>
    <cellStyle name="Standaard 2 6 4 2 2 2" xfId="20277"/>
    <cellStyle name="Standaard 2 6 4 2 2 2 2" xfId="20278"/>
    <cellStyle name="Standaard 2 6 4 2 2 2 2 2" xfId="20279"/>
    <cellStyle name="Standaard 2 6 4 2 2 2 2 2 2" xfId="20280"/>
    <cellStyle name="Standaard 2 6 4 2 2 2 2 3" xfId="20281"/>
    <cellStyle name="Standaard 2 6 4 2 2 2 3" xfId="20282"/>
    <cellStyle name="Standaard 2 6 4 2 2 2 3 2" xfId="20283"/>
    <cellStyle name="Standaard 2 6 4 2 2 2 4" xfId="20284"/>
    <cellStyle name="Standaard 2 6 4 2 2 3" xfId="20285"/>
    <cellStyle name="Standaard 2 6 4 2 2 3 2" xfId="20286"/>
    <cellStyle name="Standaard 2 6 4 2 2 3 2 2" xfId="20287"/>
    <cellStyle name="Standaard 2 6 4 2 2 3 3" xfId="20288"/>
    <cellStyle name="Standaard 2 6 4 2 2 4" xfId="20289"/>
    <cellStyle name="Standaard 2 6 4 2 2 4 2" xfId="20290"/>
    <cellStyle name="Standaard 2 6 4 2 2 5" xfId="20291"/>
    <cellStyle name="Standaard 2 6 4 2 2 6" xfId="20292"/>
    <cellStyle name="Standaard 2 6 4 2 3" xfId="20293"/>
    <cellStyle name="Standaard 2 6 4 2 3 2" xfId="20294"/>
    <cellStyle name="Standaard 2 6 4 2 3 2 2" xfId="20295"/>
    <cellStyle name="Standaard 2 6 4 2 3 2 2 2" xfId="20296"/>
    <cellStyle name="Standaard 2 6 4 2 3 2 3" xfId="20297"/>
    <cellStyle name="Standaard 2 6 4 2 3 3" xfId="20298"/>
    <cellStyle name="Standaard 2 6 4 2 3 3 2" xfId="20299"/>
    <cellStyle name="Standaard 2 6 4 2 3 4" xfId="20300"/>
    <cellStyle name="Standaard 2 6 4 2 4" xfId="20301"/>
    <cellStyle name="Standaard 2 6 4 2 4 2" xfId="20302"/>
    <cellStyle name="Standaard 2 6 4 2 4 2 2" xfId="20303"/>
    <cellStyle name="Standaard 2 6 4 2 4 3" xfId="20304"/>
    <cellStyle name="Standaard 2 6 4 2 5" xfId="20305"/>
    <cellStyle name="Standaard 2 6 4 2 5 2" xfId="20306"/>
    <cellStyle name="Standaard 2 6 4 2 6" xfId="20307"/>
    <cellStyle name="Standaard 2 6 4 2 7" xfId="20308"/>
    <cellStyle name="Standaard 2 6 4 3" xfId="20309"/>
    <cellStyle name="Standaard 2 6 4 3 2" xfId="20310"/>
    <cellStyle name="Standaard 2 6 4 3 2 2" xfId="20311"/>
    <cellStyle name="Standaard 2 6 4 3 2 2 2" xfId="20312"/>
    <cellStyle name="Standaard 2 6 4 3 2 2 2 2" xfId="20313"/>
    <cellStyle name="Standaard 2 6 4 3 2 2 3" xfId="20314"/>
    <cellStyle name="Standaard 2 6 4 3 2 3" xfId="20315"/>
    <cellStyle name="Standaard 2 6 4 3 2 3 2" xfId="20316"/>
    <cellStyle name="Standaard 2 6 4 3 2 4" xfId="20317"/>
    <cellStyle name="Standaard 2 6 4 3 3" xfId="20318"/>
    <cellStyle name="Standaard 2 6 4 3 3 2" xfId="20319"/>
    <cellStyle name="Standaard 2 6 4 3 3 2 2" xfId="20320"/>
    <cellStyle name="Standaard 2 6 4 3 3 3" xfId="20321"/>
    <cellStyle name="Standaard 2 6 4 3 4" xfId="20322"/>
    <cellStyle name="Standaard 2 6 4 3 4 2" xfId="20323"/>
    <cellStyle name="Standaard 2 6 4 3 5" xfId="20324"/>
    <cellStyle name="Standaard 2 6 4 3 6" xfId="20325"/>
    <cellStyle name="Standaard 2 6 4 4" xfId="20326"/>
    <cellStyle name="Standaard 2 6 4 4 2" xfId="20327"/>
    <cellStyle name="Standaard 2 6 4 4 2 2" xfId="20328"/>
    <cellStyle name="Standaard 2 6 4 4 2 2 2" xfId="20329"/>
    <cellStyle name="Standaard 2 6 4 4 2 3" xfId="20330"/>
    <cellStyle name="Standaard 2 6 4 4 3" xfId="20331"/>
    <cellStyle name="Standaard 2 6 4 4 3 2" xfId="20332"/>
    <cellStyle name="Standaard 2 6 4 4 4" xfId="20333"/>
    <cellStyle name="Standaard 2 6 4 5" xfId="20334"/>
    <cellStyle name="Standaard 2 6 4 5 2" xfId="20335"/>
    <cellStyle name="Standaard 2 6 4 5 2 2" xfId="20336"/>
    <cellStyle name="Standaard 2 6 4 5 3" xfId="20337"/>
    <cellStyle name="Standaard 2 6 4 6" xfId="20338"/>
    <cellStyle name="Standaard 2 6 4 6 2" xfId="20339"/>
    <cellStyle name="Standaard 2 6 4 7" xfId="20340"/>
    <cellStyle name="Standaard 2 6 4 8" xfId="20341"/>
    <cellStyle name="Standaard 2 6 5" xfId="20342"/>
    <cellStyle name="Standaard 2 6 5 2" xfId="20343"/>
    <cellStyle name="Standaard 2 6 5 2 2" xfId="20344"/>
    <cellStyle name="Standaard 2 6 5 2 2 2" xfId="20345"/>
    <cellStyle name="Standaard 2 6 5 2 2 2 2" xfId="20346"/>
    <cellStyle name="Standaard 2 6 5 2 2 2 2 2" xfId="20347"/>
    <cellStyle name="Standaard 2 6 5 2 2 2 2 2 2" xfId="20348"/>
    <cellStyle name="Standaard 2 6 5 2 2 2 2 3" xfId="20349"/>
    <cellStyle name="Standaard 2 6 5 2 2 2 3" xfId="20350"/>
    <cellStyle name="Standaard 2 6 5 2 2 2 3 2" xfId="20351"/>
    <cellStyle name="Standaard 2 6 5 2 2 2 4" xfId="20352"/>
    <cellStyle name="Standaard 2 6 5 2 2 3" xfId="20353"/>
    <cellStyle name="Standaard 2 6 5 2 2 3 2" xfId="20354"/>
    <cellStyle name="Standaard 2 6 5 2 2 3 2 2" xfId="20355"/>
    <cellStyle name="Standaard 2 6 5 2 2 3 3" xfId="20356"/>
    <cellStyle name="Standaard 2 6 5 2 2 4" xfId="20357"/>
    <cellStyle name="Standaard 2 6 5 2 2 4 2" xfId="20358"/>
    <cellStyle name="Standaard 2 6 5 2 2 5" xfId="20359"/>
    <cellStyle name="Standaard 2 6 5 2 2 6" xfId="20360"/>
    <cellStyle name="Standaard 2 6 5 2 3" xfId="20361"/>
    <cellStyle name="Standaard 2 6 5 2 3 2" xfId="20362"/>
    <cellStyle name="Standaard 2 6 5 2 3 2 2" xfId="20363"/>
    <cellStyle name="Standaard 2 6 5 2 3 2 2 2" xfId="20364"/>
    <cellStyle name="Standaard 2 6 5 2 3 2 3" xfId="20365"/>
    <cellStyle name="Standaard 2 6 5 2 3 3" xfId="20366"/>
    <cellStyle name="Standaard 2 6 5 2 3 3 2" xfId="20367"/>
    <cellStyle name="Standaard 2 6 5 2 3 4" xfId="20368"/>
    <cellStyle name="Standaard 2 6 5 2 4" xfId="20369"/>
    <cellStyle name="Standaard 2 6 5 2 4 2" xfId="20370"/>
    <cellStyle name="Standaard 2 6 5 2 4 2 2" xfId="20371"/>
    <cellStyle name="Standaard 2 6 5 2 4 3" xfId="20372"/>
    <cellStyle name="Standaard 2 6 5 2 5" xfId="20373"/>
    <cellStyle name="Standaard 2 6 5 2 5 2" xfId="20374"/>
    <cellStyle name="Standaard 2 6 5 2 6" xfId="20375"/>
    <cellStyle name="Standaard 2 6 5 2 7" xfId="20376"/>
    <cellStyle name="Standaard 2 6 5 3" xfId="20377"/>
    <cellStyle name="Standaard 2 6 5 3 2" xfId="20378"/>
    <cellStyle name="Standaard 2 6 5 3 2 2" xfId="20379"/>
    <cellStyle name="Standaard 2 6 5 3 2 2 2" xfId="20380"/>
    <cellStyle name="Standaard 2 6 5 3 2 2 2 2" xfId="20381"/>
    <cellStyle name="Standaard 2 6 5 3 2 2 3" xfId="20382"/>
    <cellStyle name="Standaard 2 6 5 3 2 3" xfId="20383"/>
    <cellStyle name="Standaard 2 6 5 3 2 3 2" xfId="20384"/>
    <cellStyle name="Standaard 2 6 5 3 2 4" xfId="20385"/>
    <cellStyle name="Standaard 2 6 5 3 3" xfId="20386"/>
    <cellStyle name="Standaard 2 6 5 3 3 2" xfId="20387"/>
    <cellStyle name="Standaard 2 6 5 3 3 2 2" xfId="20388"/>
    <cellStyle name="Standaard 2 6 5 3 3 3" xfId="20389"/>
    <cellStyle name="Standaard 2 6 5 3 4" xfId="20390"/>
    <cellStyle name="Standaard 2 6 5 3 4 2" xfId="20391"/>
    <cellStyle name="Standaard 2 6 5 3 5" xfId="20392"/>
    <cellStyle name="Standaard 2 6 5 3 6" xfId="20393"/>
    <cellStyle name="Standaard 2 6 5 4" xfId="20394"/>
    <cellStyle name="Standaard 2 6 5 4 2" xfId="20395"/>
    <cellStyle name="Standaard 2 6 5 4 2 2" xfId="20396"/>
    <cellStyle name="Standaard 2 6 5 4 2 2 2" xfId="20397"/>
    <cellStyle name="Standaard 2 6 5 4 2 3" xfId="20398"/>
    <cellStyle name="Standaard 2 6 5 4 3" xfId="20399"/>
    <cellStyle name="Standaard 2 6 5 4 3 2" xfId="20400"/>
    <cellStyle name="Standaard 2 6 5 4 4" xfId="20401"/>
    <cellStyle name="Standaard 2 6 5 5" xfId="20402"/>
    <cellStyle name="Standaard 2 6 5 5 2" xfId="20403"/>
    <cellStyle name="Standaard 2 6 5 5 2 2" xfId="20404"/>
    <cellStyle name="Standaard 2 6 5 5 3" xfId="20405"/>
    <cellStyle name="Standaard 2 6 5 6" xfId="20406"/>
    <cellStyle name="Standaard 2 6 5 6 2" xfId="20407"/>
    <cellStyle name="Standaard 2 6 5 7" xfId="20408"/>
    <cellStyle name="Standaard 2 6 5 8" xfId="20409"/>
    <cellStyle name="Standaard 2 6 6" xfId="20410"/>
    <cellStyle name="Standaard 2 6 6 2" xfId="20411"/>
    <cellStyle name="Standaard 2 6 6 2 2" xfId="20412"/>
    <cellStyle name="Standaard 2 6 6 2 2 2" xfId="20413"/>
    <cellStyle name="Standaard 2 6 6 2 2 2 2" xfId="20414"/>
    <cellStyle name="Standaard 2 6 6 2 2 2 2 2" xfId="20415"/>
    <cellStyle name="Standaard 2 6 6 2 2 2 3" xfId="20416"/>
    <cellStyle name="Standaard 2 6 6 2 2 3" xfId="20417"/>
    <cellStyle name="Standaard 2 6 6 2 2 3 2" xfId="20418"/>
    <cellStyle name="Standaard 2 6 6 2 2 4" xfId="20419"/>
    <cellStyle name="Standaard 2 6 6 2 3" xfId="20420"/>
    <cellStyle name="Standaard 2 6 6 2 3 2" xfId="20421"/>
    <cellStyle name="Standaard 2 6 6 2 3 2 2" xfId="20422"/>
    <cellStyle name="Standaard 2 6 6 2 3 3" xfId="20423"/>
    <cellStyle name="Standaard 2 6 6 2 4" xfId="20424"/>
    <cellStyle name="Standaard 2 6 6 2 4 2" xfId="20425"/>
    <cellStyle name="Standaard 2 6 6 2 5" xfId="20426"/>
    <cellStyle name="Standaard 2 6 6 2 6" xfId="20427"/>
    <cellStyle name="Standaard 2 6 6 3" xfId="20428"/>
    <cellStyle name="Standaard 2 6 6 3 2" xfId="20429"/>
    <cellStyle name="Standaard 2 6 6 3 2 2" xfId="20430"/>
    <cellStyle name="Standaard 2 6 6 3 2 2 2" xfId="20431"/>
    <cellStyle name="Standaard 2 6 6 3 2 3" xfId="20432"/>
    <cellStyle name="Standaard 2 6 6 3 3" xfId="20433"/>
    <cellStyle name="Standaard 2 6 6 3 3 2" xfId="20434"/>
    <cellStyle name="Standaard 2 6 6 3 4" xfId="20435"/>
    <cellStyle name="Standaard 2 6 6 4" xfId="20436"/>
    <cellStyle name="Standaard 2 6 6 4 2" xfId="20437"/>
    <cellStyle name="Standaard 2 6 6 4 2 2" xfId="20438"/>
    <cellStyle name="Standaard 2 6 6 4 3" xfId="20439"/>
    <cellStyle name="Standaard 2 6 6 5" xfId="20440"/>
    <cellStyle name="Standaard 2 6 6 5 2" xfId="20441"/>
    <cellStyle name="Standaard 2 6 6 6" xfId="20442"/>
    <cellStyle name="Standaard 2 6 6 7" xfId="20443"/>
    <cellStyle name="Standaard 2 6 7" xfId="20444"/>
    <cellStyle name="Standaard 2 6 7 2" xfId="20445"/>
    <cellStyle name="Standaard 2 6 7 2 2" xfId="20446"/>
    <cellStyle name="Standaard 2 6 7 2 2 2" xfId="20447"/>
    <cellStyle name="Standaard 2 6 7 2 2 2 2" xfId="20448"/>
    <cellStyle name="Standaard 2 6 7 2 2 3" xfId="20449"/>
    <cellStyle name="Standaard 2 6 7 2 3" xfId="20450"/>
    <cellStyle name="Standaard 2 6 7 2 3 2" xfId="20451"/>
    <cellStyle name="Standaard 2 6 7 2 4" xfId="20452"/>
    <cellStyle name="Standaard 2 6 7 3" xfId="20453"/>
    <cellStyle name="Standaard 2 6 7 3 2" xfId="20454"/>
    <cellStyle name="Standaard 2 6 7 3 2 2" xfId="20455"/>
    <cellStyle name="Standaard 2 6 7 3 3" xfId="20456"/>
    <cellStyle name="Standaard 2 6 7 4" xfId="20457"/>
    <cellStyle name="Standaard 2 6 7 4 2" xfId="20458"/>
    <cellStyle name="Standaard 2 6 7 5" xfId="20459"/>
    <cellStyle name="Standaard 2 6 7 6" xfId="20460"/>
    <cellStyle name="Standaard 2 6 8" xfId="20461"/>
    <cellStyle name="Standaard 2 6 8 2" xfId="20462"/>
    <cellStyle name="Standaard 2 6 8 2 2" xfId="20463"/>
    <cellStyle name="Standaard 2 6 8 2 2 2" xfId="20464"/>
    <cellStyle name="Standaard 2 6 8 2 3" xfId="20465"/>
    <cellStyle name="Standaard 2 6 8 3" xfId="20466"/>
    <cellStyle name="Standaard 2 6 8 3 2" xfId="20467"/>
    <cellStyle name="Standaard 2 6 8 4" xfId="20468"/>
    <cellStyle name="Standaard 2 6 9" xfId="20469"/>
    <cellStyle name="Standaard 2 6 9 2" xfId="20470"/>
    <cellStyle name="Standaard 2 6 9 2 2" xfId="20471"/>
    <cellStyle name="Standaard 2 6 9 3" xfId="20472"/>
    <cellStyle name="Standaard 2 7" xfId="20473"/>
    <cellStyle name="Standaard 2 7 2" xfId="20474"/>
    <cellStyle name="Standaard 2 8" xfId="20475"/>
    <cellStyle name="Standaard 2 8 2" xfId="20476"/>
    <cellStyle name="Standaard 2 9" xfId="20477"/>
    <cellStyle name="Standaard 2 9 2" xfId="20478"/>
    <cellStyle name="Standaard 20" xfId="20479"/>
    <cellStyle name="Standaard 20 10" xfId="20480"/>
    <cellStyle name="Standaard 20 10 2" xfId="20481"/>
    <cellStyle name="Standaard 20 10 2 2" xfId="20482"/>
    <cellStyle name="Standaard 20 10 3" xfId="20483"/>
    <cellStyle name="Standaard 20 11" xfId="20484"/>
    <cellStyle name="Standaard 20 11 2" xfId="20485"/>
    <cellStyle name="Standaard 20 12" xfId="20486"/>
    <cellStyle name="Standaard 20 13" xfId="20487"/>
    <cellStyle name="Standaard 20 2" xfId="20488"/>
    <cellStyle name="Standaard 20 2 10" xfId="20489"/>
    <cellStyle name="Standaard 20 2 10 2" xfId="20490"/>
    <cellStyle name="Standaard 20 2 11" xfId="20491"/>
    <cellStyle name="Standaard 20 2 12" xfId="20492"/>
    <cellStyle name="Standaard 20 2 2" xfId="20493"/>
    <cellStyle name="Standaard 20 2 2 10" xfId="20494"/>
    <cellStyle name="Standaard 20 2 2 11" xfId="20495"/>
    <cellStyle name="Standaard 20 2 2 2" xfId="20496"/>
    <cellStyle name="Standaard 20 2 2 2 2" xfId="20497"/>
    <cellStyle name="Standaard 20 2 2 2 2 2" xfId="20498"/>
    <cellStyle name="Standaard 20 2 2 2 2 2 2" xfId="20499"/>
    <cellStyle name="Standaard 20 2 2 2 2 2 2 2" xfId="20500"/>
    <cellStyle name="Standaard 20 2 2 2 2 2 2 2 2" xfId="20501"/>
    <cellStyle name="Standaard 20 2 2 2 2 2 2 2 2 2" xfId="20502"/>
    <cellStyle name="Standaard 20 2 2 2 2 2 2 2 2 2 2" xfId="20503"/>
    <cellStyle name="Standaard 20 2 2 2 2 2 2 2 2 3" xfId="20504"/>
    <cellStyle name="Standaard 20 2 2 2 2 2 2 2 3" xfId="20505"/>
    <cellStyle name="Standaard 20 2 2 2 2 2 2 2 3 2" xfId="20506"/>
    <cellStyle name="Standaard 20 2 2 2 2 2 2 2 4" xfId="20507"/>
    <cellStyle name="Standaard 20 2 2 2 2 2 2 3" xfId="20508"/>
    <cellStyle name="Standaard 20 2 2 2 2 2 2 3 2" xfId="20509"/>
    <cellStyle name="Standaard 20 2 2 2 2 2 2 3 2 2" xfId="20510"/>
    <cellStyle name="Standaard 20 2 2 2 2 2 2 3 3" xfId="20511"/>
    <cellStyle name="Standaard 20 2 2 2 2 2 2 4" xfId="20512"/>
    <cellStyle name="Standaard 20 2 2 2 2 2 2 4 2" xfId="20513"/>
    <cellStyle name="Standaard 20 2 2 2 2 2 2 5" xfId="20514"/>
    <cellStyle name="Standaard 20 2 2 2 2 2 2 6" xfId="20515"/>
    <cellStyle name="Standaard 20 2 2 2 2 2 3" xfId="20516"/>
    <cellStyle name="Standaard 20 2 2 2 2 2 3 2" xfId="20517"/>
    <cellStyle name="Standaard 20 2 2 2 2 2 3 2 2" xfId="20518"/>
    <cellStyle name="Standaard 20 2 2 2 2 2 3 2 2 2" xfId="20519"/>
    <cellStyle name="Standaard 20 2 2 2 2 2 3 2 3" xfId="20520"/>
    <cellStyle name="Standaard 20 2 2 2 2 2 3 3" xfId="20521"/>
    <cellStyle name="Standaard 20 2 2 2 2 2 3 3 2" xfId="20522"/>
    <cellStyle name="Standaard 20 2 2 2 2 2 3 4" xfId="20523"/>
    <cellStyle name="Standaard 20 2 2 2 2 2 4" xfId="20524"/>
    <cellStyle name="Standaard 20 2 2 2 2 2 4 2" xfId="20525"/>
    <cellStyle name="Standaard 20 2 2 2 2 2 4 2 2" xfId="20526"/>
    <cellStyle name="Standaard 20 2 2 2 2 2 4 3" xfId="20527"/>
    <cellStyle name="Standaard 20 2 2 2 2 2 5" xfId="20528"/>
    <cellStyle name="Standaard 20 2 2 2 2 2 5 2" xfId="20529"/>
    <cellStyle name="Standaard 20 2 2 2 2 2 6" xfId="20530"/>
    <cellStyle name="Standaard 20 2 2 2 2 2 7" xfId="20531"/>
    <cellStyle name="Standaard 20 2 2 2 2 3" xfId="20532"/>
    <cellStyle name="Standaard 20 2 2 2 2 3 2" xfId="20533"/>
    <cellStyle name="Standaard 20 2 2 2 2 3 2 2" xfId="20534"/>
    <cellStyle name="Standaard 20 2 2 2 2 3 2 2 2" xfId="20535"/>
    <cellStyle name="Standaard 20 2 2 2 2 3 2 2 2 2" xfId="20536"/>
    <cellStyle name="Standaard 20 2 2 2 2 3 2 2 3" xfId="20537"/>
    <cellStyle name="Standaard 20 2 2 2 2 3 2 3" xfId="20538"/>
    <cellStyle name="Standaard 20 2 2 2 2 3 2 3 2" xfId="20539"/>
    <cellStyle name="Standaard 20 2 2 2 2 3 2 4" xfId="20540"/>
    <cellStyle name="Standaard 20 2 2 2 2 3 3" xfId="20541"/>
    <cellStyle name="Standaard 20 2 2 2 2 3 3 2" xfId="20542"/>
    <cellStyle name="Standaard 20 2 2 2 2 3 3 2 2" xfId="20543"/>
    <cellStyle name="Standaard 20 2 2 2 2 3 3 3" xfId="20544"/>
    <cellStyle name="Standaard 20 2 2 2 2 3 4" xfId="20545"/>
    <cellStyle name="Standaard 20 2 2 2 2 3 4 2" xfId="20546"/>
    <cellStyle name="Standaard 20 2 2 2 2 3 5" xfId="20547"/>
    <cellStyle name="Standaard 20 2 2 2 2 3 6" xfId="20548"/>
    <cellStyle name="Standaard 20 2 2 2 2 4" xfId="20549"/>
    <cellStyle name="Standaard 20 2 2 2 2 4 2" xfId="20550"/>
    <cellStyle name="Standaard 20 2 2 2 2 4 2 2" xfId="20551"/>
    <cellStyle name="Standaard 20 2 2 2 2 4 2 2 2" xfId="20552"/>
    <cellStyle name="Standaard 20 2 2 2 2 4 2 3" xfId="20553"/>
    <cellStyle name="Standaard 20 2 2 2 2 4 3" xfId="20554"/>
    <cellStyle name="Standaard 20 2 2 2 2 4 3 2" xfId="20555"/>
    <cellStyle name="Standaard 20 2 2 2 2 4 4" xfId="20556"/>
    <cellStyle name="Standaard 20 2 2 2 2 5" xfId="20557"/>
    <cellStyle name="Standaard 20 2 2 2 2 5 2" xfId="20558"/>
    <cellStyle name="Standaard 20 2 2 2 2 5 2 2" xfId="20559"/>
    <cellStyle name="Standaard 20 2 2 2 2 5 3" xfId="20560"/>
    <cellStyle name="Standaard 20 2 2 2 2 6" xfId="20561"/>
    <cellStyle name="Standaard 20 2 2 2 2 6 2" xfId="20562"/>
    <cellStyle name="Standaard 20 2 2 2 2 7" xfId="20563"/>
    <cellStyle name="Standaard 20 2 2 2 2 8" xfId="20564"/>
    <cellStyle name="Standaard 20 2 2 2 3" xfId="20565"/>
    <cellStyle name="Standaard 20 2 2 2 3 2" xfId="20566"/>
    <cellStyle name="Standaard 20 2 2 2 3 2 2" xfId="20567"/>
    <cellStyle name="Standaard 20 2 2 2 3 2 2 2" xfId="20568"/>
    <cellStyle name="Standaard 20 2 2 2 3 2 2 2 2" xfId="20569"/>
    <cellStyle name="Standaard 20 2 2 2 3 2 2 2 2 2" xfId="20570"/>
    <cellStyle name="Standaard 20 2 2 2 3 2 2 2 3" xfId="20571"/>
    <cellStyle name="Standaard 20 2 2 2 3 2 2 3" xfId="20572"/>
    <cellStyle name="Standaard 20 2 2 2 3 2 2 3 2" xfId="20573"/>
    <cellStyle name="Standaard 20 2 2 2 3 2 2 4" xfId="20574"/>
    <cellStyle name="Standaard 20 2 2 2 3 2 3" xfId="20575"/>
    <cellStyle name="Standaard 20 2 2 2 3 2 3 2" xfId="20576"/>
    <cellStyle name="Standaard 20 2 2 2 3 2 3 2 2" xfId="20577"/>
    <cellStyle name="Standaard 20 2 2 2 3 2 3 3" xfId="20578"/>
    <cellStyle name="Standaard 20 2 2 2 3 2 4" xfId="20579"/>
    <cellStyle name="Standaard 20 2 2 2 3 2 4 2" xfId="20580"/>
    <cellStyle name="Standaard 20 2 2 2 3 2 5" xfId="20581"/>
    <cellStyle name="Standaard 20 2 2 2 3 2 6" xfId="20582"/>
    <cellStyle name="Standaard 20 2 2 2 3 3" xfId="20583"/>
    <cellStyle name="Standaard 20 2 2 2 3 3 2" xfId="20584"/>
    <cellStyle name="Standaard 20 2 2 2 3 3 2 2" xfId="20585"/>
    <cellStyle name="Standaard 20 2 2 2 3 3 2 2 2" xfId="20586"/>
    <cellStyle name="Standaard 20 2 2 2 3 3 2 3" xfId="20587"/>
    <cellStyle name="Standaard 20 2 2 2 3 3 3" xfId="20588"/>
    <cellStyle name="Standaard 20 2 2 2 3 3 3 2" xfId="20589"/>
    <cellStyle name="Standaard 20 2 2 2 3 3 4" xfId="20590"/>
    <cellStyle name="Standaard 20 2 2 2 3 4" xfId="20591"/>
    <cellStyle name="Standaard 20 2 2 2 3 4 2" xfId="20592"/>
    <cellStyle name="Standaard 20 2 2 2 3 4 2 2" xfId="20593"/>
    <cellStyle name="Standaard 20 2 2 2 3 4 3" xfId="20594"/>
    <cellStyle name="Standaard 20 2 2 2 3 5" xfId="20595"/>
    <cellStyle name="Standaard 20 2 2 2 3 5 2" xfId="20596"/>
    <cellStyle name="Standaard 20 2 2 2 3 6" xfId="20597"/>
    <cellStyle name="Standaard 20 2 2 2 3 7" xfId="20598"/>
    <cellStyle name="Standaard 20 2 2 2 4" xfId="20599"/>
    <cellStyle name="Standaard 20 2 2 2 4 2" xfId="20600"/>
    <cellStyle name="Standaard 20 2 2 2 4 2 2" xfId="20601"/>
    <cellStyle name="Standaard 20 2 2 2 4 2 2 2" xfId="20602"/>
    <cellStyle name="Standaard 20 2 2 2 4 2 2 2 2" xfId="20603"/>
    <cellStyle name="Standaard 20 2 2 2 4 2 2 3" xfId="20604"/>
    <cellStyle name="Standaard 20 2 2 2 4 2 3" xfId="20605"/>
    <cellStyle name="Standaard 20 2 2 2 4 2 3 2" xfId="20606"/>
    <cellStyle name="Standaard 20 2 2 2 4 2 4" xfId="20607"/>
    <cellStyle name="Standaard 20 2 2 2 4 3" xfId="20608"/>
    <cellStyle name="Standaard 20 2 2 2 4 3 2" xfId="20609"/>
    <cellStyle name="Standaard 20 2 2 2 4 3 2 2" xfId="20610"/>
    <cellStyle name="Standaard 20 2 2 2 4 3 3" xfId="20611"/>
    <cellStyle name="Standaard 20 2 2 2 4 4" xfId="20612"/>
    <cellStyle name="Standaard 20 2 2 2 4 4 2" xfId="20613"/>
    <cellStyle name="Standaard 20 2 2 2 4 5" xfId="20614"/>
    <cellStyle name="Standaard 20 2 2 2 4 6" xfId="20615"/>
    <cellStyle name="Standaard 20 2 2 2 5" xfId="20616"/>
    <cellStyle name="Standaard 20 2 2 2 5 2" xfId="20617"/>
    <cellStyle name="Standaard 20 2 2 2 5 2 2" xfId="20618"/>
    <cellStyle name="Standaard 20 2 2 2 5 2 2 2" xfId="20619"/>
    <cellStyle name="Standaard 20 2 2 2 5 2 3" xfId="20620"/>
    <cellStyle name="Standaard 20 2 2 2 5 3" xfId="20621"/>
    <cellStyle name="Standaard 20 2 2 2 5 3 2" xfId="20622"/>
    <cellStyle name="Standaard 20 2 2 2 5 4" xfId="20623"/>
    <cellStyle name="Standaard 20 2 2 2 6" xfId="20624"/>
    <cellStyle name="Standaard 20 2 2 2 6 2" xfId="20625"/>
    <cellStyle name="Standaard 20 2 2 2 6 2 2" xfId="20626"/>
    <cellStyle name="Standaard 20 2 2 2 6 3" xfId="20627"/>
    <cellStyle name="Standaard 20 2 2 2 7" xfId="20628"/>
    <cellStyle name="Standaard 20 2 2 2 7 2" xfId="20629"/>
    <cellStyle name="Standaard 20 2 2 2 8" xfId="20630"/>
    <cellStyle name="Standaard 20 2 2 2 9" xfId="20631"/>
    <cellStyle name="Standaard 20 2 2 3" xfId="20632"/>
    <cellStyle name="Standaard 20 2 2 3 2" xfId="20633"/>
    <cellStyle name="Standaard 20 2 2 3 2 2" xfId="20634"/>
    <cellStyle name="Standaard 20 2 2 3 2 2 2" xfId="20635"/>
    <cellStyle name="Standaard 20 2 2 3 2 2 2 2" xfId="20636"/>
    <cellStyle name="Standaard 20 2 2 3 2 2 2 2 2" xfId="20637"/>
    <cellStyle name="Standaard 20 2 2 3 2 2 2 2 2 2" xfId="20638"/>
    <cellStyle name="Standaard 20 2 2 3 2 2 2 2 3" xfId="20639"/>
    <cellStyle name="Standaard 20 2 2 3 2 2 2 3" xfId="20640"/>
    <cellStyle name="Standaard 20 2 2 3 2 2 2 3 2" xfId="20641"/>
    <cellStyle name="Standaard 20 2 2 3 2 2 2 4" xfId="20642"/>
    <cellStyle name="Standaard 20 2 2 3 2 2 3" xfId="20643"/>
    <cellStyle name="Standaard 20 2 2 3 2 2 3 2" xfId="20644"/>
    <cellStyle name="Standaard 20 2 2 3 2 2 3 2 2" xfId="20645"/>
    <cellStyle name="Standaard 20 2 2 3 2 2 3 3" xfId="20646"/>
    <cellStyle name="Standaard 20 2 2 3 2 2 4" xfId="20647"/>
    <cellStyle name="Standaard 20 2 2 3 2 2 4 2" xfId="20648"/>
    <cellStyle name="Standaard 20 2 2 3 2 2 5" xfId="20649"/>
    <cellStyle name="Standaard 20 2 2 3 2 2 6" xfId="20650"/>
    <cellStyle name="Standaard 20 2 2 3 2 3" xfId="20651"/>
    <cellStyle name="Standaard 20 2 2 3 2 3 2" xfId="20652"/>
    <cellStyle name="Standaard 20 2 2 3 2 3 2 2" xfId="20653"/>
    <cellStyle name="Standaard 20 2 2 3 2 3 2 2 2" xfId="20654"/>
    <cellStyle name="Standaard 20 2 2 3 2 3 2 3" xfId="20655"/>
    <cellStyle name="Standaard 20 2 2 3 2 3 3" xfId="20656"/>
    <cellStyle name="Standaard 20 2 2 3 2 3 3 2" xfId="20657"/>
    <cellStyle name="Standaard 20 2 2 3 2 3 4" xfId="20658"/>
    <cellStyle name="Standaard 20 2 2 3 2 4" xfId="20659"/>
    <cellStyle name="Standaard 20 2 2 3 2 4 2" xfId="20660"/>
    <cellStyle name="Standaard 20 2 2 3 2 4 2 2" xfId="20661"/>
    <cellStyle name="Standaard 20 2 2 3 2 4 3" xfId="20662"/>
    <cellStyle name="Standaard 20 2 2 3 2 5" xfId="20663"/>
    <cellStyle name="Standaard 20 2 2 3 2 5 2" xfId="20664"/>
    <cellStyle name="Standaard 20 2 2 3 2 6" xfId="20665"/>
    <cellStyle name="Standaard 20 2 2 3 2 7" xfId="20666"/>
    <cellStyle name="Standaard 20 2 2 3 3" xfId="20667"/>
    <cellStyle name="Standaard 20 2 2 3 3 2" xfId="20668"/>
    <cellStyle name="Standaard 20 2 2 3 3 2 2" xfId="20669"/>
    <cellStyle name="Standaard 20 2 2 3 3 2 2 2" xfId="20670"/>
    <cellStyle name="Standaard 20 2 2 3 3 2 2 2 2" xfId="20671"/>
    <cellStyle name="Standaard 20 2 2 3 3 2 2 3" xfId="20672"/>
    <cellStyle name="Standaard 20 2 2 3 3 2 3" xfId="20673"/>
    <cellStyle name="Standaard 20 2 2 3 3 2 3 2" xfId="20674"/>
    <cellStyle name="Standaard 20 2 2 3 3 2 4" xfId="20675"/>
    <cellStyle name="Standaard 20 2 2 3 3 3" xfId="20676"/>
    <cellStyle name="Standaard 20 2 2 3 3 3 2" xfId="20677"/>
    <cellStyle name="Standaard 20 2 2 3 3 3 2 2" xfId="20678"/>
    <cellStyle name="Standaard 20 2 2 3 3 3 3" xfId="20679"/>
    <cellStyle name="Standaard 20 2 2 3 3 4" xfId="20680"/>
    <cellStyle name="Standaard 20 2 2 3 3 4 2" xfId="20681"/>
    <cellStyle name="Standaard 20 2 2 3 3 5" xfId="20682"/>
    <cellStyle name="Standaard 20 2 2 3 3 6" xfId="20683"/>
    <cellStyle name="Standaard 20 2 2 3 4" xfId="20684"/>
    <cellStyle name="Standaard 20 2 2 3 4 2" xfId="20685"/>
    <cellStyle name="Standaard 20 2 2 3 4 2 2" xfId="20686"/>
    <cellStyle name="Standaard 20 2 2 3 4 2 2 2" xfId="20687"/>
    <cellStyle name="Standaard 20 2 2 3 4 2 3" xfId="20688"/>
    <cellStyle name="Standaard 20 2 2 3 4 3" xfId="20689"/>
    <cellStyle name="Standaard 20 2 2 3 4 3 2" xfId="20690"/>
    <cellStyle name="Standaard 20 2 2 3 4 4" xfId="20691"/>
    <cellStyle name="Standaard 20 2 2 3 5" xfId="20692"/>
    <cellStyle name="Standaard 20 2 2 3 5 2" xfId="20693"/>
    <cellStyle name="Standaard 20 2 2 3 5 2 2" xfId="20694"/>
    <cellStyle name="Standaard 20 2 2 3 5 3" xfId="20695"/>
    <cellStyle name="Standaard 20 2 2 3 6" xfId="20696"/>
    <cellStyle name="Standaard 20 2 2 3 6 2" xfId="20697"/>
    <cellStyle name="Standaard 20 2 2 3 7" xfId="20698"/>
    <cellStyle name="Standaard 20 2 2 3 8" xfId="20699"/>
    <cellStyle name="Standaard 20 2 2 4" xfId="20700"/>
    <cellStyle name="Standaard 20 2 2 4 2" xfId="20701"/>
    <cellStyle name="Standaard 20 2 2 4 2 2" xfId="20702"/>
    <cellStyle name="Standaard 20 2 2 4 2 2 2" xfId="20703"/>
    <cellStyle name="Standaard 20 2 2 4 2 2 2 2" xfId="20704"/>
    <cellStyle name="Standaard 20 2 2 4 2 2 2 2 2" xfId="20705"/>
    <cellStyle name="Standaard 20 2 2 4 2 2 2 2 2 2" xfId="20706"/>
    <cellStyle name="Standaard 20 2 2 4 2 2 2 2 3" xfId="20707"/>
    <cellStyle name="Standaard 20 2 2 4 2 2 2 3" xfId="20708"/>
    <cellStyle name="Standaard 20 2 2 4 2 2 2 3 2" xfId="20709"/>
    <cellStyle name="Standaard 20 2 2 4 2 2 2 4" xfId="20710"/>
    <cellStyle name="Standaard 20 2 2 4 2 2 3" xfId="20711"/>
    <cellStyle name="Standaard 20 2 2 4 2 2 3 2" xfId="20712"/>
    <cellStyle name="Standaard 20 2 2 4 2 2 3 2 2" xfId="20713"/>
    <cellStyle name="Standaard 20 2 2 4 2 2 3 3" xfId="20714"/>
    <cellStyle name="Standaard 20 2 2 4 2 2 4" xfId="20715"/>
    <cellStyle name="Standaard 20 2 2 4 2 2 4 2" xfId="20716"/>
    <cellStyle name="Standaard 20 2 2 4 2 2 5" xfId="20717"/>
    <cellStyle name="Standaard 20 2 2 4 2 2 6" xfId="20718"/>
    <cellStyle name="Standaard 20 2 2 4 2 3" xfId="20719"/>
    <cellStyle name="Standaard 20 2 2 4 2 3 2" xfId="20720"/>
    <cellStyle name="Standaard 20 2 2 4 2 3 2 2" xfId="20721"/>
    <cellStyle name="Standaard 20 2 2 4 2 3 2 2 2" xfId="20722"/>
    <cellStyle name="Standaard 20 2 2 4 2 3 2 3" xfId="20723"/>
    <cellStyle name="Standaard 20 2 2 4 2 3 3" xfId="20724"/>
    <cellStyle name="Standaard 20 2 2 4 2 3 3 2" xfId="20725"/>
    <cellStyle name="Standaard 20 2 2 4 2 3 4" xfId="20726"/>
    <cellStyle name="Standaard 20 2 2 4 2 4" xfId="20727"/>
    <cellStyle name="Standaard 20 2 2 4 2 4 2" xfId="20728"/>
    <cellStyle name="Standaard 20 2 2 4 2 4 2 2" xfId="20729"/>
    <cellStyle name="Standaard 20 2 2 4 2 4 3" xfId="20730"/>
    <cellStyle name="Standaard 20 2 2 4 2 5" xfId="20731"/>
    <cellStyle name="Standaard 20 2 2 4 2 5 2" xfId="20732"/>
    <cellStyle name="Standaard 20 2 2 4 2 6" xfId="20733"/>
    <cellStyle name="Standaard 20 2 2 4 2 7" xfId="20734"/>
    <cellStyle name="Standaard 20 2 2 4 3" xfId="20735"/>
    <cellStyle name="Standaard 20 2 2 4 3 2" xfId="20736"/>
    <cellStyle name="Standaard 20 2 2 4 3 2 2" xfId="20737"/>
    <cellStyle name="Standaard 20 2 2 4 3 2 2 2" xfId="20738"/>
    <cellStyle name="Standaard 20 2 2 4 3 2 2 2 2" xfId="20739"/>
    <cellStyle name="Standaard 20 2 2 4 3 2 2 3" xfId="20740"/>
    <cellStyle name="Standaard 20 2 2 4 3 2 3" xfId="20741"/>
    <cellStyle name="Standaard 20 2 2 4 3 2 3 2" xfId="20742"/>
    <cellStyle name="Standaard 20 2 2 4 3 2 4" xfId="20743"/>
    <cellStyle name="Standaard 20 2 2 4 3 3" xfId="20744"/>
    <cellStyle name="Standaard 20 2 2 4 3 3 2" xfId="20745"/>
    <cellStyle name="Standaard 20 2 2 4 3 3 2 2" xfId="20746"/>
    <cellStyle name="Standaard 20 2 2 4 3 3 3" xfId="20747"/>
    <cellStyle name="Standaard 20 2 2 4 3 4" xfId="20748"/>
    <cellStyle name="Standaard 20 2 2 4 3 4 2" xfId="20749"/>
    <cellStyle name="Standaard 20 2 2 4 3 5" xfId="20750"/>
    <cellStyle name="Standaard 20 2 2 4 3 6" xfId="20751"/>
    <cellStyle name="Standaard 20 2 2 4 4" xfId="20752"/>
    <cellStyle name="Standaard 20 2 2 4 4 2" xfId="20753"/>
    <cellStyle name="Standaard 20 2 2 4 4 2 2" xfId="20754"/>
    <cellStyle name="Standaard 20 2 2 4 4 2 2 2" xfId="20755"/>
    <cellStyle name="Standaard 20 2 2 4 4 2 3" xfId="20756"/>
    <cellStyle name="Standaard 20 2 2 4 4 3" xfId="20757"/>
    <cellStyle name="Standaard 20 2 2 4 4 3 2" xfId="20758"/>
    <cellStyle name="Standaard 20 2 2 4 4 4" xfId="20759"/>
    <cellStyle name="Standaard 20 2 2 4 5" xfId="20760"/>
    <cellStyle name="Standaard 20 2 2 4 5 2" xfId="20761"/>
    <cellStyle name="Standaard 20 2 2 4 5 2 2" xfId="20762"/>
    <cellStyle name="Standaard 20 2 2 4 5 3" xfId="20763"/>
    <cellStyle name="Standaard 20 2 2 4 6" xfId="20764"/>
    <cellStyle name="Standaard 20 2 2 4 6 2" xfId="20765"/>
    <cellStyle name="Standaard 20 2 2 4 7" xfId="20766"/>
    <cellStyle name="Standaard 20 2 2 4 8" xfId="20767"/>
    <cellStyle name="Standaard 20 2 2 5" xfId="20768"/>
    <cellStyle name="Standaard 20 2 2 5 2" xfId="20769"/>
    <cellStyle name="Standaard 20 2 2 5 2 2" xfId="20770"/>
    <cellStyle name="Standaard 20 2 2 5 2 2 2" xfId="20771"/>
    <cellStyle name="Standaard 20 2 2 5 2 2 2 2" xfId="20772"/>
    <cellStyle name="Standaard 20 2 2 5 2 2 2 2 2" xfId="20773"/>
    <cellStyle name="Standaard 20 2 2 5 2 2 2 3" xfId="20774"/>
    <cellStyle name="Standaard 20 2 2 5 2 2 3" xfId="20775"/>
    <cellStyle name="Standaard 20 2 2 5 2 2 3 2" xfId="20776"/>
    <cellStyle name="Standaard 20 2 2 5 2 2 4" xfId="20777"/>
    <cellStyle name="Standaard 20 2 2 5 2 3" xfId="20778"/>
    <cellStyle name="Standaard 20 2 2 5 2 3 2" xfId="20779"/>
    <cellStyle name="Standaard 20 2 2 5 2 3 2 2" xfId="20780"/>
    <cellStyle name="Standaard 20 2 2 5 2 3 3" xfId="20781"/>
    <cellStyle name="Standaard 20 2 2 5 2 4" xfId="20782"/>
    <cellStyle name="Standaard 20 2 2 5 2 4 2" xfId="20783"/>
    <cellStyle name="Standaard 20 2 2 5 2 5" xfId="20784"/>
    <cellStyle name="Standaard 20 2 2 5 2 6" xfId="20785"/>
    <cellStyle name="Standaard 20 2 2 5 3" xfId="20786"/>
    <cellStyle name="Standaard 20 2 2 5 3 2" xfId="20787"/>
    <cellStyle name="Standaard 20 2 2 5 3 2 2" xfId="20788"/>
    <cellStyle name="Standaard 20 2 2 5 3 2 2 2" xfId="20789"/>
    <cellStyle name="Standaard 20 2 2 5 3 2 3" xfId="20790"/>
    <cellStyle name="Standaard 20 2 2 5 3 3" xfId="20791"/>
    <cellStyle name="Standaard 20 2 2 5 3 3 2" xfId="20792"/>
    <cellStyle name="Standaard 20 2 2 5 3 4" xfId="20793"/>
    <cellStyle name="Standaard 20 2 2 5 4" xfId="20794"/>
    <cellStyle name="Standaard 20 2 2 5 4 2" xfId="20795"/>
    <cellStyle name="Standaard 20 2 2 5 4 2 2" xfId="20796"/>
    <cellStyle name="Standaard 20 2 2 5 4 3" xfId="20797"/>
    <cellStyle name="Standaard 20 2 2 5 5" xfId="20798"/>
    <cellStyle name="Standaard 20 2 2 5 5 2" xfId="20799"/>
    <cellStyle name="Standaard 20 2 2 5 6" xfId="20800"/>
    <cellStyle name="Standaard 20 2 2 5 7" xfId="20801"/>
    <cellStyle name="Standaard 20 2 2 6" xfId="20802"/>
    <cellStyle name="Standaard 20 2 2 6 2" xfId="20803"/>
    <cellStyle name="Standaard 20 2 2 6 2 2" xfId="20804"/>
    <cellStyle name="Standaard 20 2 2 6 2 2 2" xfId="20805"/>
    <cellStyle name="Standaard 20 2 2 6 2 2 2 2" xfId="20806"/>
    <cellStyle name="Standaard 20 2 2 6 2 2 3" xfId="20807"/>
    <cellStyle name="Standaard 20 2 2 6 2 3" xfId="20808"/>
    <cellStyle name="Standaard 20 2 2 6 2 3 2" xfId="20809"/>
    <cellStyle name="Standaard 20 2 2 6 2 4" xfId="20810"/>
    <cellStyle name="Standaard 20 2 2 6 3" xfId="20811"/>
    <cellStyle name="Standaard 20 2 2 6 3 2" xfId="20812"/>
    <cellStyle name="Standaard 20 2 2 6 3 2 2" xfId="20813"/>
    <cellStyle name="Standaard 20 2 2 6 3 3" xfId="20814"/>
    <cellStyle name="Standaard 20 2 2 6 4" xfId="20815"/>
    <cellStyle name="Standaard 20 2 2 6 4 2" xfId="20816"/>
    <cellStyle name="Standaard 20 2 2 6 5" xfId="20817"/>
    <cellStyle name="Standaard 20 2 2 6 6" xfId="20818"/>
    <cellStyle name="Standaard 20 2 2 7" xfId="20819"/>
    <cellStyle name="Standaard 20 2 2 7 2" xfId="20820"/>
    <cellStyle name="Standaard 20 2 2 7 2 2" xfId="20821"/>
    <cellStyle name="Standaard 20 2 2 7 2 2 2" xfId="20822"/>
    <cellStyle name="Standaard 20 2 2 7 2 3" xfId="20823"/>
    <cellStyle name="Standaard 20 2 2 7 3" xfId="20824"/>
    <cellStyle name="Standaard 20 2 2 7 3 2" xfId="20825"/>
    <cellStyle name="Standaard 20 2 2 7 4" xfId="20826"/>
    <cellStyle name="Standaard 20 2 2 8" xfId="20827"/>
    <cellStyle name="Standaard 20 2 2 8 2" xfId="20828"/>
    <cellStyle name="Standaard 20 2 2 8 2 2" xfId="20829"/>
    <cellStyle name="Standaard 20 2 2 8 3" xfId="20830"/>
    <cellStyle name="Standaard 20 2 2 9" xfId="20831"/>
    <cellStyle name="Standaard 20 2 2 9 2" xfId="20832"/>
    <cellStyle name="Standaard 20 2 3" xfId="20833"/>
    <cellStyle name="Standaard 20 2 3 2" xfId="20834"/>
    <cellStyle name="Standaard 20 2 3 2 2" xfId="20835"/>
    <cellStyle name="Standaard 20 2 3 2 2 2" xfId="20836"/>
    <cellStyle name="Standaard 20 2 3 2 2 2 2" xfId="20837"/>
    <cellStyle name="Standaard 20 2 3 2 2 2 2 2" xfId="20838"/>
    <cellStyle name="Standaard 20 2 3 2 2 2 2 2 2" xfId="20839"/>
    <cellStyle name="Standaard 20 2 3 2 2 2 2 2 2 2" xfId="20840"/>
    <cellStyle name="Standaard 20 2 3 2 2 2 2 2 3" xfId="20841"/>
    <cellStyle name="Standaard 20 2 3 2 2 2 2 3" xfId="20842"/>
    <cellStyle name="Standaard 20 2 3 2 2 2 2 3 2" xfId="20843"/>
    <cellStyle name="Standaard 20 2 3 2 2 2 2 4" xfId="20844"/>
    <cellStyle name="Standaard 20 2 3 2 2 2 3" xfId="20845"/>
    <cellStyle name="Standaard 20 2 3 2 2 2 3 2" xfId="20846"/>
    <cellStyle name="Standaard 20 2 3 2 2 2 3 2 2" xfId="20847"/>
    <cellStyle name="Standaard 20 2 3 2 2 2 3 3" xfId="20848"/>
    <cellStyle name="Standaard 20 2 3 2 2 2 4" xfId="20849"/>
    <cellStyle name="Standaard 20 2 3 2 2 2 4 2" xfId="20850"/>
    <cellStyle name="Standaard 20 2 3 2 2 2 5" xfId="20851"/>
    <cellStyle name="Standaard 20 2 3 2 2 2 6" xfId="20852"/>
    <cellStyle name="Standaard 20 2 3 2 2 3" xfId="20853"/>
    <cellStyle name="Standaard 20 2 3 2 2 3 2" xfId="20854"/>
    <cellStyle name="Standaard 20 2 3 2 2 3 2 2" xfId="20855"/>
    <cellStyle name="Standaard 20 2 3 2 2 3 2 2 2" xfId="20856"/>
    <cellStyle name="Standaard 20 2 3 2 2 3 2 3" xfId="20857"/>
    <cellStyle name="Standaard 20 2 3 2 2 3 3" xfId="20858"/>
    <cellStyle name="Standaard 20 2 3 2 2 3 3 2" xfId="20859"/>
    <cellStyle name="Standaard 20 2 3 2 2 3 4" xfId="20860"/>
    <cellStyle name="Standaard 20 2 3 2 2 4" xfId="20861"/>
    <cellStyle name="Standaard 20 2 3 2 2 4 2" xfId="20862"/>
    <cellStyle name="Standaard 20 2 3 2 2 4 2 2" xfId="20863"/>
    <cellStyle name="Standaard 20 2 3 2 2 4 3" xfId="20864"/>
    <cellStyle name="Standaard 20 2 3 2 2 5" xfId="20865"/>
    <cellStyle name="Standaard 20 2 3 2 2 5 2" xfId="20866"/>
    <cellStyle name="Standaard 20 2 3 2 2 6" xfId="20867"/>
    <cellStyle name="Standaard 20 2 3 2 2 7" xfId="20868"/>
    <cellStyle name="Standaard 20 2 3 2 3" xfId="20869"/>
    <cellStyle name="Standaard 20 2 3 2 3 2" xfId="20870"/>
    <cellStyle name="Standaard 20 2 3 2 3 2 2" xfId="20871"/>
    <cellStyle name="Standaard 20 2 3 2 3 2 2 2" xfId="20872"/>
    <cellStyle name="Standaard 20 2 3 2 3 2 2 2 2" xfId="20873"/>
    <cellStyle name="Standaard 20 2 3 2 3 2 2 3" xfId="20874"/>
    <cellStyle name="Standaard 20 2 3 2 3 2 3" xfId="20875"/>
    <cellStyle name="Standaard 20 2 3 2 3 2 3 2" xfId="20876"/>
    <cellStyle name="Standaard 20 2 3 2 3 2 4" xfId="20877"/>
    <cellStyle name="Standaard 20 2 3 2 3 3" xfId="20878"/>
    <cellStyle name="Standaard 20 2 3 2 3 3 2" xfId="20879"/>
    <cellStyle name="Standaard 20 2 3 2 3 3 2 2" xfId="20880"/>
    <cellStyle name="Standaard 20 2 3 2 3 3 3" xfId="20881"/>
    <cellStyle name="Standaard 20 2 3 2 3 4" xfId="20882"/>
    <cellStyle name="Standaard 20 2 3 2 3 4 2" xfId="20883"/>
    <cellStyle name="Standaard 20 2 3 2 3 5" xfId="20884"/>
    <cellStyle name="Standaard 20 2 3 2 3 6" xfId="20885"/>
    <cellStyle name="Standaard 20 2 3 2 4" xfId="20886"/>
    <cellStyle name="Standaard 20 2 3 2 4 2" xfId="20887"/>
    <cellStyle name="Standaard 20 2 3 2 4 2 2" xfId="20888"/>
    <cellStyle name="Standaard 20 2 3 2 4 2 2 2" xfId="20889"/>
    <cellStyle name="Standaard 20 2 3 2 4 2 3" xfId="20890"/>
    <cellStyle name="Standaard 20 2 3 2 4 3" xfId="20891"/>
    <cellStyle name="Standaard 20 2 3 2 4 3 2" xfId="20892"/>
    <cellStyle name="Standaard 20 2 3 2 4 4" xfId="20893"/>
    <cellStyle name="Standaard 20 2 3 2 5" xfId="20894"/>
    <cellStyle name="Standaard 20 2 3 2 5 2" xfId="20895"/>
    <cellStyle name="Standaard 20 2 3 2 5 2 2" xfId="20896"/>
    <cellStyle name="Standaard 20 2 3 2 5 3" xfId="20897"/>
    <cellStyle name="Standaard 20 2 3 2 6" xfId="20898"/>
    <cellStyle name="Standaard 20 2 3 2 6 2" xfId="20899"/>
    <cellStyle name="Standaard 20 2 3 2 7" xfId="20900"/>
    <cellStyle name="Standaard 20 2 3 2 8" xfId="20901"/>
    <cellStyle name="Standaard 20 2 3 3" xfId="20902"/>
    <cellStyle name="Standaard 20 2 3 3 2" xfId="20903"/>
    <cellStyle name="Standaard 20 2 3 3 2 2" xfId="20904"/>
    <cellStyle name="Standaard 20 2 3 3 2 2 2" xfId="20905"/>
    <cellStyle name="Standaard 20 2 3 3 2 2 2 2" xfId="20906"/>
    <cellStyle name="Standaard 20 2 3 3 2 2 2 2 2" xfId="20907"/>
    <cellStyle name="Standaard 20 2 3 3 2 2 2 3" xfId="20908"/>
    <cellStyle name="Standaard 20 2 3 3 2 2 3" xfId="20909"/>
    <cellStyle name="Standaard 20 2 3 3 2 2 3 2" xfId="20910"/>
    <cellStyle name="Standaard 20 2 3 3 2 2 4" xfId="20911"/>
    <cellStyle name="Standaard 20 2 3 3 2 3" xfId="20912"/>
    <cellStyle name="Standaard 20 2 3 3 2 3 2" xfId="20913"/>
    <cellStyle name="Standaard 20 2 3 3 2 3 2 2" xfId="20914"/>
    <cellStyle name="Standaard 20 2 3 3 2 3 3" xfId="20915"/>
    <cellStyle name="Standaard 20 2 3 3 2 4" xfId="20916"/>
    <cellStyle name="Standaard 20 2 3 3 2 4 2" xfId="20917"/>
    <cellStyle name="Standaard 20 2 3 3 2 5" xfId="20918"/>
    <cellStyle name="Standaard 20 2 3 3 2 6" xfId="20919"/>
    <cellStyle name="Standaard 20 2 3 3 3" xfId="20920"/>
    <cellStyle name="Standaard 20 2 3 3 3 2" xfId="20921"/>
    <cellStyle name="Standaard 20 2 3 3 3 2 2" xfId="20922"/>
    <cellStyle name="Standaard 20 2 3 3 3 2 2 2" xfId="20923"/>
    <cellStyle name="Standaard 20 2 3 3 3 2 3" xfId="20924"/>
    <cellStyle name="Standaard 20 2 3 3 3 3" xfId="20925"/>
    <cellStyle name="Standaard 20 2 3 3 3 3 2" xfId="20926"/>
    <cellStyle name="Standaard 20 2 3 3 3 4" xfId="20927"/>
    <cellStyle name="Standaard 20 2 3 3 4" xfId="20928"/>
    <cellStyle name="Standaard 20 2 3 3 4 2" xfId="20929"/>
    <cellStyle name="Standaard 20 2 3 3 4 2 2" xfId="20930"/>
    <cellStyle name="Standaard 20 2 3 3 4 3" xfId="20931"/>
    <cellStyle name="Standaard 20 2 3 3 5" xfId="20932"/>
    <cellStyle name="Standaard 20 2 3 3 5 2" xfId="20933"/>
    <cellStyle name="Standaard 20 2 3 3 6" xfId="20934"/>
    <cellStyle name="Standaard 20 2 3 3 7" xfId="20935"/>
    <cellStyle name="Standaard 20 2 3 4" xfId="20936"/>
    <cellStyle name="Standaard 20 2 3 4 2" xfId="20937"/>
    <cellStyle name="Standaard 20 2 3 4 2 2" xfId="20938"/>
    <cellStyle name="Standaard 20 2 3 4 2 2 2" xfId="20939"/>
    <cellStyle name="Standaard 20 2 3 4 2 2 2 2" xfId="20940"/>
    <cellStyle name="Standaard 20 2 3 4 2 2 3" xfId="20941"/>
    <cellStyle name="Standaard 20 2 3 4 2 3" xfId="20942"/>
    <cellStyle name="Standaard 20 2 3 4 2 3 2" xfId="20943"/>
    <cellStyle name="Standaard 20 2 3 4 2 4" xfId="20944"/>
    <cellStyle name="Standaard 20 2 3 4 3" xfId="20945"/>
    <cellStyle name="Standaard 20 2 3 4 3 2" xfId="20946"/>
    <cellStyle name="Standaard 20 2 3 4 3 2 2" xfId="20947"/>
    <cellStyle name="Standaard 20 2 3 4 3 3" xfId="20948"/>
    <cellStyle name="Standaard 20 2 3 4 4" xfId="20949"/>
    <cellStyle name="Standaard 20 2 3 4 4 2" xfId="20950"/>
    <cellStyle name="Standaard 20 2 3 4 5" xfId="20951"/>
    <cellStyle name="Standaard 20 2 3 4 6" xfId="20952"/>
    <cellStyle name="Standaard 20 2 3 5" xfId="20953"/>
    <cellStyle name="Standaard 20 2 3 5 2" xfId="20954"/>
    <cellStyle name="Standaard 20 2 3 5 2 2" xfId="20955"/>
    <cellStyle name="Standaard 20 2 3 5 2 2 2" xfId="20956"/>
    <cellStyle name="Standaard 20 2 3 5 2 3" xfId="20957"/>
    <cellStyle name="Standaard 20 2 3 5 3" xfId="20958"/>
    <cellStyle name="Standaard 20 2 3 5 3 2" xfId="20959"/>
    <cellStyle name="Standaard 20 2 3 5 4" xfId="20960"/>
    <cellStyle name="Standaard 20 2 3 6" xfId="20961"/>
    <cellStyle name="Standaard 20 2 3 6 2" xfId="20962"/>
    <cellStyle name="Standaard 20 2 3 6 2 2" xfId="20963"/>
    <cellStyle name="Standaard 20 2 3 6 3" xfId="20964"/>
    <cellStyle name="Standaard 20 2 3 7" xfId="20965"/>
    <cellStyle name="Standaard 20 2 3 7 2" xfId="20966"/>
    <cellStyle name="Standaard 20 2 3 8" xfId="20967"/>
    <cellStyle name="Standaard 20 2 3 9" xfId="20968"/>
    <cellStyle name="Standaard 20 2 4" xfId="20969"/>
    <cellStyle name="Standaard 20 2 4 2" xfId="20970"/>
    <cellStyle name="Standaard 20 2 4 2 2" xfId="20971"/>
    <cellStyle name="Standaard 20 2 4 2 2 2" xfId="20972"/>
    <cellStyle name="Standaard 20 2 4 2 2 2 2" xfId="20973"/>
    <cellStyle name="Standaard 20 2 4 2 2 2 2 2" xfId="20974"/>
    <cellStyle name="Standaard 20 2 4 2 2 2 2 2 2" xfId="20975"/>
    <cellStyle name="Standaard 20 2 4 2 2 2 2 3" xfId="20976"/>
    <cellStyle name="Standaard 20 2 4 2 2 2 3" xfId="20977"/>
    <cellStyle name="Standaard 20 2 4 2 2 2 3 2" xfId="20978"/>
    <cellStyle name="Standaard 20 2 4 2 2 2 4" xfId="20979"/>
    <cellStyle name="Standaard 20 2 4 2 2 3" xfId="20980"/>
    <cellStyle name="Standaard 20 2 4 2 2 3 2" xfId="20981"/>
    <cellStyle name="Standaard 20 2 4 2 2 3 2 2" xfId="20982"/>
    <cellStyle name="Standaard 20 2 4 2 2 3 3" xfId="20983"/>
    <cellStyle name="Standaard 20 2 4 2 2 4" xfId="20984"/>
    <cellStyle name="Standaard 20 2 4 2 2 4 2" xfId="20985"/>
    <cellStyle name="Standaard 20 2 4 2 2 5" xfId="20986"/>
    <cellStyle name="Standaard 20 2 4 2 2 6" xfId="20987"/>
    <cellStyle name="Standaard 20 2 4 2 3" xfId="20988"/>
    <cellStyle name="Standaard 20 2 4 2 3 2" xfId="20989"/>
    <cellStyle name="Standaard 20 2 4 2 3 2 2" xfId="20990"/>
    <cellStyle name="Standaard 20 2 4 2 3 2 2 2" xfId="20991"/>
    <cellStyle name="Standaard 20 2 4 2 3 2 3" xfId="20992"/>
    <cellStyle name="Standaard 20 2 4 2 3 3" xfId="20993"/>
    <cellStyle name="Standaard 20 2 4 2 3 3 2" xfId="20994"/>
    <cellStyle name="Standaard 20 2 4 2 3 4" xfId="20995"/>
    <cellStyle name="Standaard 20 2 4 2 4" xfId="20996"/>
    <cellStyle name="Standaard 20 2 4 2 4 2" xfId="20997"/>
    <cellStyle name="Standaard 20 2 4 2 4 2 2" xfId="20998"/>
    <cellStyle name="Standaard 20 2 4 2 4 3" xfId="20999"/>
    <cellStyle name="Standaard 20 2 4 2 5" xfId="21000"/>
    <cellStyle name="Standaard 20 2 4 2 5 2" xfId="21001"/>
    <cellStyle name="Standaard 20 2 4 2 6" xfId="21002"/>
    <cellStyle name="Standaard 20 2 4 2 7" xfId="21003"/>
    <cellStyle name="Standaard 20 2 4 3" xfId="21004"/>
    <cellStyle name="Standaard 20 2 4 3 2" xfId="21005"/>
    <cellStyle name="Standaard 20 2 4 3 2 2" xfId="21006"/>
    <cellStyle name="Standaard 20 2 4 3 2 2 2" xfId="21007"/>
    <cellStyle name="Standaard 20 2 4 3 2 2 2 2" xfId="21008"/>
    <cellStyle name="Standaard 20 2 4 3 2 2 3" xfId="21009"/>
    <cellStyle name="Standaard 20 2 4 3 2 3" xfId="21010"/>
    <cellStyle name="Standaard 20 2 4 3 2 3 2" xfId="21011"/>
    <cellStyle name="Standaard 20 2 4 3 2 4" xfId="21012"/>
    <cellStyle name="Standaard 20 2 4 3 3" xfId="21013"/>
    <cellStyle name="Standaard 20 2 4 3 3 2" xfId="21014"/>
    <cellStyle name="Standaard 20 2 4 3 3 2 2" xfId="21015"/>
    <cellStyle name="Standaard 20 2 4 3 3 3" xfId="21016"/>
    <cellStyle name="Standaard 20 2 4 3 4" xfId="21017"/>
    <cellStyle name="Standaard 20 2 4 3 4 2" xfId="21018"/>
    <cellStyle name="Standaard 20 2 4 3 5" xfId="21019"/>
    <cellStyle name="Standaard 20 2 4 3 6" xfId="21020"/>
    <cellStyle name="Standaard 20 2 4 4" xfId="21021"/>
    <cellStyle name="Standaard 20 2 4 4 2" xfId="21022"/>
    <cellStyle name="Standaard 20 2 4 4 2 2" xfId="21023"/>
    <cellStyle name="Standaard 20 2 4 4 2 2 2" xfId="21024"/>
    <cellStyle name="Standaard 20 2 4 4 2 3" xfId="21025"/>
    <cellStyle name="Standaard 20 2 4 4 3" xfId="21026"/>
    <cellStyle name="Standaard 20 2 4 4 3 2" xfId="21027"/>
    <cellStyle name="Standaard 20 2 4 4 4" xfId="21028"/>
    <cellStyle name="Standaard 20 2 4 5" xfId="21029"/>
    <cellStyle name="Standaard 20 2 4 5 2" xfId="21030"/>
    <cellStyle name="Standaard 20 2 4 5 2 2" xfId="21031"/>
    <cellStyle name="Standaard 20 2 4 5 3" xfId="21032"/>
    <cellStyle name="Standaard 20 2 4 6" xfId="21033"/>
    <cellStyle name="Standaard 20 2 4 6 2" xfId="21034"/>
    <cellStyle name="Standaard 20 2 4 7" xfId="21035"/>
    <cellStyle name="Standaard 20 2 4 8" xfId="21036"/>
    <cellStyle name="Standaard 20 2 5" xfId="21037"/>
    <cellStyle name="Standaard 20 2 5 2" xfId="21038"/>
    <cellStyle name="Standaard 20 2 5 2 2" xfId="21039"/>
    <cellStyle name="Standaard 20 2 5 2 2 2" xfId="21040"/>
    <cellStyle name="Standaard 20 2 5 2 2 2 2" xfId="21041"/>
    <cellStyle name="Standaard 20 2 5 2 2 2 2 2" xfId="21042"/>
    <cellStyle name="Standaard 20 2 5 2 2 2 2 2 2" xfId="21043"/>
    <cellStyle name="Standaard 20 2 5 2 2 2 2 3" xfId="21044"/>
    <cellStyle name="Standaard 20 2 5 2 2 2 3" xfId="21045"/>
    <cellStyle name="Standaard 20 2 5 2 2 2 3 2" xfId="21046"/>
    <cellStyle name="Standaard 20 2 5 2 2 2 4" xfId="21047"/>
    <cellStyle name="Standaard 20 2 5 2 2 3" xfId="21048"/>
    <cellStyle name="Standaard 20 2 5 2 2 3 2" xfId="21049"/>
    <cellStyle name="Standaard 20 2 5 2 2 3 2 2" xfId="21050"/>
    <cellStyle name="Standaard 20 2 5 2 2 3 3" xfId="21051"/>
    <cellStyle name="Standaard 20 2 5 2 2 4" xfId="21052"/>
    <cellStyle name="Standaard 20 2 5 2 2 4 2" xfId="21053"/>
    <cellStyle name="Standaard 20 2 5 2 2 5" xfId="21054"/>
    <cellStyle name="Standaard 20 2 5 2 2 6" xfId="21055"/>
    <cellStyle name="Standaard 20 2 5 2 3" xfId="21056"/>
    <cellStyle name="Standaard 20 2 5 2 3 2" xfId="21057"/>
    <cellStyle name="Standaard 20 2 5 2 3 2 2" xfId="21058"/>
    <cellStyle name="Standaard 20 2 5 2 3 2 2 2" xfId="21059"/>
    <cellStyle name="Standaard 20 2 5 2 3 2 3" xfId="21060"/>
    <cellStyle name="Standaard 20 2 5 2 3 3" xfId="21061"/>
    <cellStyle name="Standaard 20 2 5 2 3 3 2" xfId="21062"/>
    <cellStyle name="Standaard 20 2 5 2 3 4" xfId="21063"/>
    <cellStyle name="Standaard 20 2 5 2 4" xfId="21064"/>
    <cellStyle name="Standaard 20 2 5 2 4 2" xfId="21065"/>
    <cellStyle name="Standaard 20 2 5 2 4 2 2" xfId="21066"/>
    <cellStyle name="Standaard 20 2 5 2 4 3" xfId="21067"/>
    <cellStyle name="Standaard 20 2 5 2 5" xfId="21068"/>
    <cellStyle name="Standaard 20 2 5 2 5 2" xfId="21069"/>
    <cellStyle name="Standaard 20 2 5 2 6" xfId="21070"/>
    <cellStyle name="Standaard 20 2 5 2 7" xfId="21071"/>
    <cellStyle name="Standaard 20 2 5 3" xfId="21072"/>
    <cellStyle name="Standaard 20 2 5 3 2" xfId="21073"/>
    <cellStyle name="Standaard 20 2 5 3 2 2" xfId="21074"/>
    <cellStyle name="Standaard 20 2 5 3 2 2 2" xfId="21075"/>
    <cellStyle name="Standaard 20 2 5 3 2 2 2 2" xfId="21076"/>
    <cellStyle name="Standaard 20 2 5 3 2 2 3" xfId="21077"/>
    <cellStyle name="Standaard 20 2 5 3 2 3" xfId="21078"/>
    <cellStyle name="Standaard 20 2 5 3 2 3 2" xfId="21079"/>
    <cellStyle name="Standaard 20 2 5 3 2 4" xfId="21080"/>
    <cellStyle name="Standaard 20 2 5 3 3" xfId="21081"/>
    <cellStyle name="Standaard 20 2 5 3 3 2" xfId="21082"/>
    <cellStyle name="Standaard 20 2 5 3 3 2 2" xfId="21083"/>
    <cellStyle name="Standaard 20 2 5 3 3 3" xfId="21084"/>
    <cellStyle name="Standaard 20 2 5 3 4" xfId="21085"/>
    <cellStyle name="Standaard 20 2 5 3 4 2" xfId="21086"/>
    <cellStyle name="Standaard 20 2 5 3 5" xfId="21087"/>
    <cellStyle name="Standaard 20 2 5 3 6" xfId="21088"/>
    <cellStyle name="Standaard 20 2 5 4" xfId="21089"/>
    <cellStyle name="Standaard 20 2 5 4 2" xfId="21090"/>
    <cellStyle name="Standaard 20 2 5 4 2 2" xfId="21091"/>
    <cellStyle name="Standaard 20 2 5 4 2 2 2" xfId="21092"/>
    <cellStyle name="Standaard 20 2 5 4 2 3" xfId="21093"/>
    <cellStyle name="Standaard 20 2 5 4 3" xfId="21094"/>
    <cellStyle name="Standaard 20 2 5 4 3 2" xfId="21095"/>
    <cellStyle name="Standaard 20 2 5 4 4" xfId="21096"/>
    <cellStyle name="Standaard 20 2 5 5" xfId="21097"/>
    <cellStyle name="Standaard 20 2 5 5 2" xfId="21098"/>
    <cellStyle name="Standaard 20 2 5 5 2 2" xfId="21099"/>
    <cellStyle name="Standaard 20 2 5 5 3" xfId="21100"/>
    <cellStyle name="Standaard 20 2 5 6" xfId="21101"/>
    <cellStyle name="Standaard 20 2 5 6 2" xfId="21102"/>
    <cellStyle name="Standaard 20 2 5 7" xfId="21103"/>
    <cellStyle name="Standaard 20 2 5 8" xfId="21104"/>
    <cellStyle name="Standaard 20 2 6" xfId="21105"/>
    <cellStyle name="Standaard 20 2 6 2" xfId="21106"/>
    <cellStyle name="Standaard 20 2 6 2 2" xfId="21107"/>
    <cellStyle name="Standaard 20 2 6 2 2 2" xfId="21108"/>
    <cellStyle name="Standaard 20 2 6 2 2 2 2" xfId="21109"/>
    <cellStyle name="Standaard 20 2 6 2 2 2 2 2" xfId="21110"/>
    <cellStyle name="Standaard 20 2 6 2 2 2 3" xfId="21111"/>
    <cellStyle name="Standaard 20 2 6 2 2 3" xfId="21112"/>
    <cellStyle name="Standaard 20 2 6 2 2 3 2" xfId="21113"/>
    <cellStyle name="Standaard 20 2 6 2 2 4" xfId="21114"/>
    <cellStyle name="Standaard 20 2 6 2 3" xfId="21115"/>
    <cellStyle name="Standaard 20 2 6 2 3 2" xfId="21116"/>
    <cellStyle name="Standaard 20 2 6 2 3 2 2" xfId="21117"/>
    <cellStyle name="Standaard 20 2 6 2 3 3" xfId="21118"/>
    <cellStyle name="Standaard 20 2 6 2 4" xfId="21119"/>
    <cellStyle name="Standaard 20 2 6 2 4 2" xfId="21120"/>
    <cellStyle name="Standaard 20 2 6 2 5" xfId="21121"/>
    <cellStyle name="Standaard 20 2 6 2 6" xfId="21122"/>
    <cellStyle name="Standaard 20 2 6 3" xfId="21123"/>
    <cellStyle name="Standaard 20 2 6 3 2" xfId="21124"/>
    <cellStyle name="Standaard 20 2 6 3 2 2" xfId="21125"/>
    <cellStyle name="Standaard 20 2 6 3 2 2 2" xfId="21126"/>
    <cellStyle name="Standaard 20 2 6 3 2 3" xfId="21127"/>
    <cellStyle name="Standaard 20 2 6 3 3" xfId="21128"/>
    <cellStyle name="Standaard 20 2 6 3 3 2" xfId="21129"/>
    <cellStyle name="Standaard 20 2 6 3 4" xfId="21130"/>
    <cellStyle name="Standaard 20 2 6 4" xfId="21131"/>
    <cellStyle name="Standaard 20 2 6 4 2" xfId="21132"/>
    <cellStyle name="Standaard 20 2 6 4 2 2" xfId="21133"/>
    <cellStyle name="Standaard 20 2 6 4 3" xfId="21134"/>
    <cellStyle name="Standaard 20 2 6 5" xfId="21135"/>
    <cellStyle name="Standaard 20 2 6 5 2" xfId="21136"/>
    <cellStyle name="Standaard 20 2 6 6" xfId="21137"/>
    <cellStyle name="Standaard 20 2 6 7" xfId="21138"/>
    <cellStyle name="Standaard 20 2 7" xfId="21139"/>
    <cellStyle name="Standaard 20 2 7 2" xfId="21140"/>
    <cellStyle name="Standaard 20 2 7 2 2" xfId="21141"/>
    <cellStyle name="Standaard 20 2 7 2 2 2" xfId="21142"/>
    <cellStyle name="Standaard 20 2 7 2 2 2 2" xfId="21143"/>
    <cellStyle name="Standaard 20 2 7 2 2 3" xfId="21144"/>
    <cellStyle name="Standaard 20 2 7 2 3" xfId="21145"/>
    <cellStyle name="Standaard 20 2 7 2 3 2" xfId="21146"/>
    <cellStyle name="Standaard 20 2 7 2 4" xfId="21147"/>
    <cellStyle name="Standaard 20 2 7 3" xfId="21148"/>
    <cellStyle name="Standaard 20 2 7 3 2" xfId="21149"/>
    <cellStyle name="Standaard 20 2 7 3 2 2" xfId="21150"/>
    <cellStyle name="Standaard 20 2 7 3 3" xfId="21151"/>
    <cellStyle name="Standaard 20 2 7 4" xfId="21152"/>
    <cellStyle name="Standaard 20 2 7 4 2" xfId="21153"/>
    <cellStyle name="Standaard 20 2 7 5" xfId="21154"/>
    <cellStyle name="Standaard 20 2 7 6" xfId="21155"/>
    <cellStyle name="Standaard 20 2 8" xfId="21156"/>
    <cellStyle name="Standaard 20 2 8 2" xfId="21157"/>
    <cellStyle name="Standaard 20 2 8 2 2" xfId="21158"/>
    <cellStyle name="Standaard 20 2 8 2 2 2" xfId="21159"/>
    <cellStyle name="Standaard 20 2 8 2 3" xfId="21160"/>
    <cellStyle name="Standaard 20 2 8 3" xfId="21161"/>
    <cellStyle name="Standaard 20 2 8 3 2" xfId="21162"/>
    <cellStyle name="Standaard 20 2 8 4" xfId="21163"/>
    <cellStyle name="Standaard 20 2 9" xfId="21164"/>
    <cellStyle name="Standaard 20 2 9 2" xfId="21165"/>
    <cellStyle name="Standaard 20 2 9 2 2" xfId="21166"/>
    <cellStyle name="Standaard 20 2 9 3" xfId="21167"/>
    <cellStyle name="Standaard 20 3" xfId="21168"/>
    <cellStyle name="Standaard 20 3 10" xfId="21169"/>
    <cellStyle name="Standaard 20 3 11" xfId="21170"/>
    <cellStyle name="Standaard 20 3 2" xfId="21171"/>
    <cellStyle name="Standaard 20 3 2 2" xfId="21172"/>
    <cellStyle name="Standaard 20 3 2 2 2" xfId="21173"/>
    <cellStyle name="Standaard 20 3 2 2 2 2" xfId="21174"/>
    <cellStyle name="Standaard 20 3 2 2 2 2 2" xfId="21175"/>
    <cellStyle name="Standaard 20 3 2 2 2 2 2 2" xfId="21176"/>
    <cellStyle name="Standaard 20 3 2 2 2 2 2 2 2" xfId="21177"/>
    <cellStyle name="Standaard 20 3 2 2 2 2 2 2 2 2" xfId="21178"/>
    <cellStyle name="Standaard 20 3 2 2 2 2 2 2 3" xfId="21179"/>
    <cellStyle name="Standaard 20 3 2 2 2 2 2 3" xfId="21180"/>
    <cellStyle name="Standaard 20 3 2 2 2 2 2 3 2" xfId="21181"/>
    <cellStyle name="Standaard 20 3 2 2 2 2 2 4" xfId="21182"/>
    <cellStyle name="Standaard 20 3 2 2 2 2 3" xfId="21183"/>
    <cellStyle name="Standaard 20 3 2 2 2 2 3 2" xfId="21184"/>
    <cellStyle name="Standaard 20 3 2 2 2 2 3 2 2" xfId="21185"/>
    <cellStyle name="Standaard 20 3 2 2 2 2 3 3" xfId="21186"/>
    <cellStyle name="Standaard 20 3 2 2 2 2 4" xfId="21187"/>
    <cellStyle name="Standaard 20 3 2 2 2 2 4 2" xfId="21188"/>
    <cellStyle name="Standaard 20 3 2 2 2 2 5" xfId="21189"/>
    <cellStyle name="Standaard 20 3 2 2 2 2 6" xfId="21190"/>
    <cellStyle name="Standaard 20 3 2 2 2 3" xfId="21191"/>
    <cellStyle name="Standaard 20 3 2 2 2 3 2" xfId="21192"/>
    <cellStyle name="Standaard 20 3 2 2 2 3 2 2" xfId="21193"/>
    <cellStyle name="Standaard 20 3 2 2 2 3 2 2 2" xfId="21194"/>
    <cellStyle name="Standaard 20 3 2 2 2 3 2 3" xfId="21195"/>
    <cellStyle name="Standaard 20 3 2 2 2 3 3" xfId="21196"/>
    <cellStyle name="Standaard 20 3 2 2 2 3 3 2" xfId="21197"/>
    <cellStyle name="Standaard 20 3 2 2 2 3 4" xfId="21198"/>
    <cellStyle name="Standaard 20 3 2 2 2 4" xfId="21199"/>
    <cellStyle name="Standaard 20 3 2 2 2 4 2" xfId="21200"/>
    <cellStyle name="Standaard 20 3 2 2 2 4 2 2" xfId="21201"/>
    <cellStyle name="Standaard 20 3 2 2 2 4 3" xfId="21202"/>
    <cellStyle name="Standaard 20 3 2 2 2 5" xfId="21203"/>
    <cellStyle name="Standaard 20 3 2 2 2 5 2" xfId="21204"/>
    <cellStyle name="Standaard 20 3 2 2 2 6" xfId="21205"/>
    <cellStyle name="Standaard 20 3 2 2 2 7" xfId="21206"/>
    <cellStyle name="Standaard 20 3 2 2 3" xfId="21207"/>
    <cellStyle name="Standaard 20 3 2 2 3 2" xfId="21208"/>
    <cellStyle name="Standaard 20 3 2 2 3 2 2" xfId="21209"/>
    <cellStyle name="Standaard 20 3 2 2 3 2 2 2" xfId="21210"/>
    <cellStyle name="Standaard 20 3 2 2 3 2 2 2 2" xfId="21211"/>
    <cellStyle name="Standaard 20 3 2 2 3 2 2 3" xfId="21212"/>
    <cellStyle name="Standaard 20 3 2 2 3 2 3" xfId="21213"/>
    <cellStyle name="Standaard 20 3 2 2 3 2 3 2" xfId="21214"/>
    <cellStyle name="Standaard 20 3 2 2 3 2 4" xfId="21215"/>
    <cellStyle name="Standaard 20 3 2 2 3 3" xfId="21216"/>
    <cellStyle name="Standaard 20 3 2 2 3 3 2" xfId="21217"/>
    <cellStyle name="Standaard 20 3 2 2 3 3 2 2" xfId="21218"/>
    <cellStyle name="Standaard 20 3 2 2 3 3 3" xfId="21219"/>
    <cellStyle name="Standaard 20 3 2 2 3 4" xfId="21220"/>
    <cellStyle name="Standaard 20 3 2 2 3 4 2" xfId="21221"/>
    <cellStyle name="Standaard 20 3 2 2 3 5" xfId="21222"/>
    <cellStyle name="Standaard 20 3 2 2 3 6" xfId="21223"/>
    <cellStyle name="Standaard 20 3 2 2 4" xfId="21224"/>
    <cellStyle name="Standaard 20 3 2 2 4 2" xfId="21225"/>
    <cellStyle name="Standaard 20 3 2 2 4 2 2" xfId="21226"/>
    <cellStyle name="Standaard 20 3 2 2 4 2 2 2" xfId="21227"/>
    <cellStyle name="Standaard 20 3 2 2 4 2 3" xfId="21228"/>
    <cellStyle name="Standaard 20 3 2 2 4 3" xfId="21229"/>
    <cellStyle name="Standaard 20 3 2 2 4 3 2" xfId="21230"/>
    <cellStyle name="Standaard 20 3 2 2 4 4" xfId="21231"/>
    <cellStyle name="Standaard 20 3 2 2 5" xfId="21232"/>
    <cellStyle name="Standaard 20 3 2 2 5 2" xfId="21233"/>
    <cellStyle name="Standaard 20 3 2 2 5 2 2" xfId="21234"/>
    <cellStyle name="Standaard 20 3 2 2 5 3" xfId="21235"/>
    <cellStyle name="Standaard 20 3 2 2 6" xfId="21236"/>
    <cellStyle name="Standaard 20 3 2 2 6 2" xfId="21237"/>
    <cellStyle name="Standaard 20 3 2 2 7" xfId="21238"/>
    <cellStyle name="Standaard 20 3 2 2 8" xfId="21239"/>
    <cellStyle name="Standaard 20 3 2 3" xfId="21240"/>
    <cellStyle name="Standaard 20 3 2 3 2" xfId="21241"/>
    <cellStyle name="Standaard 20 3 2 3 2 2" xfId="21242"/>
    <cellStyle name="Standaard 20 3 2 3 2 2 2" xfId="21243"/>
    <cellStyle name="Standaard 20 3 2 3 2 2 2 2" xfId="21244"/>
    <cellStyle name="Standaard 20 3 2 3 2 2 2 2 2" xfId="21245"/>
    <cellStyle name="Standaard 20 3 2 3 2 2 2 3" xfId="21246"/>
    <cellStyle name="Standaard 20 3 2 3 2 2 3" xfId="21247"/>
    <cellStyle name="Standaard 20 3 2 3 2 2 3 2" xfId="21248"/>
    <cellStyle name="Standaard 20 3 2 3 2 2 4" xfId="21249"/>
    <cellStyle name="Standaard 20 3 2 3 2 3" xfId="21250"/>
    <cellStyle name="Standaard 20 3 2 3 2 3 2" xfId="21251"/>
    <cellStyle name="Standaard 20 3 2 3 2 3 2 2" xfId="21252"/>
    <cellStyle name="Standaard 20 3 2 3 2 3 3" xfId="21253"/>
    <cellStyle name="Standaard 20 3 2 3 2 4" xfId="21254"/>
    <cellStyle name="Standaard 20 3 2 3 2 4 2" xfId="21255"/>
    <cellStyle name="Standaard 20 3 2 3 2 5" xfId="21256"/>
    <cellStyle name="Standaard 20 3 2 3 2 6" xfId="21257"/>
    <cellStyle name="Standaard 20 3 2 3 3" xfId="21258"/>
    <cellStyle name="Standaard 20 3 2 3 3 2" xfId="21259"/>
    <cellStyle name="Standaard 20 3 2 3 3 2 2" xfId="21260"/>
    <cellStyle name="Standaard 20 3 2 3 3 2 2 2" xfId="21261"/>
    <cellStyle name="Standaard 20 3 2 3 3 2 3" xfId="21262"/>
    <cellStyle name="Standaard 20 3 2 3 3 3" xfId="21263"/>
    <cellStyle name="Standaard 20 3 2 3 3 3 2" xfId="21264"/>
    <cellStyle name="Standaard 20 3 2 3 3 4" xfId="21265"/>
    <cellStyle name="Standaard 20 3 2 3 4" xfId="21266"/>
    <cellStyle name="Standaard 20 3 2 3 4 2" xfId="21267"/>
    <cellStyle name="Standaard 20 3 2 3 4 2 2" xfId="21268"/>
    <cellStyle name="Standaard 20 3 2 3 4 3" xfId="21269"/>
    <cellStyle name="Standaard 20 3 2 3 5" xfId="21270"/>
    <cellStyle name="Standaard 20 3 2 3 5 2" xfId="21271"/>
    <cellStyle name="Standaard 20 3 2 3 6" xfId="21272"/>
    <cellStyle name="Standaard 20 3 2 3 7" xfId="21273"/>
    <cellStyle name="Standaard 20 3 2 4" xfId="21274"/>
    <cellStyle name="Standaard 20 3 2 4 2" xfId="21275"/>
    <cellStyle name="Standaard 20 3 2 4 2 2" xfId="21276"/>
    <cellStyle name="Standaard 20 3 2 4 2 2 2" xfId="21277"/>
    <cellStyle name="Standaard 20 3 2 4 2 2 2 2" xfId="21278"/>
    <cellStyle name="Standaard 20 3 2 4 2 2 3" xfId="21279"/>
    <cellStyle name="Standaard 20 3 2 4 2 3" xfId="21280"/>
    <cellStyle name="Standaard 20 3 2 4 2 3 2" xfId="21281"/>
    <cellStyle name="Standaard 20 3 2 4 2 4" xfId="21282"/>
    <cellStyle name="Standaard 20 3 2 4 3" xfId="21283"/>
    <cellStyle name="Standaard 20 3 2 4 3 2" xfId="21284"/>
    <cellStyle name="Standaard 20 3 2 4 3 2 2" xfId="21285"/>
    <cellStyle name="Standaard 20 3 2 4 3 3" xfId="21286"/>
    <cellStyle name="Standaard 20 3 2 4 4" xfId="21287"/>
    <cellStyle name="Standaard 20 3 2 4 4 2" xfId="21288"/>
    <cellStyle name="Standaard 20 3 2 4 5" xfId="21289"/>
    <cellStyle name="Standaard 20 3 2 4 6" xfId="21290"/>
    <cellStyle name="Standaard 20 3 2 5" xfId="21291"/>
    <cellStyle name="Standaard 20 3 2 5 2" xfId="21292"/>
    <cellStyle name="Standaard 20 3 2 5 2 2" xfId="21293"/>
    <cellStyle name="Standaard 20 3 2 5 2 2 2" xfId="21294"/>
    <cellStyle name="Standaard 20 3 2 5 2 3" xfId="21295"/>
    <cellStyle name="Standaard 20 3 2 5 3" xfId="21296"/>
    <cellStyle name="Standaard 20 3 2 5 3 2" xfId="21297"/>
    <cellStyle name="Standaard 20 3 2 5 4" xfId="21298"/>
    <cellStyle name="Standaard 20 3 2 6" xfId="21299"/>
    <cellStyle name="Standaard 20 3 2 6 2" xfId="21300"/>
    <cellStyle name="Standaard 20 3 2 6 2 2" xfId="21301"/>
    <cellStyle name="Standaard 20 3 2 6 3" xfId="21302"/>
    <cellStyle name="Standaard 20 3 2 7" xfId="21303"/>
    <cellStyle name="Standaard 20 3 2 7 2" xfId="21304"/>
    <cellStyle name="Standaard 20 3 2 8" xfId="21305"/>
    <cellStyle name="Standaard 20 3 2 9" xfId="21306"/>
    <cellStyle name="Standaard 20 3 3" xfId="21307"/>
    <cellStyle name="Standaard 20 3 3 2" xfId="21308"/>
    <cellStyle name="Standaard 20 3 3 2 2" xfId="21309"/>
    <cellStyle name="Standaard 20 3 3 2 2 2" xfId="21310"/>
    <cellStyle name="Standaard 20 3 3 2 2 2 2" xfId="21311"/>
    <cellStyle name="Standaard 20 3 3 2 2 2 2 2" xfId="21312"/>
    <cellStyle name="Standaard 20 3 3 2 2 2 2 2 2" xfId="21313"/>
    <cellStyle name="Standaard 20 3 3 2 2 2 2 3" xfId="21314"/>
    <cellStyle name="Standaard 20 3 3 2 2 2 3" xfId="21315"/>
    <cellStyle name="Standaard 20 3 3 2 2 2 3 2" xfId="21316"/>
    <cellStyle name="Standaard 20 3 3 2 2 2 4" xfId="21317"/>
    <cellStyle name="Standaard 20 3 3 2 2 3" xfId="21318"/>
    <cellStyle name="Standaard 20 3 3 2 2 3 2" xfId="21319"/>
    <cellStyle name="Standaard 20 3 3 2 2 3 2 2" xfId="21320"/>
    <cellStyle name="Standaard 20 3 3 2 2 3 3" xfId="21321"/>
    <cellStyle name="Standaard 20 3 3 2 2 4" xfId="21322"/>
    <cellStyle name="Standaard 20 3 3 2 2 4 2" xfId="21323"/>
    <cellStyle name="Standaard 20 3 3 2 2 5" xfId="21324"/>
    <cellStyle name="Standaard 20 3 3 2 2 6" xfId="21325"/>
    <cellStyle name="Standaard 20 3 3 2 3" xfId="21326"/>
    <cellStyle name="Standaard 20 3 3 2 3 2" xfId="21327"/>
    <cellStyle name="Standaard 20 3 3 2 3 2 2" xfId="21328"/>
    <cellStyle name="Standaard 20 3 3 2 3 2 2 2" xfId="21329"/>
    <cellStyle name="Standaard 20 3 3 2 3 2 3" xfId="21330"/>
    <cellStyle name="Standaard 20 3 3 2 3 3" xfId="21331"/>
    <cellStyle name="Standaard 20 3 3 2 3 3 2" xfId="21332"/>
    <cellStyle name="Standaard 20 3 3 2 3 4" xfId="21333"/>
    <cellStyle name="Standaard 20 3 3 2 4" xfId="21334"/>
    <cellStyle name="Standaard 20 3 3 2 4 2" xfId="21335"/>
    <cellStyle name="Standaard 20 3 3 2 4 2 2" xfId="21336"/>
    <cellStyle name="Standaard 20 3 3 2 4 3" xfId="21337"/>
    <cellStyle name="Standaard 20 3 3 2 5" xfId="21338"/>
    <cellStyle name="Standaard 20 3 3 2 5 2" xfId="21339"/>
    <cellStyle name="Standaard 20 3 3 2 6" xfId="21340"/>
    <cellStyle name="Standaard 20 3 3 2 7" xfId="21341"/>
    <cellStyle name="Standaard 20 3 3 3" xfId="21342"/>
    <cellStyle name="Standaard 20 3 3 3 2" xfId="21343"/>
    <cellStyle name="Standaard 20 3 3 3 2 2" xfId="21344"/>
    <cellStyle name="Standaard 20 3 3 3 2 2 2" xfId="21345"/>
    <cellStyle name="Standaard 20 3 3 3 2 2 2 2" xfId="21346"/>
    <cellStyle name="Standaard 20 3 3 3 2 2 3" xfId="21347"/>
    <cellStyle name="Standaard 20 3 3 3 2 3" xfId="21348"/>
    <cellStyle name="Standaard 20 3 3 3 2 3 2" xfId="21349"/>
    <cellStyle name="Standaard 20 3 3 3 2 4" xfId="21350"/>
    <cellStyle name="Standaard 20 3 3 3 3" xfId="21351"/>
    <cellStyle name="Standaard 20 3 3 3 3 2" xfId="21352"/>
    <cellStyle name="Standaard 20 3 3 3 3 2 2" xfId="21353"/>
    <cellStyle name="Standaard 20 3 3 3 3 3" xfId="21354"/>
    <cellStyle name="Standaard 20 3 3 3 4" xfId="21355"/>
    <cellStyle name="Standaard 20 3 3 3 4 2" xfId="21356"/>
    <cellStyle name="Standaard 20 3 3 3 5" xfId="21357"/>
    <cellStyle name="Standaard 20 3 3 3 6" xfId="21358"/>
    <cellStyle name="Standaard 20 3 3 4" xfId="21359"/>
    <cellStyle name="Standaard 20 3 3 4 2" xfId="21360"/>
    <cellStyle name="Standaard 20 3 3 4 2 2" xfId="21361"/>
    <cellStyle name="Standaard 20 3 3 4 2 2 2" xfId="21362"/>
    <cellStyle name="Standaard 20 3 3 4 2 3" xfId="21363"/>
    <cellStyle name="Standaard 20 3 3 4 3" xfId="21364"/>
    <cellStyle name="Standaard 20 3 3 4 3 2" xfId="21365"/>
    <cellStyle name="Standaard 20 3 3 4 4" xfId="21366"/>
    <cellStyle name="Standaard 20 3 3 5" xfId="21367"/>
    <cellStyle name="Standaard 20 3 3 5 2" xfId="21368"/>
    <cellStyle name="Standaard 20 3 3 5 2 2" xfId="21369"/>
    <cellStyle name="Standaard 20 3 3 5 3" xfId="21370"/>
    <cellStyle name="Standaard 20 3 3 6" xfId="21371"/>
    <cellStyle name="Standaard 20 3 3 6 2" xfId="21372"/>
    <cellStyle name="Standaard 20 3 3 7" xfId="21373"/>
    <cellStyle name="Standaard 20 3 3 8" xfId="21374"/>
    <cellStyle name="Standaard 20 3 4" xfId="21375"/>
    <cellStyle name="Standaard 20 3 4 2" xfId="21376"/>
    <cellStyle name="Standaard 20 3 4 2 2" xfId="21377"/>
    <cellStyle name="Standaard 20 3 4 2 2 2" xfId="21378"/>
    <cellStyle name="Standaard 20 3 4 2 2 2 2" xfId="21379"/>
    <cellStyle name="Standaard 20 3 4 2 2 2 2 2" xfId="21380"/>
    <cellStyle name="Standaard 20 3 4 2 2 2 2 2 2" xfId="21381"/>
    <cellStyle name="Standaard 20 3 4 2 2 2 2 3" xfId="21382"/>
    <cellStyle name="Standaard 20 3 4 2 2 2 3" xfId="21383"/>
    <cellStyle name="Standaard 20 3 4 2 2 2 3 2" xfId="21384"/>
    <cellStyle name="Standaard 20 3 4 2 2 2 4" xfId="21385"/>
    <cellStyle name="Standaard 20 3 4 2 2 3" xfId="21386"/>
    <cellStyle name="Standaard 20 3 4 2 2 3 2" xfId="21387"/>
    <cellStyle name="Standaard 20 3 4 2 2 3 2 2" xfId="21388"/>
    <cellStyle name="Standaard 20 3 4 2 2 3 3" xfId="21389"/>
    <cellStyle name="Standaard 20 3 4 2 2 4" xfId="21390"/>
    <cellStyle name="Standaard 20 3 4 2 2 4 2" xfId="21391"/>
    <cellStyle name="Standaard 20 3 4 2 2 5" xfId="21392"/>
    <cellStyle name="Standaard 20 3 4 2 2 6" xfId="21393"/>
    <cellStyle name="Standaard 20 3 4 2 3" xfId="21394"/>
    <cellStyle name="Standaard 20 3 4 2 3 2" xfId="21395"/>
    <cellStyle name="Standaard 20 3 4 2 3 2 2" xfId="21396"/>
    <cellStyle name="Standaard 20 3 4 2 3 2 2 2" xfId="21397"/>
    <cellStyle name="Standaard 20 3 4 2 3 2 3" xfId="21398"/>
    <cellStyle name="Standaard 20 3 4 2 3 3" xfId="21399"/>
    <cellStyle name="Standaard 20 3 4 2 3 3 2" xfId="21400"/>
    <cellStyle name="Standaard 20 3 4 2 3 4" xfId="21401"/>
    <cellStyle name="Standaard 20 3 4 2 4" xfId="21402"/>
    <cellStyle name="Standaard 20 3 4 2 4 2" xfId="21403"/>
    <cellStyle name="Standaard 20 3 4 2 4 2 2" xfId="21404"/>
    <cellStyle name="Standaard 20 3 4 2 4 3" xfId="21405"/>
    <cellStyle name="Standaard 20 3 4 2 5" xfId="21406"/>
    <cellStyle name="Standaard 20 3 4 2 5 2" xfId="21407"/>
    <cellStyle name="Standaard 20 3 4 2 6" xfId="21408"/>
    <cellStyle name="Standaard 20 3 4 2 7" xfId="21409"/>
    <cellStyle name="Standaard 20 3 4 3" xfId="21410"/>
    <cellStyle name="Standaard 20 3 4 3 2" xfId="21411"/>
    <cellStyle name="Standaard 20 3 4 3 2 2" xfId="21412"/>
    <cellStyle name="Standaard 20 3 4 3 2 2 2" xfId="21413"/>
    <cellStyle name="Standaard 20 3 4 3 2 2 2 2" xfId="21414"/>
    <cellStyle name="Standaard 20 3 4 3 2 2 3" xfId="21415"/>
    <cellStyle name="Standaard 20 3 4 3 2 3" xfId="21416"/>
    <cellStyle name="Standaard 20 3 4 3 2 3 2" xfId="21417"/>
    <cellStyle name="Standaard 20 3 4 3 2 4" xfId="21418"/>
    <cellStyle name="Standaard 20 3 4 3 3" xfId="21419"/>
    <cellStyle name="Standaard 20 3 4 3 3 2" xfId="21420"/>
    <cellStyle name="Standaard 20 3 4 3 3 2 2" xfId="21421"/>
    <cellStyle name="Standaard 20 3 4 3 3 3" xfId="21422"/>
    <cellStyle name="Standaard 20 3 4 3 4" xfId="21423"/>
    <cellStyle name="Standaard 20 3 4 3 4 2" xfId="21424"/>
    <cellStyle name="Standaard 20 3 4 3 5" xfId="21425"/>
    <cellStyle name="Standaard 20 3 4 3 6" xfId="21426"/>
    <cellStyle name="Standaard 20 3 4 4" xfId="21427"/>
    <cellStyle name="Standaard 20 3 4 4 2" xfId="21428"/>
    <cellStyle name="Standaard 20 3 4 4 2 2" xfId="21429"/>
    <cellStyle name="Standaard 20 3 4 4 2 2 2" xfId="21430"/>
    <cellStyle name="Standaard 20 3 4 4 2 3" xfId="21431"/>
    <cellStyle name="Standaard 20 3 4 4 3" xfId="21432"/>
    <cellStyle name="Standaard 20 3 4 4 3 2" xfId="21433"/>
    <cellStyle name="Standaard 20 3 4 4 4" xfId="21434"/>
    <cellStyle name="Standaard 20 3 4 5" xfId="21435"/>
    <cellStyle name="Standaard 20 3 4 5 2" xfId="21436"/>
    <cellStyle name="Standaard 20 3 4 5 2 2" xfId="21437"/>
    <cellStyle name="Standaard 20 3 4 5 3" xfId="21438"/>
    <cellStyle name="Standaard 20 3 4 6" xfId="21439"/>
    <cellStyle name="Standaard 20 3 4 6 2" xfId="21440"/>
    <cellStyle name="Standaard 20 3 4 7" xfId="21441"/>
    <cellStyle name="Standaard 20 3 4 8" xfId="21442"/>
    <cellStyle name="Standaard 20 3 5" xfId="21443"/>
    <cellStyle name="Standaard 20 3 5 2" xfId="21444"/>
    <cellStyle name="Standaard 20 3 5 2 2" xfId="21445"/>
    <cellStyle name="Standaard 20 3 5 2 2 2" xfId="21446"/>
    <cellStyle name="Standaard 20 3 5 2 2 2 2" xfId="21447"/>
    <cellStyle name="Standaard 20 3 5 2 2 2 2 2" xfId="21448"/>
    <cellStyle name="Standaard 20 3 5 2 2 2 3" xfId="21449"/>
    <cellStyle name="Standaard 20 3 5 2 2 3" xfId="21450"/>
    <cellStyle name="Standaard 20 3 5 2 2 3 2" xfId="21451"/>
    <cellStyle name="Standaard 20 3 5 2 2 4" xfId="21452"/>
    <cellStyle name="Standaard 20 3 5 2 3" xfId="21453"/>
    <cellStyle name="Standaard 20 3 5 2 3 2" xfId="21454"/>
    <cellStyle name="Standaard 20 3 5 2 3 2 2" xfId="21455"/>
    <cellStyle name="Standaard 20 3 5 2 3 3" xfId="21456"/>
    <cellStyle name="Standaard 20 3 5 2 4" xfId="21457"/>
    <cellStyle name="Standaard 20 3 5 2 4 2" xfId="21458"/>
    <cellStyle name="Standaard 20 3 5 2 5" xfId="21459"/>
    <cellStyle name="Standaard 20 3 5 2 6" xfId="21460"/>
    <cellStyle name="Standaard 20 3 5 3" xfId="21461"/>
    <cellStyle name="Standaard 20 3 5 3 2" xfId="21462"/>
    <cellStyle name="Standaard 20 3 5 3 2 2" xfId="21463"/>
    <cellStyle name="Standaard 20 3 5 3 2 2 2" xfId="21464"/>
    <cellStyle name="Standaard 20 3 5 3 2 3" xfId="21465"/>
    <cellStyle name="Standaard 20 3 5 3 3" xfId="21466"/>
    <cellStyle name="Standaard 20 3 5 3 3 2" xfId="21467"/>
    <cellStyle name="Standaard 20 3 5 3 4" xfId="21468"/>
    <cellStyle name="Standaard 20 3 5 4" xfId="21469"/>
    <cellStyle name="Standaard 20 3 5 4 2" xfId="21470"/>
    <cellStyle name="Standaard 20 3 5 4 2 2" xfId="21471"/>
    <cellStyle name="Standaard 20 3 5 4 3" xfId="21472"/>
    <cellStyle name="Standaard 20 3 5 5" xfId="21473"/>
    <cellStyle name="Standaard 20 3 5 5 2" xfId="21474"/>
    <cellStyle name="Standaard 20 3 5 6" xfId="21475"/>
    <cellStyle name="Standaard 20 3 5 7" xfId="21476"/>
    <cellStyle name="Standaard 20 3 6" xfId="21477"/>
    <cellStyle name="Standaard 20 3 6 2" xfId="21478"/>
    <cellStyle name="Standaard 20 3 6 2 2" xfId="21479"/>
    <cellStyle name="Standaard 20 3 6 2 2 2" xfId="21480"/>
    <cellStyle name="Standaard 20 3 6 2 2 2 2" xfId="21481"/>
    <cellStyle name="Standaard 20 3 6 2 2 3" xfId="21482"/>
    <cellStyle name="Standaard 20 3 6 2 3" xfId="21483"/>
    <cellStyle name="Standaard 20 3 6 2 3 2" xfId="21484"/>
    <cellStyle name="Standaard 20 3 6 2 4" xfId="21485"/>
    <cellStyle name="Standaard 20 3 6 3" xfId="21486"/>
    <cellStyle name="Standaard 20 3 6 3 2" xfId="21487"/>
    <cellStyle name="Standaard 20 3 6 3 2 2" xfId="21488"/>
    <cellStyle name="Standaard 20 3 6 3 3" xfId="21489"/>
    <cellStyle name="Standaard 20 3 6 4" xfId="21490"/>
    <cellStyle name="Standaard 20 3 6 4 2" xfId="21491"/>
    <cellStyle name="Standaard 20 3 6 5" xfId="21492"/>
    <cellStyle name="Standaard 20 3 6 6" xfId="21493"/>
    <cellStyle name="Standaard 20 3 7" xfId="21494"/>
    <cellStyle name="Standaard 20 3 7 2" xfId="21495"/>
    <cellStyle name="Standaard 20 3 7 2 2" xfId="21496"/>
    <cellStyle name="Standaard 20 3 7 2 2 2" xfId="21497"/>
    <cellStyle name="Standaard 20 3 7 2 3" xfId="21498"/>
    <cellStyle name="Standaard 20 3 7 3" xfId="21499"/>
    <cellStyle name="Standaard 20 3 7 3 2" xfId="21500"/>
    <cellStyle name="Standaard 20 3 7 4" xfId="21501"/>
    <cellStyle name="Standaard 20 3 8" xfId="21502"/>
    <cellStyle name="Standaard 20 3 8 2" xfId="21503"/>
    <cellStyle name="Standaard 20 3 8 2 2" xfId="21504"/>
    <cellStyle name="Standaard 20 3 8 3" xfId="21505"/>
    <cellStyle name="Standaard 20 3 9" xfId="21506"/>
    <cellStyle name="Standaard 20 3 9 2" xfId="21507"/>
    <cellStyle name="Standaard 20 4" xfId="21508"/>
    <cellStyle name="Standaard 20 4 2" xfId="21509"/>
    <cellStyle name="Standaard 20 4 2 2" xfId="21510"/>
    <cellStyle name="Standaard 20 4 2 2 2" xfId="21511"/>
    <cellStyle name="Standaard 20 4 2 2 2 2" xfId="21512"/>
    <cellStyle name="Standaard 20 4 2 2 2 2 2" xfId="21513"/>
    <cellStyle name="Standaard 20 4 2 2 2 2 2 2" xfId="21514"/>
    <cellStyle name="Standaard 20 4 2 2 2 2 2 2 2" xfId="21515"/>
    <cellStyle name="Standaard 20 4 2 2 2 2 2 3" xfId="21516"/>
    <cellStyle name="Standaard 20 4 2 2 2 2 3" xfId="21517"/>
    <cellStyle name="Standaard 20 4 2 2 2 2 3 2" xfId="21518"/>
    <cellStyle name="Standaard 20 4 2 2 2 2 4" xfId="21519"/>
    <cellStyle name="Standaard 20 4 2 2 2 3" xfId="21520"/>
    <cellStyle name="Standaard 20 4 2 2 2 3 2" xfId="21521"/>
    <cellStyle name="Standaard 20 4 2 2 2 3 2 2" xfId="21522"/>
    <cellStyle name="Standaard 20 4 2 2 2 3 3" xfId="21523"/>
    <cellStyle name="Standaard 20 4 2 2 2 4" xfId="21524"/>
    <cellStyle name="Standaard 20 4 2 2 2 4 2" xfId="21525"/>
    <cellStyle name="Standaard 20 4 2 2 2 5" xfId="21526"/>
    <cellStyle name="Standaard 20 4 2 2 2 6" xfId="21527"/>
    <cellStyle name="Standaard 20 4 2 2 3" xfId="21528"/>
    <cellStyle name="Standaard 20 4 2 2 3 2" xfId="21529"/>
    <cellStyle name="Standaard 20 4 2 2 3 2 2" xfId="21530"/>
    <cellStyle name="Standaard 20 4 2 2 3 2 2 2" xfId="21531"/>
    <cellStyle name="Standaard 20 4 2 2 3 2 3" xfId="21532"/>
    <cellStyle name="Standaard 20 4 2 2 3 3" xfId="21533"/>
    <cellStyle name="Standaard 20 4 2 2 3 3 2" xfId="21534"/>
    <cellStyle name="Standaard 20 4 2 2 3 4" xfId="21535"/>
    <cellStyle name="Standaard 20 4 2 2 4" xfId="21536"/>
    <cellStyle name="Standaard 20 4 2 2 4 2" xfId="21537"/>
    <cellStyle name="Standaard 20 4 2 2 4 2 2" xfId="21538"/>
    <cellStyle name="Standaard 20 4 2 2 4 3" xfId="21539"/>
    <cellStyle name="Standaard 20 4 2 2 5" xfId="21540"/>
    <cellStyle name="Standaard 20 4 2 2 5 2" xfId="21541"/>
    <cellStyle name="Standaard 20 4 2 2 6" xfId="21542"/>
    <cellStyle name="Standaard 20 4 2 2 7" xfId="21543"/>
    <cellStyle name="Standaard 20 4 2 3" xfId="21544"/>
    <cellStyle name="Standaard 20 4 2 3 2" xfId="21545"/>
    <cellStyle name="Standaard 20 4 2 3 2 2" xfId="21546"/>
    <cellStyle name="Standaard 20 4 2 3 2 2 2" xfId="21547"/>
    <cellStyle name="Standaard 20 4 2 3 2 2 2 2" xfId="21548"/>
    <cellStyle name="Standaard 20 4 2 3 2 2 3" xfId="21549"/>
    <cellStyle name="Standaard 20 4 2 3 2 3" xfId="21550"/>
    <cellStyle name="Standaard 20 4 2 3 2 3 2" xfId="21551"/>
    <cellStyle name="Standaard 20 4 2 3 2 4" xfId="21552"/>
    <cellStyle name="Standaard 20 4 2 3 3" xfId="21553"/>
    <cellStyle name="Standaard 20 4 2 3 3 2" xfId="21554"/>
    <cellStyle name="Standaard 20 4 2 3 3 2 2" xfId="21555"/>
    <cellStyle name="Standaard 20 4 2 3 3 3" xfId="21556"/>
    <cellStyle name="Standaard 20 4 2 3 4" xfId="21557"/>
    <cellStyle name="Standaard 20 4 2 3 4 2" xfId="21558"/>
    <cellStyle name="Standaard 20 4 2 3 5" xfId="21559"/>
    <cellStyle name="Standaard 20 4 2 3 6" xfId="21560"/>
    <cellStyle name="Standaard 20 4 2 4" xfId="21561"/>
    <cellStyle name="Standaard 20 4 2 4 2" xfId="21562"/>
    <cellStyle name="Standaard 20 4 2 4 2 2" xfId="21563"/>
    <cellStyle name="Standaard 20 4 2 4 2 2 2" xfId="21564"/>
    <cellStyle name="Standaard 20 4 2 4 2 3" xfId="21565"/>
    <cellStyle name="Standaard 20 4 2 4 3" xfId="21566"/>
    <cellStyle name="Standaard 20 4 2 4 3 2" xfId="21567"/>
    <cellStyle name="Standaard 20 4 2 4 4" xfId="21568"/>
    <cellStyle name="Standaard 20 4 2 5" xfId="21569"/>
    <cellStyle name="Standaard 20 4 2 5 2" xfId="21570"/>
    <cellStyle name="Standaard 20 4 2 5 2 2" xfId="21571"/>
    <cellStyle name="Standaard 20 4 2 5 3" xfId="21572"/>
    <cellStyle name="Standaard 20 4 2 6" xfId="21573"/>
    <cellStyle name="Standaard 20 4 2 6 2" xfId="21574"/>
    <cellStyle name="Standaard 20 4 2 7" xfId="21575"/>
    <cellStyle name="Standaard 20 4 2 8" xfId="21576"/>
    <cellStyle name="Standaard 20 4 3" xfId="21577"/>
    <cellStyle name="Standaard 20 4 3 2" xfId="21578"/>
    <cellStyle name="Standaard 20 4 3 2 2" xfId="21579"/>
    <cellStyle name="Standaard 20 4 3 2 2 2" xfId="21580"/>
    <cellStyle name="Standaard 20 4 3 2 2 2 2" xfId="21581"/>
    <cellStyle name="Standaard 20 4 3 2 2 2 2 2" xfId="21582"/>
    <cellStyle name="Standaard 20 4 3 2 2 2 3" xfId="21583"/>
    <cellStyle name="Standaard 20 4 3 2 2 3" xfId="21584"/>
    <cellStyle name="Standaard 20 4 3 2 2 3 2" xfId="21585"/>
    <cellStyle name="Standaard 20 4 3 2 2 4" xfId="21586"/>
    <cellStyle name="Standaard 20 4 3 2 3" xfId="21587"/>
    <cellStyle name="Standaard 20 4 3 2 3 2" xfId="21588"/>
    <cellStyle name="Standaard 20 4 3 2 3 2 2" xfId="21589"/>
    <cellStyle name="Standaard 20 4 3 2 3 3" xfId="21590"/>
    <cellStyle name="Standaard 20 4 3 2 4" xfId="21591"/>
    <cellStyle name="Standaard 20 4 3 2 4 2" xfId="21592"/>
    <cellStyle name="Standaard 20 4 3 2 5" xfId="21593"/>
    <cellStyle name="Standaard 20 4 3 2 6" xfId="21594"/>
    <cellStyle name="Standaard 20 4 3 3" xfId="21595"/>
    <cellStyle name="Standaard 20 4 3 3 2" xfId="21596"/>
    <cellStyle name="Standaard 20 4 3 3 2 2" xfId="21597"/>
    <cellStyle name="Standaard 20 4 3 3 2 2 2" xfId="21598"/>
    <cellStyle name="Standaard 20 4 3 3 2 3" xfId="21599"/>
    <cellStyle name="Standaard 20 4 3 3 3" xfId="21600"/>
    <cellStyle name="Standaard 20 4 3 3 3 2" xfId="21601"/>
    <cellStyle name="Standaard 20 4 3 3 4" xfId="21602"/>
    <cellStyle name="Standaard 20 4 3 4" xfId="21603"/>
    <cellStyle name="Standaard 20 4 3 4 2" xfId="21604"/>
    <cellStyle name="Standaard 20 4 3 4 2 2" xfId="21605"/>
    <cellStyle name="Standaard 20 4 3 4 3" xfId="21606"/>
    <cellStyle name="Standaard 20 4 3 5" xfId="21607"/>
    <cellStyle name="Standaard 20 4 3 5 2" xfId="21608"/>
    <cellStyle name="Standaard 20 4 3 6" xfId="21609"/>
    <cellStyle name="Standaard 20 4 3 7" xfId="21610"/>
    <cellStyle name="Standaard 20 4 4" xfId="21611"/>
    <cellStyle name="Standaard 20 4 4 2" xfId="21612"/>
    <cellStyle name="Standaard 20 4 4 2 2" xfId="21613"/>
    <cellStyle name="Standaard 20 4 4 2 2 2" xfId="21614"/>
    <cellStyle name="Standaard 20 4 4 2 2 2 2" xfId="21615"/>
    <cellStyle name="Standaard 20 4 4 2 2 3" xfId="21616"/>
    <cellStyle name="Standaard 20 4 4 2 3" xfId="21617"/>
    <cellStyle name="Standaard 20 4 4 2 3 2" xfId="21618"/>
    <cellStyle name="Standaard 20 4 4 2 4" xfId="21619"/>
    <cellStyle name="Standaard 20 4 4 3" xfId="21620"/>
    <cellStyle name="Standaard 20 4 4 3 2" xfId="21621"/>
    <cellStyle name="Standaard 20 4 4 3 2 2" xfId="21622"/>
    <cellStyle name="Standaard 20 4 4 3 3" xfId="21623"/>
    <cellStyle name="Standaard 20 4 4 4" xfId="21624"/>
    <cellStyle name="Standaard 20 4 4 4 2" xfId="21625"/>
    <cellStyle name="Standaard 20 4 4 5" xfId="21626"/>
    <cellStyle name="Standaard 20 4 4 6" xfId="21627"/>
    <cellStyle name="Standaard 20 4 5" xfId="21628"/>
    <cellStyle name="Standaard 20 4 5 2" xfId="21629"/>
    <cellStyle name="Standaard 20 4 5 2 2" xfId="21630"/>
    <cellStyle name="Standaard 20 4 5 2 2 2" xfId="21631"/>
    <cellStyle name="Standaard 20 4 5 2 3" xfId="21632"/>
    <cellStyle name="Standaard 20 4 5 3" xfId="21633"/>
    <cellStyle name="Standaard 20 4 5 3 2" xfId="21634"/>
    <cellStyle name="Standaard 20 4 5 4" xfId="21635"/>
    <cellStyle name="Standaard 20 4 6" xfId="21636"/>
    <cellStyle name="Standaard 20 4 6 2" xfId="21637"/>
    <cellStyle name="Standaard 20 4 6 2 2" xfId="21638"/>
    <cellStyle name="Standaard 20 4 6 3" xfId="21639"/>
    <cellStyle name="Standaard 20 4 7" xfId="21640"/>
    <cellStyle name="Standaard 20 4 7 2" xfId="21641"/>
    <cellStyle name="Standaard 20 4 8" xfId="21642"/>
    <cellStyle name="Standaard 20 4 9" xfId="21643"/>
    <cellStyle name="Standaard 20 5" xfId="21644"/>
    <cellStyle name="Standaard 20 5 2" xfId="21645"/>
    <cellStyle name="Standaard 20 5 2 2" xfId="21646"/>
    <cellStyle name="Standaard 20 5 2 2 2" xfId="21647"/>
    <cellStyle name="Standaard 20 5 2 2 2 2" xfId="21648"/>
    <cellStyle name="Standaard 20 5 2 2 2 2 2" xfId="21649"/>
    <cellStyle name="Standaard 20 5 2 2 2 2 2 2" xfId="21650"/>
    <cellStyle name="Standaard 20 5 2 2 2 2 3" xfId="21651"/>
    <cellStyle name="Standaard 20 5 2 2 2 3" xfId="21652"/>
    <cellStyle name="Standaard 20 5 2 2 2 3 2" xfId="21653"/>
    <cellStyle name="Standaard 20 5 2 2 2 4" xfId="21654"/>
    <cellStyle name="Standaard 20 5 2 2 3" xfId="21655"/>
    <cellStyle name="Standaard 20 5 2 2 3 2" xfId="21656"/>
    <cellStyle name="Standaard 20 5 2 2 3 2 2" xfId="21657"/>
    <cellStyle name="Standaard 20 5 2 2 3 3" xfId="21658"/>
    <cellStyle name="Standaard 20 5 2 2 4" xfId="21659"/>
    <cellStyle name="Standaard 20 5 2 2 4 2" xfId="21660"/>
    <cellStyle name="Standaard 20 5 2 2 5" xfId="21661"/>
    <cellStyle name="Standaard 20 5 2 2 6" xfId="21662"/>
    <cellStyle name="Standaard 20 5 2 3" xfId="21663"/>
    <cellStyle name="Standaard 20 5 2 3 2" xfId="21664"/>
    <cellStyle name="Standaard 20 5 2 3 2 2" xfId="21665"/>
    <cellStyle name="Standaard 20 5 2 3 2 2 2" xfId="21666"/>
    <cellStyle name="Standaard 20 5 2 3 2 3" xfId="21667"/>
    <cellStyle name="Standaard 20 5 2 3 3" xfId="21668"/>
    <cellStyle name="Standaard 20 5 2 3 3 2" xfId="21669"/>
    <cellStyle name="Standaard 20 5 2 3 4" xfId="21670"/>
    <cellStyle name="Standaard 20 5 2 4" xfId="21671"/>
    <cellStyle name="Standaard 20 5 2 4 2" xfId="21672"/>
    <cellStyle name="Standaard 20 5 2 4 2 2" xfId="21673"/>
    <cellStyle name="Standaard 20 5 2 4 3" xfId="21674"/>
    <cellStyle name="Standaard 20 5 2 5" xfId="21675"/>
    <cellStyle name="Standaard 20 5 2 5 2" xfId="21676"/>
    <cellStyle name="Standaard 20 5 2 6" xfId="21677"/>
    <cellStyle name="Standaard 20 5 2 7" xfId="21678"/>
    <cellStyle name="Standaard 20 5 3" xfId="21679"/>
    <cellStyle name="Standaard 20 5 3 2" xfId="21680"/>
    <cellStyle name="Standaard 20 5 3 2 2" xfId="21681"/>
    <cellStyle name="Standaard 20 5 3 2 2 2" xfId="21682"/>
    <cellStyle name="Standaard 20 5 3 2 2 2 2" xfId="21683"/>
    <cellStyle name="Standaard 20 5 3 2 2 3" xfId="21684"/>
    <cellStyle name="Standaard 20 5 3 2 3" xfId="21685"/>
    <cellStyle name="Standaard 20 5 3 2 3 2" xfId="21686"/>
    <cellStyle name="Standaard 20 5 3 2 4" xfId="21687"/>
    <cellStyle name="Standaard 20 5 3 3" xfId="21688"/>
    <cellStyle name="Standaard 20 5 3 3 2" xfId="21689"/>
    <cellStyle name="Standaard 20 5 3 3 2 2" xfId="21690"/>
    <cellStyle name="Standaard 20 5 3 3 3" xfId="21691"/>
    <cellStyle name="Standaard 20 5 3 4" xfId="21692"/>
    <cellStyle name="Standaard 20 5 3 4 2" xfId="21693"/>
    <cellStyle name="Standaard 20 5 3 5" xfId="21694"/>
    <cellStyle name="Standaard 20 5 3 6" xfId="21695"/>
    <cellStyle name="Standaard 20 5 4" xfId="21696"/>
    <cellStyle name="Standaard 20 5 4 2" xfId="21697"/>
    <cellStyle name="Standaard 20 5 4 2 2" xfId="21698"/>
    <cellStyle name="Standaard 20 5 4 2 2 2" xfId="21699"/>
    <cellStyle name="Standaard 20 5 4 2 3" xfId="21700"/>
    <cellStyle name="Standaard 20 5 4 3" xfId="21701"/>
    <cellStyle name="Standaard 20 5 4 3 2" xfId="21702"/>
    <cellStyle name="Standaard 20 5 4 4" xfId="21703"/>
    <cellStyle name="Standaard 20 5 5" xfId="21704"/>
    <cellStyle name="Standaard 20 5 5 2" xfId="21705"/>
    <cellStyle name="Standaard 20 5 5 2 2" xfId="21706"/>
    <cellStyle name="Standaard 20 5 5 3" xfId="21707"/>
    <cellStyle name="Standaard 20 5 6" xfId="21708"/>
    <cellStyle name="Standaard 20 5 6 2" xfId="21709"/>
    <cellStyle name="Standaard 20 5 7" xfId="21710"/>
    <cellStyle name="Standaard 20 5 8" xfId="21711"/>
    <cellStyle name="Standaard 20 6" xfId="21712"/>
    <cellStyle name="Standaard 20 6 2" xfId="21713"/>
    <cellStyle name="Standaard 20 6 2 2" xfId="21714"/>
    <cellStyle name="Standaard 20 6 2 2 2" xfId="21715"/>
    <cellStyle name="Standaard 20 6 2 2 2 2" xfId="21716"/>
    <cellStyle name="Standaard 20 6 2 2 2 2 2" xfId="21717"/>
    <cellStyle name="Standaard 20 6 2 2 2 2 2 2" xfId="21718"/>
    <cellStyle name="Standaard 20 6 2 2 2 2 3" xfId="21719"/>
    <cellStyle name="Standaard 20 6 2 2 2 3" xfId="21720"/>
    <cellStyle name="Standaard 20 6 2 2 2 3 2" xfId="21721"/>
    <cellStyle name="Standaard 20 6 2 2 2 4" xfId="21722"/>
    <cellStyle name="Standaard 20 6 2 2 3" xfId="21723"/>
    <cellStyle name="Standaard 20 6 2 2 3 2" xfId="21724"/>
    <cellStyle name="Standaard 20 6 2 2 3 2 2" xfId="21725"/>
    <cellStyle name="Standaard 20 6 2 2 3 3" xfId="21726"/>
    <cellStyle name="Standaard 20 6 2 2 4" xfId="21727"/>
    <cellStyle name="Standaard 20 6 2 2 4 2" xfId="21728"/>
    <cellStyle name="Standaard 20 6 2 2 5" xfId="21729"/>
    <cellStyle name="Standaard 20 6 2 2 6" xfId="21730"/>
    <cellStyle name="Standaard 20 6 2 3" xfId="21731"/>
    <cellStyle name="Standaard 20 6 2 3 2" xfId="21732"/>
    <cellStyle name="Standaard 20 6 2 3 2 2" xfId="21733"/>
    <cellStyle name="Standaard 20 6 2 3 2 2 2" xfId="21734"/>
    <cellStyle name="Standaard 20 6 2 3 2 3" xfId="21735"/>
    <cellStyle name="Standaard 20 6 2 3 3" xfId="21736"/>
    <cellStyle name="Standaard 20 6 2 3 3 2" xfId="21737"/>
    <cellStyle name="Standaard 20 6 2 3 4" xfId="21738"/>
    <cellStyle name="Standaard 20 6 2 4" xfId="21739"/>
    <cellStyle name="Standaard 20 6 2 4 2" xfId="21740"/>
    <cellStyle name="Standaard 20 6 2 4 2 2" xfId="21741"/>
    <cellStyle name="Standaard 20 6 2 4 3" xfId="21742"/>
    <cellStyle name="Standaard 20 6 2 5" xfId="21743"/>
    <cellStyle name="Standaard 20 6 2 5 2" xfId="21744"/>
    <cellStyle name="Standaard 20 6 2 6" xfId="21745"/>
    <cellStyle name="Standaard 20 6 2 7" xfId="21746"/>
    <cellStyle name="Standaard 20 6 3" xfId="21747"/>
    <cellStyle name="Standaard 20 6 3 2" xfId="21748"/>
    <cellStyle name="Standaard 20 6 3 2 2" xfId="21749"/>
    <cellStyle name="Standaard 20 6 3 2 2 2" xfId="21750"/>
    <cellStyle name="Standaard 20 6 3 2 2 2 2" xfId="21751"/>
    <cellStyle name="Standaard 20 6 3 2 2 3" xfId="21752"/>
    <cellStyle name="Standaard 20 6 3 2 3" xfId="21753"/>
    <cellStyle name="Standaard 20 6 3 2 3 2" xfId="21754"/>
    <cellStyle name="Standaard 20 6 3 2 4" xfId="21755"/>
    <cellStyle name="Standaard 20 6 3 3" xfId="21756"/>
    <cellStyle name="Standaard 20 6 3 3 2" xfId="21757"/>
    <cellStyle name="Standaard 20 6 3 3 2 2" xfId="21758"/>
    <cellStyle name="Standaard 20 6 3 3 3" xfId="21759"/>
    <cellStyle name="Standaard 20 6 3 4" xfId="21760"/>
    <cellStyle name="Standaard 20 6 3 4 2" xfId="21761"/>
    <cellStyle name="Standaard 20 6 3 5" xfId="21762"/>
    <cellStyle name="Standaard 20 6 3 6" xfId="21763"/>
    <cellStyle name="Standaard 20 6 4" xfId="21764"/>
    <cellStyle name="Standaard 20 6 4 2" xfId="21765"/>
    <cellStyle name="Standaard 20 6 4 2 2" xfId="21766"/>
    <cellStyle name="Standaard 20 6 4 2 2 2" xfId="21767"/>
    <cellStyle name="Standaard 20 6 4 2 3" xfId="21768"/>
    <cellStyle name="Standaard 20 6 4 3" xfId="21769"/>
    <cellStyle name="Standaard 20 6 4 3 2" xfId="21770"/>
    <cellStyle name="Standaard 20 6 4 4" xfId="21771"/>
    <cellStyle name="Standaard 20 6 5" xfId="21772"/>
    <cellStyle name="Standaard 20 6 5 2" xfId="21773"/>
    <cellStyle name="Standaard 20 6 5 2 2" xfId="21774"/>
    <cellStyle name="Standaard 20 6 5 3" xfId="21775"/>
    <cellStyle name="Standaard 20 6 6" xfId="21776"/>
    <cellStyle name="Standaard 20 6 6 2" xfId="21777"/>
    <cellStyle name="Standaard 20 6 7" xfId="21778"/>
    <cellStyle name="Standaard 20 6 8" xfId="21779"/>
    <cellStyle name="Standaard 20 7" xfId="21780"/>
    <cellStyle name="Standaard 20 7 2" xfId="21781"/>
    <cellStyle name="Standaard 20 7 2 2" xfId="21782"/>
    <cellStyle name="Standaard 20 7 2 2 2" xfId="21783"/>
    <cellStyle name="Standaard 20 7 2 2 2 2" xfId="21784"/>
    <cellStyle name="Standaard 20 7 2 2 2 2 2" xfId="21785"/>
    <cellStyle name="Standaard 20 7 2 2 2 3" xfId="21786"/>
    <cellStyle name="Standaard 20 7 2 2 3" xfId="21787"/>
    <cellStyle name="Standaard 20 7 2 2 3 2" xfId="21788"/>
    <cellStyle name="Standaard 20 7 2 2 4" xfId="21789"/>
    <cellStyle name="Standaard 20 7 2 3" xfId="21790"/>
    <cellStyle name="Standaard 20 7 2 3 2" xfId="21791"/>
    <cellStyle name="Standaard 20 7 2 3 2 2" xfId="21792"/>
    <cellStyle name="Standaard 20 7 2 3 3" xfId="21793"/>
    <cellStyle name="Standaard 20 7 2 4" xfId="21794"/>
    <cellStyle name="Standaard 20 7 2 4 2" xfId="21795"/>
    <cellStyle name="Standaard 20 7 2 5" xfId="21796"/>
    <cellStyle name="Standaard 20 7 2 6" xfId="21797"/>
    <cellStyle name="Standaard 20 7 3" xfId="21798"/>
    <cellStyle name="Standaard 20 7 3 2" xfId="21799"/>
    <cellStyle name="Standaard 20 7 3 2 2" xfId="21800"/>
    <cellStyle name="Standaard 20 7 3 2 2 2" xfId="21801"/>
    <cellStyle name="Standaard 20 7 3 2 3" xfId="21802"/>
    <cellStyle name="Standaard 20 7 3 3" xfId="21803"/>
    <cellStyle name="Standaard 20 7 3 3 2" xfId="21804"/>
    <cellStyle name="Standaard 20 7 3 4" xfId="21805"/>
    <cellStyle name="Standaard 20 7 4" xfId="21806"/>
    <cellStyle name="Standaard 20 7 4 2" xfId="21807"/>
    <cellStyle name="Standaard 20 7 4 2 2" xfId="21808"/>
    <cellStyle name="Standaard 20 7 4 3" xfId="21809"/>
    <cellStyle name="Standaard 20 7 5" xfId="21810"/>
    <cellStyle name="Standaard 20 7 5 2" xfId="21811"/>
    <cellStyle name="Standaard 20 7 6" xfId="21812"/>
    <cellStyle name="Standaard 20 7 7" xfId="21813"/>
    <cellStyle name="Standaard 20 8" xfId="21814"/>
    <cellStyle name="Standaard 20 8 2" xfId="21815"/>
    <cellStyle name="Standaard 20 8 2 2" xfId="21816"/>
    <cellStyle name="Standaard 20 8 2 2 2" xfId="21817"/>
    <cellStyle name="Standaard 20 8 2 2 2 2" xfId="21818"/>
    <cellStyle name="Standaard 20 8 2 2 3" xfId="21819"/>
    <cellStyle name="Standaard 20 8 2 3" xfId="21820"/>
    <cellStyle name="Standaard 20 8 2 3 2" xfId="21821"/>
    <cellStyle name="Standaard 20 8 2 4" xfId="21822"/>
    <cellStyle name="Standaard 20 8 3" xfId="21823"/>
    <cellStyle name="Standaard 20 8 3 2" xfId="21824"/>
    <cellStyle name="Standaard 20 8 3 2 2" xfId="21825"/>
    <cellStyle name="Standaard 20 8 3 3" xfId="21826"/>
    <cellStyle name="Standaard 20 8 4" xfId="21827"/>
    <cellStyle name="Standaard 20 8 4 2" xfId="21828"/>
    <cellStyle name="Standaard 20 8 5" xfId="21829"/>
    <cellStyle name="Standaard 20 8 6" xfId="21830"/>
    <cellStyle name="Standaard 20 9" xfId="21831"/>
    <cellStyle name="Standaard 20 9 2" xfId="21832"/>
    <cellStyle name="Standaard 20 9 2 2" xfId="21833"/>
    <cellStyle name="Standaard 20 9 2 2 2" xfId="21834"/>
    <cellStyle name="Standaard 20 9 2 3" xfId="21835"/>
    <cellStyle name="Standaard 20 9 3" xfId="21836"/>
    <cellStyle name="Standaard 20 9 3 2" xfId="21837"/>
    <cellStyle name="Standaard 20 9 4" xfId="21838"/>
    <cellStyle name="Standaard 21" xfId="21839"/>
    <cellStyle name="Standaard 21 10" xfId="21840"/>
    <cellStyle name="Standaard 21 10 2" xfId="21841"/>
    <cellStyle name="Standaard 21 10 2 2" xfId="21842"/>
    <cellStyle name="Standaard 21 10 3" xfId="21843"/>
    <cellStyle name="Standaard 21 11" xfId="21844"/>
    <cellStyle name="Standaard 21 11 2" xfId="21845"/>
    <cellStyle name="Standaard 21 12" xfId="21846"/>
    <cellStyle name="Standaard 21 13" xfId="21847"/>
    <cellStyle name="Standaard 21 2" xfId="21848"/>
    <cellStyle name="Standaard 21 2 10" xfId="21849"/>
    <cellStyle name="Standaard 21 2 10 2" xfId="21850"/>
    <cellStyle name="Standaard 21 2 11" xfId="21851"/>
    <cellStyle name="Standaard 21 2 12" xfId="21852"/>
    <cellStyle name="Standaard 21 2 2" xfId="21853"/>
    <cellStyle name="Standaard 21 2 2 10" xfId="21854"/>
    <cellStyle name="Standaard 21 2 2 11" xfId="21855"/>
    <cellStyle name="Standaard 21 2 2 2" xfId="21856"/>
    <cellStyle name="Standaard 21 2 2 2 2" xfId="21857"/>
    <cellStyle name="Standaard 21 2 2 2 2 2" xfId="21858"/>
    <cellStyle name="Standaard 21 2 2 2 2 2 2" xfId="21859"/>
    <cellStyle name="Standaard 21 2 2 2 2 2 2 2" xfId="21860"/>
    <cellStyle name="Standaard 21 2 2 2 2 2 2 2 2" xfId="21861"/>
    <cellStyle name="Standaard 21 2 2 2 2 2 2 2 2 2" xfId="21862"/>
    <cellStyle name="Standaard 21 2 2 2 2 2 2 2 2 2 2" xfId="21863"/>
    <cellStyle name="Standaard 21 2 2 2 2 2 2 2 2 3" xfId="21864"/>
    <cellStyle name="Standaard 21 2 2 2 2 2 2 2 3" xfId="21865"/>
    <cellStyle name="Standaard 21 2 2 2 2 2 2 2 3 2" xfId="21866"/>
    <cellStyle name="Standaard 21 2 2 2 2 2 2 2 4" xfId="21867"/>
    <cellStyle name="Standaard 21 2 2 2 2 2 2 3" xfId="21868"/>
    <cellStyle name="Standaard 21 2 2 2 2 2 2 3 2" xfId="21869"/>
    <cellStyle name="Standaard 21 2 2 2 2 2 2 3 2 2" xfId="21870"/>
    <cellStyle name="Standaard 21 2 2 2 2 2 2 3 3" xfId="21871"/>
    <cellStyle name="Standaard 21 2 2 2 2 2 2 4" xfId="21872"/>
    <cellStyle name="Standaard 21 2 2 2 2 2 2 4 2" xfId="21873"/>
    <cellStyle name="Standaard 21 2 2 2 2 2 2 5" xfId="21874"/>
    <cellStyle name="Standaard 21 2 2 2 2 2 2 6" xfId="21875"/>
    <cellStyle name="Standaard 21 2 2 2 2 2 3" xfId="21876"/>
    <cellStyle name="Standaard 21 2 2 2 2 2 3 2" xfId="21877"/>
    <cellStyle name="Standaard 21 2 2 2 2 2 3 2 2" xfId="21878"/>
    <cellStyle name="Standaard 21 2 2 2 2 2 3 2 2 2" xfId="21879"/>
    <cellStyle name="Standaard 21 2 2 2 2 2 3 2 3" xfId="21880"/>
    <cellStyle name="Standaard 21 2 2 2 2 2 3 3" xfId="21881"/>
    <cellStyle name="Standaard 21 2 2 2 2 2 3 3 2" xfId="21882"/>
    <cellStyle name="Standaard 21 2 2 2 2 2 3 4" xfId="21883"/>
    <cellStyle name="Standaard 21 2 2 2 2 2 4" xfId="21884"/>
    <cellStyle name="Standaard 21 2 2 2 2 2 4 2" xfId="21885"/>
    <cellStyle name="Standaard 21 2 2 2 2 2 4 2 2" xfId="21886"/>
    <cellStyle name="Standaard 21 2 2 2 2 2 4 3" xfId="21887"/>
    <cellStyle name="Standaard 21 2 2 2 2 2 5" xfId="21888"/>
    <cellStyle name="Standaard 21 2 2 2 2 2 5 2" xfId="21889"/>
    <cellStyle name="Standaard 21 2 2 2 2 2 6" xfId="21890"/>
    <cellStyle name="Standaard 21 2 2 2 2 2 7" xfId="21891"/>
    <cellStyle name="Standaard 21 2 2 2 2 3" xfId="21892"/>
    <cellStyle name="Standaard 21 2 2 2 2 3 2" xfId="21893"/>
    <cellStyle name="Standaard 21 2 2 2 2 3 2 2" xfId="21894"/>
    <cellStyle name="Standaard 21 2 2 2 2 3 2 2 2" xfId="21895"/>
    <cellStyle name="Standaard 21 2 2 2 2 3 2 2 2 2" xfId="21896"/>
    <cellStyle name="Standaard 21 2 2 2 2 3 2 2 3" xfId="21897"/>
    <cellStyle name="Standaard 21 2 2 2 2 3 2 3" xfId="21898"/>
    <cellStyle name="Standaard 21 2 2 2 2 3 2 3 2" xfId="21899"/>
    <cellStyle name="Standaard 21 2 2 2 2 3 2 4" xfId="21900"/>
    <cellStyle name="Standaard 21 2 2 2 2 3 3" xfId="21901"/>
    <cellStyle name="Standaard 21 2 2 2 2 3 3 2" xfId="21902"/>
    <cellStyle name="Standaard 21 2 2 2 2 3 3 2 2" xfId="21903"/>
    <cellStyle name="Standaard 21 2 2 2 2 3 3 3" xfId="21904"/>
    <cellStyle name="Standaard 21 2 2 2 2 3 4" xfId="21905"/>
    <cellStyle name="Standaard 21 2 2 2 2 3 4 2" xfId="21906"/>
    <cellStyle name="Standaard 21 2 2 2 2 3 5" xfId="21907"/>
    <cellStyle name="Standaard 21 2 2 2 2 3 6" xfId="21908"/>
    <cellStyle name="Standaard 21 2 2 2 2 4" xfId="21909"/>
    <cellStyle name="Standaard 21 2 2 2 2 4 2" xfId="21910"/>
    <cellStyle name="Standaard 21 2 2 2 2 4 2 2" xfId="21911"/>
    <cellStyle name="Standaard 21 2 2 2 2 4 2 2 2" xfId="21912"/>
    <cellStyle name="Standaard 21 2 2 2 2 4 2 3" xfId="21913"/>
    <cellStyle name="Standaard 21 2 2 2 2 4 3" xfId="21914"/>
    <cellStyle name="Standaard 21 2 2 2 2 4 3 2" xfId="21915"/>
    <cellStyle name="Standaard 21 2 2 2 2 4 4" xfId="21916"/>
    <cellStyle name="Standaard 21 2 2 2 2 5" xfId="21917"/>
    <cellStyle name="Standaard 21 2 2 2 2 5 2" xfId="21918"/>
    <cellStyle name="Standaard 21 2 2 2 2 5 2 2" xfId="21919"/>
    <cellStyle name="Standaard 21 2 2 2 2 5 3" xfId="21920"/>
    <cellStyle name="Standaard 21 2 2 2 2 6" xfId="21921"/>
    <cellStyle name="Standaard 21 2 2 2 2 6 2" xfId="21922"/>
    <cellStyle name="Standaard 21 2 2 2 2 7" xfId="21923"/>
    <cellStyle name="Standaard 21 2 2 2 2 8" xfId="21924"/>
    <cellStyle name="Standaard 21 2 2 2 3" xfId="21925"/>
    <cellStyle name="Standaard 21 2 2 2 3 2" xfId="21926"/>
    <cellStyle name="Standaard 21 2 2 2 3 2 2" xfId="21927"/>
    <cellStyle name="Standaard 21 2 2 2 3 2 2 2" xfId="21928"/>
    <cellStyle name="Standaard 21 2 2 2 3 2 2 2 2" xfId="21929"/>
    <cellStyle name="Standaard 21 2 2 2 3 2 2 2 2 2" xfId="21930"/>
    <cellStyle name="Standaard 21 2 2 2 3 2 2 2 3" xfId="21931"/>
    <cellStyle name="Standaard 21 2 2 2 3 2 2 3" xfId="21932"/>
    <cellStyle name="Standaard 21 2 2 2 3 2 2 3 2" xfId="21933"/>
    <cellStyle name="Standaard 21 2 2 2 3 2 2 4" xfId="21934"/>
    <cellStyle name="Standaard 21 2 2 2 3 2 3" xfId="21935"/>
    <cellStyle name="Standaard 21 2 2 2 3 2 3 2" xfId="21936"/>
    <cellStyle name="Standaard 21 2 2 2 3 2 3 2 2" xfId="21937"/>
    <cellStyle name="Standaard 21 2 2 2 3 2 3 3" xfId="21938"/>
    <cellStyle name="Standaard 21 2 2 2 3 2 4" xfId="21939"/>
    <cellStyle name="Standaard 21 2 2 2 3 2 4 2" xfId="21940"/>
    <cellStyle name="Standaard 21 2 2 2 3 2 5" xfId="21941"/>
    <cellStyle name="Standaard 21 2 2 2 3 2 6" xfId="21942"/>
    <cellStyle name="Standaard 21 2 2 2 3 3" xfId="21943"/>
    <cellStyle name="Standaard 21 2 2 2 3 3 2" xfId="21944"/>
    <cellStyle name="Standaard 21 2 2 2 3 3 2 2" xfId="21945"/>
    <cellStyle name="Standaard 21 2 2 2 3 3 2 2 2" xfId="21946"/>
    <cellStyle name="Standaard 21 2 2 2 3 3 2 3" xfId="21947"/>
    <cellStyle name="Standaard 21 2 2 2 3 3 3" xfId="21948"/>
    <cellStyle name="Standaard 21 2 2 2 3 3 3 2" xfId="21949"/>
    <cellStyle name="Standaard 21 2 2 2 3 3 4" xfId="21950"/>
    <cellStyle name="Standaard 21 2 2 2 3 4" xfId="21951"/>
    <cellStyle name="Standaard 21 2 2 2 3 4 2" xfId="21952"/>
    <cellStyle name="Standaard 21 2 2 2 3 4 2 2" xfId="21953"/>
    <cellStyle name="Standaard 21 2 2 2 3 4 3" xfId="21954"/>
    <cellStyle name="Standaard 21 2 2 2 3 5" xfId="21955"/>
    <cellStyle name="Standaard 21 2 2 2 3 5 2" xfId="21956"/>
    <cellStyle name="Standaard 21 2 2 2 3 6" xfId="21957"/>
    <cellStyle name="Standaard 21 2 2 2 3 7" xfId="21958"/>
    <cellStyle name="Standaard 21 2 2 2 4" xfId="21959"/>
    <cellStyle name="Standaard 21 2 2 2 4 2" xfId="21960"/>
    <cellStyle name="Standaard 21 2 2 2 4 2 2" xfId="21961"/>
    <cellStyle name="Standaard 21 2 2 2 4 2 2 2" xfId="21962"/>
    <cellStyle name="Standaard 21 2 2 2 4 2 2 2 2" xfId="21963"/>
    <cellStyle name="Standaard 21 2 2 2 4 2 2 3" xfId="21964"/>
    <cellStyle name="Standaard 21 2 2 2 4 2 3" xfId="21965"/>
    <cellStyle name="Standaard 21 2 2 2 4 2 3 2" xfId="21966"/>
    <cellStyle name="Standaard 21 2 2 2 4 2 4" xfId="21967"/>
    <cellStyle name="Standaard 21 2 2 2 4 3" xfId="21968"/>
    <cellStyle name="Standaard 21 2 2 2 4 3 2" xfId="21969"/>
    <cellStyle name="Standaard 21 2 2 2 4 3 2 2" xfId="21970"/>
    <cellStyle name="Standaard 21 2 2 2 4 3 3" xfId="21971"/>
    <cellStyle name="Standaard 21 2 2 2 4 4" xfId="21972"/>
    <cellStyle name="Standaard 21 2 2 2 4 4 2" xfId="21973"/>
    <cellStyle name="Standaard 21 2 2 2 4 5" xfId="21974"/>
    <cellStyle name="Standaard 21 2 2 2 4 6" xfId="21975"/>
    <cellStyle name="Standaard 21 2 2 2 5" xfId="21976"/>
    <cellStyle name="Standaard 21 2 2 2 5 2" xfId="21977"/>
    <cellStyle name="Standaard 21 2 2 2 5 2 2" xfId="21978"/>
    <cellStyle name="Standaard 21 2 2 2 5 2 2 2" xfId="21979"/>
    <cellStyle name="Standaard 21 2 2 2 5 2 3" xfId="21980"/>
    <cellStyle name="Standaard 21 2 2 2 5 3" xfId="21981"/>
    <cellStyle name="Standaard 21 2 2 2 5 3 2" xfId="21982"/>
    <cellStyle name="Standaard 21 2 2 2 5 4" xfId="21983"/>
    <cellStyle name="Standaard 21 2 2 2 6" xfId="21984"/>
    <cellStyle name="Standaard 21 2 2 2 6 2" xfId="21985"/>
    <cellStyle name="Standaard 21 2 2 2 6 2 2" xfId="21986"/>
    <cellStyle name="Standaard 21 2 2 2 6 3" xfId="21987"/>
    <cellStyle name="Standaard 21 2 2 2 7" xfId="21988"/>
    <cellStyle name="Standaard 21 2 2 2 7 2" xfId="21989"/>
    <cellStyle name="Standaard 21 2 2 2 8" xfId="21990"/>
    <cellStyle name="Standaard 21 2 2 2 9" xfId="21991"/>
    <cellStyle name="Standaard 21 2 2 3" xfId="21992"/>
    <cellStyle name="Standaard 21 2 2 3 2" xfId="21993"/>
    <cellStyle name="Standaard 21 2 2 3 2 2" xfId="21994"/>
    <cellStyle name="Standaard 21 2 2 3 2 2 2" xfId="21995"/>
    <cellStyle name="Standaard 21 2 2 3 2 2 2 2" xfId="21996"/>
    <cellStyle name="Standaard 21 2 2 3 2 2 2 2 2" xfId="21997"/>
    <cellStyle name="Standaard 21 2 2 3 2 2 2 2 2 2" xfId="21998"/>
    <cellStyle name="Standaard 21 2 2 3 2 2 2 2 3" xfId="21999"/>
    <cellStyle name="Standaard 21 2 2 3 2 2 2 3" xfId="22000"/>
    <cellStyle name="Standaard 21 2 2 3 2 2 2 3 2" xfId="22001"/>
    <cellStyle name="Standaard 21 2 2 3 2 2 2 4" xfId="22002"/>
    <cellStyle name="Standaard 21 2 2 3 2 2 3" xfId="22003"/>
    <cellStyle name="Standaard 21 2 2 3 2 2 3 2" xfId="22004"/>
    <cellStyle name="Standaard 21 2 2 3 2 2 3 2 2" xfId="22005"/>
    <cellStyle name="Standaard 21 2 2 3 2 2 3 3" xfId="22006"/>
    <cellStyle name="Standaard 21 2 2 3 2 2 4" xfId="22007"/>
    <cellStyle name="Standaard 21 2 2 3 2 2 4 2" xfId="22008"/>
    <cellStyle name="Standaard 21 2 2 3 2 2 5" xfId="22009"/>
    <cellStyle name="Standaard 21 2 2 3 2 2 6" xfId="22010"/>
    <cellStyle name="Standaard 21 2 2 3 2 3" xfId="22011"/>
    <cellStyle name="Standaard 21 2 2 3 2 3 2" xfId="22012"/>
    <cellStyle name="Standaard 21 2 2 3 2 3 2 2" xfId="22013"/>
    <cellStyle name="Standaard 21 2 2 3 2 3 2 2 2" xfId="22014"/>
    <cellStyle name="Standaard 21 2 2 3 2 3 2 3" xfId="22015"/>
    <cellStyle name="Standaard 21 2 2 3 2 3 3" xfId="22016"/>
    <cellStyle name="Standaard 21 2 2 3 2 3 3 2" xfId="22017"/>
    <cellStyle name="Standaard 21 2 2 3 2 3 4" xfId="22018"/>
    <cellStyle name="Standaard 21 2 2 3 2 4" xfId="22019"/>
    <cellStyle name="Standaard 21 2 2 3 2 4 2" xfId="22020"/>
    <cellStyle name="Standaard 21 2 2 3 2 4 2 2" xfId="22021"/>
    <cellStyle name="Standaard 21 2 2 3 2 4 3" xfId="22022"/>
    <cellStyle name="Standaard 21 2 2 3 2 5" xfId="22023"/>
    <cellStyle name="Standaard 21 2 2 3 2 5 2" xfId="22024"/>
    <cellStyle name="Standaard 21 2 2 3 2 6" xfId="22025"/>
    <cellStyle name="Standaard 21 2 2 3 2 7" xfId="22026"/>
    <cellStyle name="Standaard 21 2 2 3 3" xfId="22027"/>
    <cellStyle name="Standaard 21 2 2 3 3 2" xfId="22028"/>
    <cellStyle name="Standaard 21 2 2 3 3 2 2" xfId="22029"/>
    <cellStyle name="Standaard 21 2 2 3 3 2 2 2" xfId="22030"/>
    <cellStyle name="Standaard 21 2 2 3 3 2 2 2 2" xfId="22031"/>
    <cellStyle name="Standaard 21 2 2 3 3 2 2 3" xfId="22032"/>
    <cellStyle name="Standaard 21 2 2 3 3 2 3" xfId="22033"/>
    <cellStyle name="Standaard 21 2 2 3 3 2 3 2" xfId="22034"/>
    <cellStyle name="Standaard 21 2 2 3 3 2 4" xfId="22035"/>
    <cellStyle name="Standaard 21 2 2 3 3 3" xfId="22036"/>
    <cellStyle name="Standaard 21 2 2 3 3 3 2" xfId="22037"/>
    <cellStyle name="Standaard 21 2 2 3 3 3 2 2" xfId="22038"/>
    <cellStyle name="Standaard 21 2 2 3 3 3 3" xfId="22039"/>
    <cellStyle name="Standaard 21 2 2 3 3 4" xfId="22040"/>
    <cellStyle name="Standaard 21 2 2 3 3 4 2" xfId="22041"/>
    <cellStyle name="Standaard 21 2 2 3 3 5" xfId="22042"/>
    <cellStyle name="Standaard 21 2 2 3 3 6" xfId="22043"/>
    <cellStyle name="Standaard 21 2 2 3 4" xfId="22044"/>
    <cellStyle name="Standaard 21 2 2 3 4 2" xfId="22045"/>
    <cellStyle name="Standaard 21 2 2 3 4 2 2" xfId="22046"/>
    <cellStyle name="Standaard 21 2 2 3 4 2 2 2" xfId="22047"/>
    <cellStyle name="Standaard 21 2 2 3 4 2 3" xfId="22048"/>
    <cellStyle name="Standaard 21 2 2 3 4 3" xfId="22049"/>
    <cellStyle name="Standaard 21 2 2 3 4 3 2" xfId="22050"/>
    <cellStyle name="Standaard 21 2 2 3 4 4" xfId="22051"/>
    <cellStyle name="Standaard 21 2 2 3 5" xfId="22052"/>
    <cellStyle name="Standaard 21 2 2 3 5 2" xfId="22053"/>
    <cellStyle name="Standaard 21 2 2 3 5 2 2" xfId="22054"/>
    <cellStyle name="Standaard 21 2 2 3 5 3" xfId="22055"/>
    <cellStyle name="Standaard 21 2 2 3 6" xfId="22056"/>
    <cellStyle name="Standaard 21 2 2 3 6 2" xfId="22057"/>
    <cellStyle name="Standaard 21 2 2 3 7" xfId="22058"/>
    <cellStyle name="Standaard 21 2 2 3 8" xfId="22059"/>
    <cellStyle name="Standaard 21 2 2 4" xfId="22060"/>
    <cellStyle name="Standaard 21 2 2 4 2" xfId="22061"/>
    <cellStyle name="Standaard 21 2 2 4 2 2" xfId="22062"/>
    <cellStyle name="Standaard 21 2 2 4 2 2 2" xfId="22063"/>
    <cellStyle name="Standaard 21 2 2 4 2 2 2 2" xfId="22064"/>
    <cellStyle name="Standaard 21 2 2 4 2 2 2 2 2" xfId="22065"/>
    <cellStyle name="Standaard 21 2 2 4 2 2 2 2 2 2" xfId="22066"/>
    <cellStyle name="Standaard 21 2 2 4 2 2 2 2 3" xfId="22067"/>
    <cellStyle name="Standaard 21 2 2 4 2 2 2 3" xfId="22068"/>
    <cellStyle name="Standaard 21 2 2 4 2 2 2 3 2" xfId="22069"/>
    <cellStyle name="Standaard 21 2 2 4 2 2 2 4" xfId="22070"/>
    <cellStyle name="Standaard 21 2 2 4 2 2 3" xfId="22071"/>
    <cellStyle name="Standaard 21 2 2 4 2 2 3 2" xfId="22072"/>
    <cellStyle name="Standaard 21 2 2 4 2 2 3 2 2" xfId="22073"/>
    <cellStyle name="Standaard 21 2 2 4 2 2 3 3" xfId="22074"/>
    <cellStyle name="Standaard 21 2 2 4 2 2 4" xfId="22075"/>
    <cellStyle name="Standaard 21 2 2 4 2 2 4 2" xfId="22076"/>
    <cellStyle name="Standaard 21 2 2 4 2 2 5" xfId="22077"/>
    <cellStyle name="Standaard 21 2 2 4 2 2 6" xfId="22078"/>
    <cellStyle name="Standaard 21 2 2 4 2 3" xfId="22079"/>
    <cellStyle name="Standaard 21 2 2 4 2 3 2" xfId="22080"/>
    <cellStyle name="Standaard 21 2 2 4 2 3 2 2" xfId="22081"/>
    <cellStyle name="Standaard 21 2 2 4 2 3 2 2 2" xfId="22082"/>
    <cellStyle name="Standaard 21 2 2 4 2 3 2 3" xfId="22083"/>
    <cellStyle name="Standaard 21 2 2 4 2 3 3" xfId="22084"/>
    <cellStyle name="Standaard 21 2 2 4 2 3 3 2" xfId="22085"/>
    <cellStyle name="Standaard 21 2 2 4 2 3 4" xfId="22086"/>
    <cellStyle name="Standaard 21 2 2 4 2 4" xfId="22087"/>
    <cellStyle name="Standaard 21 2 2 4 2 4 2" xfId="22088"/>
    <cellStyle name="Standaard 21 2 2 4 2 4 2 2" xfId="22089"/>
    <cellStyle name="Standaard 21 2 2 4 2 4 3" xfId="22090"/>
    <cellStyle name="Standaard 21 2 2 4 2 5" xfId="22091"/>
    <cellStyle name="Standaard 21 2 2 4 2 5 2" xfId="22092"/>
    <cellStyle name="Standaard 21 2 2 4 2 6" xfId="22093"/>
    <cellStyle name="Standaard 21 2 2 4 2 7" xfId="22094"/>
    <cellStyle name="Standaard 21 2 2 4 3" xfId="22095"/>
    <cellStyle name="Standaard 21 2 2 4 3 2" xfId="22096"/>
    <cellStyle name="Standaard 21 2 2 4 3 2 2" xfId="22097"/>
    <cellStyle name="Standaard 21 2 2 4 3 2 2 2" xfId="22098"/>
    <cellStyle name="Standaard 21 2 2 4 3 2 2 2 2" xfId="22099"/>
    <cellStyle name="Standaard 21 2 2 4 3 2 2 3" xfId="22100"/>
    <cellStyle name="Standaard 21 2 2 4 3 2 3" xfId="22101"/>
    <cellStyle name="Standaard 21 2 2 4 3 2 3 2" xfId="22102"/>
    <cellStyle name="Standaard 21 2 2 4 3 2 4" xfId="22103"/>
    <cellStyle name="Standaard 21 2 2 4 3 3" xfId="22104"/>
    <cellStyle name="Standaard 21 2 2 4 3 3 2" xfId="22105"/>
    <cellStyle name="Standaard 21 2 2 4 3 3 2 2" xfId="22106"/>
    <cellStyle name="Standaard 21 2 2 4 3 3 3" xfId="22107"/>
    <cellStyle name="Standaard 21 2 2 4 3 4" xfId="22108"/>
    <cellStyle name="Standaard 21 2 2 4 3 4 2" xfId="22109"/>
    <cellStyle name="Standaard 21 2 2 4 3 5" xfId="22110"/>
    <cellStyle name="Standaard 21 2 2 4 3 6" xfId="22111"/>
    <cellStyle name="Standaard 21 2 2 4 4" xfId="22112"/>
    <cellStyle name="Standaard 21 2 2 4 4 2" xfId="22113"/>
    <cellStyle name="Standaard 21 2 2 4 4 2 2" xfId="22114"/>
    <cellStyle name="Standaard 21 2 2 4 4 2 2 2" xfId="22115"/>
    <cellStyle name="Standaard 21 2 2 4 4 2 3" xfId="22116"/>
    <cellStyle name="Standaard 21 2 2 4 4 3" xfId="22117"/>
    <cellStyle name="Standaard 21 2 2 4 4 3 2" xfId="22118"/>
    <cellStyle name="Standaard 21 2 2 4 4 4" xfId="22119"/>
    <cellStyle name="Standaard 21 2 2 4 5" xfId="22120"/>
    <cellStyle name="Standaard 21 2 2 4 5 2" xfId="22121"/>
    <cellStyle name="Standaard 21 2 2 4 5 2 2" xfId="22122"/>
    <cellStyle name="Standaard 21 2 2 4 5 3" xfId="22123"/>
    <cellStyle name="Standaard 21 2 2 4 6" xfId="22124"/>
    <cellStyle name="Standaard 21 2 2 4 6 2" xfId="22125"/>
    <cellStyle name="Standaard 21 2 2 4 7" xfId="22126"/>
    <cellStyle name="Standaard 21 2 2 4 8" xfId="22127"/>
    <cellStyle name="Standaard 21 2 2 5" xfId="22128"/>
    <cellStyle name="Standaard 21 2 2 5 2" xfId="22129"/>
    <cellStyle name="Standaard 21 2 2 5 2 2" xfId="22130"/>
    <cellStyle name="Standaard 21 2 2 5 2 2 2" xfId="22131"/>
    <cellStyle name="Standaard 21 2 2 5 2 2 2 2" xfId="22132"/>
    <cellStyle name="Standaard 21 2 2 5 2 2 2 2 2" xfId="22133"/>
    <cellStyle name="Standaard 21 2 2 5 2 2 2 3" xfId="22134"/>
    <cellStyle name="Standaard 21 2 2 5 2 2 3" xfId="22135"/>
    <cellStyle name="Standaard 21 2 2 5 2 2 3 2" xfId="22136"/>
    <cellStyle name="Standaard 21 2 2 5 2 2 4" xfId="22137"/>
    <cellStyle name="Standaard 21 2 2 5 2 3" xfId="22138"/>
    <cellStyle name="Standaard 21 2 2 5 2 3 2" xfId="22139"/>
    <cellStyle name="Standaard 21 2 2 5 2 3 2 2" xfId="22140"/>
    <cellStyle name="Standaard 21 2 2 5 2 3 3" xfId="22141"/>
    <cellStyle name="Standaard 21 2 2 5 2 4" xfId="22142"/>
    <cellStyle name="Standaard 21 2 2 5 2 4 2" xfId="22143"/>
    <cellStyle name="Standaard 21 2 2 5 2 5" xfId="22144"/>
    <cellStyle name="Standaard 21 2 2 5 2 6" xfId="22145"/>
    <cellStyle name="Standaard 21 2 2 5 3" xfId="22146"/>
    <cellStyle name="Standaard 21 2 2 5 3 2" xfId="22147"/>
    <cellStyle name="Standaard 21 2 2 5 3 2 2" xfId="22148"/>
    <cellStyle name="Standaard 21 2 2 5 3 2 2 2" xfId="22149"/>
    <cellStyle name="Standaard 21 2 2 5 3 2 3" xfId="22150"/>
    <cellStyle name="Standaard 21 2 2 5 3 3" xfId="22151"/>
    <cellStyle name="Standaard 21 2 2 5 3 3 2" xfId="22152"/>
    <cellStyle name="Standaard 21 2 2 5 3 4" xfId="22153"/>
    <cellStyle name="Standaard 21 2 2 5 4" xfId="22154"/>
    <cellStyle name="Standaard 21 2 2 5 4 2" xfId="22155"/>
    <cellStyle name="Standaard 21 2 2 5 4 2 2" xfId="22156"/>
    <cellStyle name="Standaard 21 2 2 5 4 3" xfId="22157"/>
    <cellStyle name="Standaard 21 2 2 5 5" xfId="22158"/>
    <cellStyle name="Standaard 21 2 2 5 5 2" xfId="22159"/>
    <cellStyle name="Standaard 21 2 2 5 6" xfId="22160"/>
    <cellStyle name="Standaard 21 2 2 5 7" xfId="22161"/>
    <cellStyle name="Standaard 21 2 2 6" xfId="22162"/>
    <cellStyle name="Standaard 21 2 2 6 2" xfId="22163"/>
    <cellStyle name="Standaard 21 2 2 6 2 2" xfId="22164"/>
    <cellStyle name="Standaard 21 2 2 6 2 2 2" xfId="22165"/>
    <cellStyle name="Standaard 21 2 2 6 2 2 2 2" xfId="22166"/>
    <cellStyle name="Standaard 21 2 2 6 2 2 3" xfId="22167"/>
    <cellStyle name="Standaard 21 2 2 6 2 3" xfId="22168"/>
    <cellStyle name="Standaard 21 2 2 6 2 3 2" xfId="22169"/>
    <cellStyle name="Standaard 21 2 2 6 2 4" xfId="22170"/>
    <cellStyle name="Standaard 21 2 2 6 3" xfId="22171"/>
    <cellStyle name="Standaard 21 2 2 6 3 2" xfId="22172"/>
    <cellStyle name="Standaard 21 2 2 6 3 2 2" xfId="22173"/>
    <cellStyle name="Standaard 21 2 2 6 3 3" xfId="22174"/>
    <cellStyle name="Standaard 21 2 2 6 4" xfId="22175"/>
    <cellStyle name="Standaard 21 2 2 6 4 2" xfId="22176"/>
    <cellStyle name="Standaard 21 2 2 6 5" xfId="22177"/>
    <cellStyle name="Standaard 21 2 2 6 6" xfId="22178"/>
    <cellStyle name="Standaard 21 2 2 7" xfId="22179"/>
    <cellStyle name="Standaard 21 2 2 7 2" xfId="22180"/>
    <cellStyle name="Standaard 21 2 2 7 2 2" xfId="22181"/>
    <cellStyle name="Standaard 21 2 2 7 2 2 2" xfId="22182"/>
    <cellStyle name="Standaard 21 2 2 7 2 3" xfId="22183"/>
    <cellStyle name="Standaard 21 2 2 7 3" xfId="22184"/>
    <cellStyle name="Standaard 21 2 2 7 3 2" xfId="22185"/>
    <cellStyle name="Standaard 21 2 2 7 4" xfId="22186"/>
    <cellStyle name="Standaard 21 2 2 8" xfId="22187"/>
    <cellStyle name="Standaard 21 2 2 8 2" xfId="22188"/>
    <cellStyle name="Standaard 21 2 2 8 2 2" xfId="22189"/>
    <cellStyle name="Standaard 21 2 2 8 3" xfId="22190"/>
    <cellStyle name="Standaard 21 2 2 9" xfId="22191"/>
    <cellStyle name="Standaard 21 2 2 9 2" xfId="22192"/>
    <cellStyle name="Standaard 21 2 3" xfId="22193"/>
    <cellStyle name="Standaard 21 2 3 2" xfId="22194"/>
    <cellStyle name="Standaard 21 2 3 2 2" xfId="22195"/>
    <cellStyle name="Standaard 21 2 3 2 2 2" xfId="22196"/>
    <cellStyle name="Standaard 21 2 3 2 2 2 2" xfId="22197"/>
    <cellStyle name="Standaard 21 2 3 2 2 2 2 2" xfId="22198"/>
    <cellStyle name="Standaard 21 2 3 2 2 2 2 2 2" xfId="22199"/>
    <cellStyle name="Standaard 21 2 3 2 2 2 2 2 2 2" xfId="22200"/>
    <cellStyle name="Standaard 21 2 3 2 2 2 2 2 3" xfId="22201"/>
    <cellStyle name="Standaard 21 2 3 2 2 2 2 3" xfId="22202"/>
    <cellStyle name="Standaard 21 2 3 2 2 2 2 3 2" xfId="22203"/>
    <cellStyle name="Standaard 21 2 3 2 2 2 2 4" xfId="22204"/>
    <cellStyle name="Standaard 21 2 3 2 2 2 3" xfId="22205"/>
    <cellStyle name="Standaard 21 2 3 2 2 2 3 2" xfId="22206"/>
    <cellStyle name="Standaard 21 2 3 2 2 2 3 2 2" xfId="22207"/>
    <cellStyle name="Standaard 21 2 3 2 2 2 3 3" xfId="22208"/>
    <cellStyle name="Standaard 21 2 3 2 2 2 4" xfId="22209"/>
    <cellStyle name="Standaard 21 2 3 2 2 2 4 2" xfId="22210"/>
    <cellStyle name="Standaard 21 2 3 2 2 2 5" xfId="22211"/>
    <cellStyle name="Standaard 21 2 3 2 2 2 6" xfId="22212"/>
    <cellStyle name="Standaard 21 2 3 2 2 3" xfId="22213"/>
    <cellStyle name="Standaard 21 2 3 2 2 3 2" xfId="22214"/>
    <cellStyle name="Standaard 21 2 3 2 2 3 2 2" xfId="22215"/>
    <cellStyle name="Standaard 21 2 3 2 2 3 2 2 2" xfId="22216"/>
    <cellStyle name="Standaard 21 2 3 2 2 3 2 3" xfId="22217"/>
    <cellStyle name="Standaard 21 2 3 2 2 3 3" xfId="22218"/>
    <cellStyle name="Standaard 21 2 3 2 2 3 3 2" xfId="22219"/>
    <cellStyle name="Standaard 21 2 3 2 2 3 4" xfId="22220"/>
    <cellStyle name="Standaard 21 2 3 2 2 4" xfId="22221"/>
    <cellStyle name="Standaard 21 2 3 2 2 4 2" xfId="22222"/>
    <cellStyle name="Standaard 21 2 3 2 2 4 2 2" xfId="22223"/>
    <cellStyle name="Standaard 21 2 3 2 2 4 3" xfId="22224"/>
    <cellStyle name="Standaard 21 2 3 2 2 5" xfId="22225"/>
    <cellStyle name="Standaard 21 2 3 2 2 5 2" xfId="22226"/>
    <cellStyle name="Standaard 21 2 3 2 2 6" xfId="22227"/>
    <cellStyle name="Standaard 21 2 3 2 2 7" xfId="22228"/>
    <cellStyle name="Standaard 21 2 3 2 3" xfId="22229"/>
    <cellStyle name="Standaard 21 2 3 2 3 2" xfId="22230"/>
    <cellStyle name="Standaard 21 2 3 2 3 2 2" xfId="22231"/>
    <cellStyle name="Standaard 21 2 3 2 3 2 2 2" xfId="22232"/>
    <cellStyle name="Standaard 21 2 3 2 3 2 2 2 2" xfId="22233"/>
    <cellStyle name="Standaard 21 2 3 2 3 2 2 3" xfId="22234"/>
    <cellStyle name="Standaard 21 2 3 2 3 2 3" xfId="22235"/>
    <cellStyle name="Standaard 21 2 3 2 3 2 3 2" xfId="22236"/>
    <cellStyle name="Standaard 21 2 3 2 3 2 4" xfId="22237"/>
    <cellStyle name="Standaard 21 2 3 2 3 3" xfId="22238"/>
    <cellStyle name="Standaard 21 2 3 2 3 3 2" xfId="22239"/>
    <cellStyle name="Standaard 21 2 3 2 3 3 2 2" xfId="22240"/>
    <cellStyle name="Standaard 21 2 3 2 3 3 3" xfId="22241"/>
    <cellStyle name="Standaard 21 2 3 2 3 4" xfId="22242"/>
    <cellStyle name="Standaard 21 2 3 2 3 4 2" xfId="22243"/>
    <cellStyle name="Standaard 21 2 3 2 3 5" xfId="22244"/>
    <cellStyle name="Standaard 21 2 3 2 3 6" xfId="22245"/>
    <cellStyle name="Standaard 21 2 3 2 4" xfId="22246"/>
    <cellStyle name="Standaard 21 2 3 2 4 2" xfId="22247"/>
    <cellStyle name="Standaard 21 2 3 2 4 2 2" xfId="22248"/>
    <cellStyle name="Standaard 21 2 3 2 4 2 2 2" xfId="22249"/>
    <cellStyle name="Standaard 21 2 3 2 4 2 3" xfId="22250"/>
    <cellStyle name="Standaard 21 2 3 2 4 3" xfId="22251"/>
    <cellStyle name="Standaard 21 2 3 2 4 3 2" xfId="22252"/>
    <cellStyle name="Standaard 21 2 3 2 4 4" xfId="22253"/>
    <cellStyle name="Standaard 21 2 3 2 5" xfId="22254"/>
    <cellStyle name="Standaard 21 2 3 2 5 2" xfId="22255"/>
    <cellStyle name="Standaard 21 2 3 2 5 2 2" xfId="22256"/>
    <cellStyle name="Standaard 21 2 3 2 5 3" xfId="22257"/>
    <cellStyle name="Standaard 21 2 3 2 6" xfId="22258"/>
    <cellStyle name="Standaard 21 2 3 2 6 2" xfId="22259"/>
    <cellStyle name="Standaard 21 2 3 2 7" xfId="22260"/>
    <cellStyle name="Standaard 21 2 3 2 8" xfId="22261"/>
    <cellStyle name="Standaard 21 2 3 3" xfId="22262"/>
    <cellStyle name="Standaard 21 2 3 3 2" xfId="22263"/>
    <cellStyle name="Standaard 21 2 3 3 2 2" xfId="22264"/>
    <cellStyle name="Standaard 21 2 3 3 2 2 2" xfId="22265"/>
    <cellStyle name="Standaard 21 2 3 3 2 2 2 2" xfId="22266"/>
    <cellStyle name="Standaard 21 2 3 3 2 2 2 2 2" xfId="22267"/>
    <cellStyle name="Standaard 21 2 3 3 2 2 2 3" xfId="22268"/>
    <cellStyle name="Standaard 21 2 3 3 2 2 3" xfId="22269"/>
    <cellStyle name="Standaard 21 2 3 3 2 2 3 2" xfId="22270"/>
    <cellStyle name="Standaard 21 2 3 3 2 2 4" xfId="22271"/>
    <cellStyle name="Standaard 21 2 3 3 2 3" xfId="22272"/>
    <cellStyle name="Standaard 21 2 3 3 2 3 2" xfId="22273"/>
    <cellStyle name="Standaard 21 2 3 3 2 3 2 2" xfId="22274"/>
    <cellStyle name="Standaard 21 2 3 3 2 3 3" xfId="22275"/>
    <cellStyle name="Standaard 21 2 3 3 2 4" xfId="22276"/>
    <cellStyle name="Standaard 21 2 3 3 2 4 2" xfId="22277"/>
    <cellStyle name="Standaard 21 2 3 3 2 5" xfId="22278"/>
    <cellStyle name="Standaard 21 2 3 3 2 6" xfId="22279"/>
    <cellStyle name="Standaard 21 2 3 3 3" xfId="22280"/>
    <cellStyle name="Standaard 21 2 3 3 3 2" xfId="22281"/>
    <cellStyle name="Standaard 21 2 3 3 3 2 2" xfId="22282"/>
    <cellStyle name="Standaard 21 2 3 3 3 2 2 2" xfId="22283"/>
    <cellStyle name="Standaard 21 2 3 3 3 2 3" xfId="22284"/>
    <cellStyle name="Standaard 21 2 3 3 3 3" xfId="22285"/>
    <cellStyle name="Standaard 21 2 3 3 3 3 2" xfId="22286"/>
    <cellStyle name="Standaard 21 2 3 3 3 4" xfId="22287"/>
    <cellStyle name="Standaard 21 2 3 3 4" xfId="22288"/>
    <cellStyle name="Standaard 21 2 3 3 4 2" xfId="22289"/>
    <cellStyle name="Standaard 21 2 3 3 4 2 2" xfId="22290"/>
    <cellStyle name="Standaard 21 2 3 3 4 3" xfId="22291"/>
    <cellStyle name="Standaard 21 2 3 3 5" xfId="22292"/>
    <cellStyle name="Standaard 21 2 3 3 5 2" xfId="22293"/>
    <cellStyle name="Standaard 21 2 3 3 6" xfId="22294"/>
    <cellStyle name="Standaard 21 2 3 3 7" xfId="22295"/>
    <cellStyle name="Standaard 21 2 3 4" xfId="22296"/>
    <cellStyle name="Standaard 21 2 3 4 2" xfId="22297"/>
    <cellStyle name="Standaard 21 2 3 4 2 2" xfId="22298"/>
    <cellStyle name="Standaard 21 2 3 4 2 2 2" xfId="22299"/>
    <cellStyle name="Standaard 21 2 3 4 2 2 2 2" xfId="22300"/>
    <cellStyle name="Standaard 21 2 3 4 2 2 3" xfId="22301"/>
    <cellStyle name="Standaard 21 2 3 4 2 3" xfId="22302"/>
    <cellStyle name="Standaard 21 2 3 4 2 3 2" xfId="22303"/>
    <cellStyle name="Standaard 21 2 3 4 2 4" xfId="22304"/>
    <cellStyle name="Standaard 21 2 3 4 3" xfId="22305"/>
    <cellStyle name="Standaard 21 2 3 4 3 2" xfId="22306"/>
    <cellStyle name="Standaard 21 2 3 4 3 2 2" xfId="22307"/>
    <cellStyle name="Standaard 21 2 3 4 3 3" xfId="22308"/>
    <cellStyle name="Standaard 21 2 3 4 4" xfId="22309"/>
    <cellStyle name="Standaard 21 2 3 4 4 2" xfId="22310"/>
    <cellStyle name="Standaard 21 2 3 4 5" xfId="22311"/>
    <cellStyle name="Standaard 21 2 3 4 6" xfId="22312"/>
    <cellStyle name="Standaard 21 2 3 5" xfId="22313"/>
    <cellStyle name="Standaard 21 2 3 5 2" xfId="22314"/>
    <cellStyle name="Standaard 21 2 3 5 2 2" xfId="22315"/>
    <cellStyle name="Standaard 21 2 3 5 2 2 2" xfId="22316"/>
    <cellStyle name="Standaard 21 2 3 5 2 3" xfId="22317"/>
    <cellStyle name="Standaard 21 2 3 5 3" xfId="22318"/>
    <cellStyle name="Standaard 21 2 3 5 3 2" xfId="22319"/>
    <cellStyle name="Standaard 21 2 3 5 4" xfId="22320"/>
    <cellStyle name="Standaard 21 2 3 6" xfId="22321"/>
    <cellStyle name="Standaard 21 2 3 6 2" xfId="22322"/>
    <cellStyle name="Standaard 21 2 3 6 2 2" xfId="22323"/>
    <cellStyle name="Standaard 21 2 3 6 3" xfId="22324"/>
    <cellStyle name="Standaard 21 2 3 7" xfId="22325"/>
    <cellStyle name="Standaard 21 2 3 7 2" xfId="22326"/>
    <cellStyle name="Standaard 21 2 3 8" xfId="22327"/>
    <cellStyle name="Standaard 21 2 3 9" xfId="22328"/>
    <cellStyle name="Standaard 21 2 4" xfId="22329"/>
    <cellStyle name="Standaard 21 2 4 2" xfId="22330"/>
    <cellStyle name="Standaard 21 2 4 2 2" xfId="22331"/>
    <cellStyle name="Standaard 21 2 4 2 2 2" xfId="22332"/>
    <cellStyle name="Standaard 21 2 4 2 2 2 2" xfId="22333"/>
    <cellStyle name="Standaard 21 2 4 2 2 2 2 2" xfId="22334"/>
    <cellStyle name="Standaard 21 2 4 2 2 2 2 2 2" xfId="22335"/>
    <cellStyle name="Standaard 21 2 4 2 2 2 2 3" xfId="22336"/>
    <cellStyle name="Standaard 21 2 4 2 2 2 3" xfId="22337"/>
    <cellStyle name="Standaard 21 2 4 2 2 2 3 2" xfId="22338"/>
    <cellStyle name="Standaard 21 2 4 2 2 2 4" xfId="22339"/>
    <cellStyle name="Standaard 21 2 4 2 2 3" xfId="22340"/>
    <cellStyle name="Standaard 21 2 4 2 2 3 2" xfId="22341"/>
    <cellStyle name="Standaard 21 2 4 2 2 3 2 2" xfId="22342"/>
    <cellStyle name="Standaard 21 2 4 2 2 3 3" xfId="22343"/>
    <cellStyle name="Standaard 21 2 4 2 2 4" xfId="22344"/>
    <cellStyle name="Standaard 21 2 4 2 2 4 2" xfId="22345"/>
    <cellStyle name="Standaard 21 2 4 2 2 5" xfId="22346"/>
    <cellStyle name="Standaard 21 2 4 2 2 6" xfId="22347"/>
    <cellStyle name="Standaard 21 2 4 2 3" xfId="22348"/>
    <cellStyle name="Standaard 21 2 4 2 3 2" xfId="22349"/>
    <cellStyle name="Standaard 21 2 4 2 3 2 2" xfId="22350"/>
    <cellStyle name="Standaard 21 2 4 2 3 2 2 2" xfId="22351"/>
    <cellStyle name="Standaard 21 2 4 2 3 2 3" xfId="22352"/>
    <cellStyle name="Standaard 21 2 4 2 3 3" xfId="22353"/>
    <cellStyle name="Standaard 21 2 4 2 3 3 2" xfId="22354"/>
    <cellStyle name="Standaard 21 2 4 2 3 4" xfId="22355"/>
    <cellStyle name="Standaard 21 2 4 2 4" xfId="22356"/>
    <cellStyle name="Standaard 21 2 4 2 4 2" xfId="22357"/>
    <cellStyle name="Standaard 21 2 4 2 4 2 2" xfId="22358"/>
    <cellStyle name="Standaard 21 2 4 2 4 3" xfId="22359"/>
    <cellStyle name="Standaard 21 2 4 2 5" xfId="22360"/>
    <cellStyle name="Standaard 21 2 4 2 5 2" xfId="22361"/>
    <cellStyle name="Standaard 21 2 4 2 6" xfId="22362"/>
    <cellStyle name="Standaard 21 2 4 2 7" xfId="22363"/>
    <cellStyle name="Standaard 21 2 4 3" xfId="22364"/>
    <cellStyle name="Standaard 21 2 4 3 2" xfId="22365"/>
    <cellStyle name="Standaard 21 2 4 3 2 2" xfId="22366"/>
    <cellStyle name="Standaard 21 2 4 3 2 2 2" xfId="22367"/>
    <cellStyle name="Standaard 21 2 4 3 2 2 2 2" xfId="22368"/>
    <cellStyle name="Standaard 21 2 4 3 2 2 3" xfId="22369"/>
    <cellStyle name="Standaard 21 2 4 3 2 3" xfId="22370"/>
    <cellStyle name="Standaard 21 2 4 3 2 3 2" xfId="22371"/>
    <cellStyle name="Standaard 21 2 4 3 2 4" xfId="22372"/>
    <cellStyle name="Standaard 21 2 4 3 3" xfId="22373"/>
    <cellStyle name="Standaard 21 2 4 3 3 2" xfId="22374"/>
    <cellStyle name="Standaard 21 2 4 3 3 2 2" xfId="22375"/>
    <cellStyle name="Standaard 21 2 4 3 3 3" xfId="22376"/>
    <cellStyle name="Standaard 21 2 4 3 4" xfId="22377"/>
    <cellStyle name="Standaard 21 2 4 3 4 2" xfId="22378"/>
    <cellStyle name="Standaard 21 2 4 3 5" xfId="22379"/>
    <cellStyle name="Standaard 21 2 4 3 6" xfId="22380"/>
    <cellStyle name="Standaard 21 2 4 4" xfId="22381"/>
    <cellStyle name="Standaard 21 2 4 4 2" xfId="22382"/>
    <cellStyle name="Standaard 21 2 4 4 2 2" xfId="22383"/>
    <cellStyle name="Standaard 21 2 4 4 2 2 2" xfId="22384"/>
    <cellStyle name="Standaard 21 2 4 4 2 3" xfId="22385"/>
    <cellStyle name="Standaard 21 2 4 4 3" xfId="22386"/>
    <cellStyle name="Standaard 21 2 4 4 3 2" xfId="22387"/>
    <cellStyle name="Standaard 21 2 4 4 4" xfId="22388"/>
    <cellStyle name="Standaard 21 2 4 5" xfId="22389"/>
    <cellStyle name="Standaard 21 2 4 5 2" xfId="22390"/>
    <cellStyle name="Standaard 21 2 4 5 2 2" xfId="22391"/>
    <cellStyle name="Standaard 21 2 4 5 3" xfId="22392"/>
    <cellStyle name="Standaard 21 2 4 6" xfId="22393"/>
    <cellStyle name="Standaard 21 2 4 6 2" xfId="22394"/>
    <cellStyle name="Standaard 21 2 4 7" xfId="22395"/>
    <cellStyle name="Standaard 21 2 4 8" xfId="22396"/>
    <cellStyle name="Standaard 21 2 5" xfId="22397"/>
    <cellStyle name="Standaard 21 2 5 2" xfId="22398"/>
    <cellStyle name="Standaard 21 2 5 2 2" xfId="22399"/>
    <cellStyle name="Standaard 21 2 5 2 2 2" xfId="22400"/>
    <cellStyle name="Standaard 21 2 5 2 2 2 2" xfId="22401"/>
    <cellStyle name="Standaard 21 2 5 2 2 2 2 2" xfId="22402"/>
    <cellStyle name="Standaard 21 2 5 2 2 2 2 2 2" xfId="22403"/>
    <cellStyle name="Standaard 21 2 5 2 2 2 2 3" xfId="22404"/>
    <cellStyle name="Standaard 21 2 5 2 2 2 3" xfId="22405"/>
    <cellStyle name="Standaard 21 2 5 2 2 2 3 2" xfId="22406"/>
    <cellStyle name="Standaard 21 2 5 2 2 2 4" xfId="22407"/>
    <cellStyle name="Standaard 21 2 5 2 2 3" xfId="22408"/>
    <cellStyle name="Standaard 21 2 5 2 2 3 2" xfId="22409"/>
    <cellStyle name="Standaard 21 2 5 2 2 3 2 2" xfId="22410"/>
    <cellStyle name="Standaard 21 2 5 2 2 3 3" xfId="22411"/>
    <cellStyle name="Standaard 21 2 5 2 2 4" xfId="22412"/>
    <cellStyle name="Standaard 21 2 5 2 2 4 2" xfId="22413"/>
    <cellStyle name="Standaard 21 2 5 2 2 5" xfId="22414"/>
    <cellStyle name="Standaard 21 2 5 2 2 6" xfId="22415"/>
    <cellStyle name="Standaard 21 2 5 2 3" xfId="22416"/>
    <cellStyle name="Standaard 21 2 5 2 3 2" xfId="22417"/>
    <cellStyle name="Standaard 21 2 5 2 3 2 2" xfId="22418"/>
    <cellStyle name="Standaard 21 2 5 2 3 2 2 2" xfId="22419"/>
    <cellStyle name="Standaard 21 2 5 2 3 2 3" xfId="22420"/>
    <cellStyle name="Standaard 21 2 5 2 3 3" xfId="22421"/>
    <cellStyle name="Standaard 21 2 5 2 3 3 2" xfId="22422"/>
    <cellStyle name="Standaard 21 2 5 2 3 4" xfId="22423"/>
    <cellStyle name="Standaard 21 2 5 2 4" xfId="22424"/>
    <cellStyle name="Standaard 21 2 5 2 4 2" xfId="22425"/>
    <cellStyle name="Standaard 21 2 5 2 4 2 2" xfId="22426"/>
    <cellStyle name="Standaard 21 2 5 2 4 3" xfId="22427"/>
    <cellStyle name="Standaard 21 2 5 2 5" xfId="22428"/>
    <cellStyle name="Standaard 21 2 5 2 5 2" xfId="22429"/>
    <cellStyle name="Standaard 21 2 5 2 6" xfId="22430"/>
    <cellStyle name="Standaard 21 2 5 2 7" xfId="22431"/>
    <cellStyle name="Standaard 21 2 5 3" xfId="22432"/>
    <cellStyle name="Standaard 21 2 5 3 2" xfId="22433"/>
    <cellStyle name="Standaard 21 2 5 3 2 2" xfId="22434"/>
    <cellStyle name="Standaard 21 2 5 3 2 2 2" xfId="22435"/>
    <cellStyle name="Standaard 21 2 5 3 2 2 2 2" xfId="22436"/>
    <cellStyle name="Standaard 21 2 5 3 2 2 3" xfId="22437"/>
    <cellStyle name="Standaard 21 2 5 3 2 3" xfId="22438"/>
    <cellStyle name="Standaard 21 2 5 3 2 3 2" xfId="22439"/>
    <cellStyle name="Standaard 21 2 5 3 2 4" xfId="22440"/>
    <cellStyle name="Standaard 21 2 5 3 3" xfId="22441"/>
    <cellStyle name="Standaard 21 2 5 3 3 2" xfId="22442"/>
    <cellStyle name="Standaard 21 2 5 3 3 2 2" xfId="22443"/>
    <cellStyle name="Standaard 21 2 5 3 3 3" xfId="22444"/>
    <cellStyle name="Standaard 21 2 5 3 4" xfId="22445"/>
    <cellStyle name="Standaard 21 2 5 3 4 2" xfId="22446"/>
    <cellStyle name="Standaard 21 2 5 3 5" xfId="22447"/>
    <cellStyle name="Standaard 21 2 5 3 6" xfId="22448"/>
    <cellStyle name="Standaard 21 2 5 4" xfId="22449"/>
    <cellStyle name="Standaard 21 2 5 4 2" xfId="22450"/>
    <cellStyle name="Standaard 21 2 5 4 2 2" xfId="22451"/>
    <cellStyle name="Standaard 21 2 5 4 2 2 2" xfId="22452"/>
    <cellStyle name="Standaard 21 2 5 4 2 3" xfId="22453"/>
    <cellStyle name="Standaard 21 2 5 4 3" xfId="22454"/>
    <cellStyle name="Standaard 21 2 5 4 3 2" xfId="22455"/>
    <cellStyle name="Standaard 21 2 5 4 4" xfId="22456"/>
    <cellStyle name="Standaard 21 2 5 5" xfId="22457"/>
    <cellStyle name="Standaard 21 2 5 5 2" xfId="22458"/>
    <cellStyle name="Standaard 21 2 5 5 2 2" xfId="22459"/>
    <cellStyle name="Standaard 21 2 5 5 3" xfId="22460"/>
    <cellStyle name="Standaard 21 2 5 6" xfId="22461"/>
    <cellStyle name="Standaard 21 2 5 6 2" xfId="22462"/>
    <cellStyle name="Standaard 21 2 5 7" xfId="22463"/>
    <cellStyle name="Standaard 21 2 5 8" xfId="22464"/>
    <cellStyle name="Standaard 21 2 6" xfId="22465"/>
    <cellStyle name="Standaard 21 2 6 2" xfId="22466"/>
    <cellStyle name="Standaard 21 2 6 2 2" xfId="22467"/>
    <cellStyle name="Standaard 21 2 6 2 2 2" xfId="22468"/>
    <cellStyle name="Standaard 21 2 6 2 2 2 2" xfId="22469"/>
    <cellStyle name="Standaard 21 2 6 2 2 2 2 2" xfId="22470"/>
    <cellStyle name="Standaard 21 2 6 2 2 2 3" xfId="22471"/>
    <cellStyle name="Standaard 21 2 6 2 2 3" xfId="22472"/>
    <cellStyle name="Standaard 21 2 6 2 2 3 2" xfId="22473"/>
    <cellStyle name="Standaard 21 2 6 2 2 4" xfId="22474"/>
    <cellStyle name="Standaard 21 2 6 2 3" xfId="22475"/>
    <cellStyle name="Standaard 21 2 6 2 3 2" xfId="22476"/>
    <cellStyle name="Standaard 21 2 6 2 3 2 2" xfId="22477"/>
    <cellStyle name="Standaard 21 2 6 2 3 3" xfId="22478"/>
    <cellStyle name="Standaard 21 2 6 2 4" xfId="22479"/>
    <cellStyle name="Standaard 21 2 6 2 4 2" xfId="22480"/>
    <cellStyle name="Standaard 21 2 6 2 5" xfId="22481"/>
    <cellStyle name="Standaard 21 2 6 2 6" xfId="22482"/>
    <cellStyle name="Standaard 21 2 6 3" xfId="22483"/>
    <cellStyle name="Standaard 21 2 6 3 2" xfId="22484"/>
    <cellStyle name="Standaard 21 2 6 3 2 2" xfId="22485"/>
    <cellStyle name="Standaard 21 2 6 3 2 2 2" xfId="22486"/>
    <cellStyle name="Standaard 21 2 6 3 2 3" xfId="22487"/>
    <cellStyle name="Standaard 21 2 6 3 3" xfId="22488"/>
    <cellStyle name="Standaard 21 2 6 3 3 2" xfId="22489"/>
    <cellStyle name="Standaard 21 2 6 3 4" xfId="22490"/>
    <cellStyle name="Standaard 21 2 6 4" xfId="22491"/>
    <cellStyle name="Standaard 21 2 6 4 2" xfId="22492"/>
    <cellStyle name="Standaard 21 2 6 4 2 2" xfId="22493"/>
    <cellStyle name="Standaard 21 2 6 4 3" xfId="22494"/>
    <cellStyle name="Standaard 21 2 6 5" xfId="22495"/>
    <cellStyle name="Standaard 21 2 6 5 2" xfId="22496"/>
    <cellStyle name="Standaard 21 2 6 6" xfId="22497"/>
    <cellStyle name="Standaard 21 2 6 7" xfId="22498"/>
    <cellStyle name="Standaard 21 2 7" xfId="22499"/>
    <cellStyle name="Standaard 21 2 7 2" xfId="22500"/>
    <cellStyle name="Standaard 21 2 7 2 2" xfId="22501"/>
    <cellStyle name="Standaard 21 2 7 2 2 2" xfId="22502"/>
    <cellStyle name="Standaard 21 2 7 2 2 2 2" xfId="22503"/>
    <cellStyle name="Standaard 21 2 7 2 2 3" xfId="22504"/>
    <cellStyle name="Standaard 21 2 7 2 3" xfId="22505"/>
    <cellStyle name="Standaard 21 2 7 2 3 2" xfId="22506"/>
    <cellStyle name="Standaard 21 2 7 2 4" xfId="22507"/>
    <cellStyle name="Standaard 21 2 7 3" xfId="22508"/>
    <cellStyle name="Standaard 21 2 7 3 2" xfId="22509"/>
    <cellStyle name="Standaard 21 2 7 3 2 2" xfId="22510"/>
    <cellStyle name="Standaard 21 2 7 3 3" xfId="22511"/>
    <cellStyle name="Standaard 21 2 7 4" xfId="22512"/>
    <cellStyle name="Standaard 21 2 7 4 2" xfId="22513"/>
    <cellStyle name="Standaard 21 2 7 5" xfId="22514"/>
    <cellStyle name="Standaard 21 2 7 6" xfId="22515"/>
    <cellStyle name="Standaard 21 2 8" xfId="22516"/>
    <cellStyle name="Standaard 21 2 8 2" xfId="22517"/>
    <cellStyle name="Standaard 21 2 8 2 2" xfId="22518"/>
    <cellStyle name="Standaard 21 2 8 2 2 2" xfId="22519"/>
    <cellStyle name="Standaard 21 2 8 2 3" xfId="22520"/>
    <cellStyle name="Standaard 21 2 8 3" xfId="22521"/>
    <cellStyle name="Standaard 21 2 8 3 2" xfId="22522"/>
    <cellStyle name="Standaard 21 2 8 4" xfId="22523"/>
    <cellStyle name="Standaard 21 2 9" xfId="22524"/>
    <cellStyle name="Standaard 21 2 9 2" xfId="22525"/>
    <cellStyle name="Standaard 21 2 9 2 2" xfId="22526"/>
    <cellStyle name="Standaard 21 2 9 3" xfId="22527"/>
    <cellStyle name="Standaard 21 3" xfId="22528"/>
    <cellStyle name="Standaard 21 3 10" xfId="22529"/>
    <cellStyle name="Standaard 21 3 11" xfId="22530"/>
    <cellStyle name="Standaard 21 3 2" xfId="22531"/>
    <cellStyle name="Standaard 21 3 2 2" xfId="22532"/>
    <cellStyle name="Standaard 21 3 2 2 2" xfId="22533"/>
    <cellStyle name="Standaard 21 3 2 2 2 2" xfId="22534"/>
    <cellStyle name="Standaard 21 3 2 2 2 2 2" xfId="22535"/>
    <cellStyle name="Standaard 21 3 2 2 2 2 2 2" xfId="22536"/>
    <cellStyle name="Standaard 21 3 2 2 2 2 2 2 2" xfId="22537"/>
    <cellStyle name="Standaard 21 3 2 2 2 2 2 2 2 2" xfId="22538"/>
    <cellStyle name="Standaard 21 3 2 2 2 2 2 2 3" xfId="22539"/>
    <cellStyle name="Standaard 21 3 2 2 2 2 2 3" xfId="22540"/>
    <cellStyle name="Standaard 21 3 2 2 2 2 2 3 2" xfId="22541"/>
    <cellStyle name="Standaard 21 3 2 2 2 2 2 4" xfId="22542"/>
    <cellStyle name="Standaard 21 3 2 2 2 2 3" xfId="22543"/>
    <cellStyle name="Standaard 21 3 2 2 2 2 3 2" xfId="22544"/>
    <cellStyle name="Standaard 21 3 2 2 2 2 3 2 2" xfId="22545"/>
    <cellStyle name="Standaard 21 3 2 2 2 2 3 3" xfId="22546"/>
    <cellStyle name="Standaard 21 3 2 2 2 2 4" xfId="22547"/>
    <cellStyle name="Standaard 21 3 2 2 2 2 4 2" xfId="22548"/>
    <cellStyle name="Standaard 21 3 2 2 2 2 5" xfId="22549"/>
    <cellStyle name="Standaard 21 3 2 2 2 2 6" xfId="22550"/>
    <cellStyle name="Standaard 21 3 2 2 2 3" xfId="22551"/>
    <cellStyle name="Standaard 21 3 2 2 2 3 2" xfId="22552"/>
    <cellStyle name="Standaard 21 3 2 2 2 3 2 2" xfId="22553"/>
    <cellStyle name="Standaard 21 3 2 2 2 3 2 2 2" xfId="22554"/>
    <cellStyle name="Standaard 21 3 2 2 2 3 2 3" xfId="22555"/>
    <cellStyle name="Standaard 21 3 2 2 2 3 3" xfId="22556"/>
    <cellStyle name="Standaard 21 3 2 2 2 3 3 2" xfId="22557"/>
    <cellStyle name="Standaard 21 3 2 2 2 3 4" xfId="22558"/>
    <cellStyle name="Standaard 21 3 2 2 2 4" xfId="22559"/>
    <cellStyle name="Standaard 21 3 2 2 2 4 2" xfId="22560"/>
    <cellStyle name="Standaard 21 3 2 2 2 4 2 2" xfId="22561"/>
    <cellStyle name="Standaard 21 3 2 2 2 4 3" xfId="22562"/>
    <cellStyle name="Standaard 21 3 2 2 2 5" xfId="22563"/>
    <cellStyle name="Standaard 21 3 2 2 2 5 2" xfId="22564"/>
    <cellStyle name="Standaard 21 3 2 2 2 6" xfId="22565"/>
    <cellStyle name="Standaard 21 3 2 2 2 7" xfId="22566"/>
    <cellStyle name="Standaard 21 3 2 2 3" xfId="22567"/>
    <cellStyle name="Standaard 21 3 2 2 3 2" xfId="22568"/>
    <cellStyle name="Standaard 21 3 2 2 3 2 2" xfId="22569"/>
    <cellStyle name="Standaard 21 3 2 2 3 2 2 2" xfId="22570"/>
    <cellStyle name="Standaard 21 3 2 2 3 2 2 2 2" xfId="22571"/>
    <cellStyle name="Standaard 21 3 2 2 3 2 2 3" xfId="22572"/>
    <cellStyle name="Standaard 21 3 2 2 3 2 3" xfId="22573"/>
    <cellStyle name="Standaard 21 3 2 2 3 2 3 2" xfId="22574"/>
    <cellStyle name="Standaard 21 3 2 2 3 2 4" xfId="22575"/>
    <cellStyle name="Standaard 21 3 2 2 3 3" xfId="22576"/>
    <cellStyle name="Standaard 21 3 2 2 3 3 2" xfId="22577"/>
    <cellStyle name="Standaard 21 3 2 2 3 3 2 2" xfId="22578"/>
    <cellStyle name="Standaard 21 3 2 2 3 3 3" xfId="22579"/>
    <cellStyle name="Standaard 21 3 2 2 3 4" xfId="22580"/>
    <cellStyle name="Standaard 21 3 2 2 3 4 2" xfId="22581"/>
    <cellStyle name="Standaard 21 3 2 2 3 5" xfId="22582"/>
    <cellStyle name="Standaard 21 3 2 2 3 6" xfId="22583"/>
    <cellStyle name="Standaard 21 3 2 2 4" xfId="22584"/>
    <cellStyle name="Standaard 21 3 2 2 4 2" xfId="22585"/>
    <cellStyle name="Standaard 21 3 2 2 4 2 2" xfId="22586"/>
    <cellStyle name="Standaard 21 3 2 2 4 2 2 2" xfId="22587"/>
    <cellStyle name="Standaard 21 3 2 2 4 2 3" xfId="22588"/>
    <cellStyle name="Standaard 21 3 2 2 4 3" xfId="22589"/>
    <cellStyle name="Standaard 21 3 2 2 4 3 2" xfId="22590"/>
    <cellStyle name="Standaard 21 3 2 2 4 4" xfId="22591"/>
    <cellStyle name="Standaard 21 3 2 2 5" xfId="22592"/>
    <cellStyle name="Standaard 21 3 2 2 5 2" xfId="22593"/>
    <cellStyle name="Standaard 21 3 2 2 5 2 2" xfId="22594"/>
    <cellStyle name="Standaard 21 3 2 2 5 3" xfId="22595"/>
    <cellStyle name="Standaard 21 3 2 2 6" xfId="22596"/>
    <cellStyle name="Standaard 21 3 2 2 6 2" xfId="22597"/>
    <cellStyle name="Standaard 21 3 2 2 7" xfId="22598"/>
    <cellStyle name="Standaard 21 3 2 2 8" xfId="22599"/>
    <cellStyle name="Standaard 21 3 2 3" xfId="22600"/>
    <cellStyle name="Standaard 21 3 2 3 2" xfId="22601"/>
    <cellStyle name="Standaard 21 3 2 3 2 2" xfId="22602"/>
    <cellStyle name="Standaard 21 3 2 3 2 2 2" xfId="22603"/>
    <cellStyle name="Standaard 21 3 2 3 2 2 2 2" xfId="22604"/>
    <cellStyle name="Standaard 21 3 2 3 2 2 2 2 2" xfId="22605"/>
    <cellStyle name="Standaard 21 3 2 3 2 2 2 3" xfId="22606"/>
    <cellStyle name="Standaard 21 3 2 3 2 2 3" xfId="22607"/>
    <cellStyle name="Standaard 21 3 2 3 2 2 3 2" xfId="22608"/>
    <cellStyle name="Standaard 21 3 2 3 2 2 4" xfId="22609"/>
    <cellStyle name="Standaard 21 3 2 3 2 3" xfId="22610"/>
    <cellStyle name="Standaard 21 3 2 3 2 3 2" xfId="22611"/>
    <cellStyle name="Standaard 21 3 2 3 2 3 2 2" xfId="22612"/>
    <cellStyle name="Standaard 21 3 2 3 2 3 3" xfId="22613"/>
    <cellStyle name="Standaard 21 3 2 3 2 4" xfId="22614"/>
    <cellStyle name="Standaard 21 3 2 3 2 4 2" xfId="22615"/>
    <cellStyle name="Standaard 21 3 2 3 2 5" xfId="22616"/>
    <cellStyle name="Standaard 21 3 2 3 2 6" xfId="22617"/>
    <cellStyle name="Standaard 21 3 2 3 3" xfId="22618"/>
    <cellStyle name="Standaard 21 3 2 3 3 2" xfId="22619"/>
    <cellStyle name="Standaard 21 3 2 3 3 2 2" xfId="22620"/>
    <cellStyle name="Standaard 21 3 2 3 3 2 2 2" xfId="22621"/>
    <cellStyle name="Standaard 21 3 2 3 3 2 3" xfId="22622"/>
    <cellStyle name="Standaard 21 3 2 3 3 3" xfId="22623"/>
    <cellStyle name="Standaard 21 3 2 3 3 3 2" xfId="22624"/>
    <cellStyle name="Standaard 21 3 2 3 3 4" xfId="22625"/>
    <cellStyle name="Standaard 21 3 2 3 4" xfId="22626"/>
    <cellStyle name="Standaard 21 3 2 3 4 2" xfId="22627"/>
    <cellStyle name="Standaard 21 3 2 3 4 2 2" xfId="22628"/>
    <cellStyle name="Standaard 21 3 2 3 4 3" xfId="22629"/>
    <cellStyle name="Standaard 21 3 2 3 5" xfId="22630"/>
    <cellStyle name="Standaard 21 3 2 3 5 2" xfId="22631"/>
    <cellStyle name="Standaard 21 3 2 3 6" xfId="22632"/>
    <cellStyle name="Standaard 21 3 2 3 7" xfId="22633"/>
    <cellStyle name="Standaard 21 3 2 4" xfId="22634"/>
    <cellStyle name="Standaard 21 3 2 4 2" xfId="22635"/>
    <cellStyle name="Standaard 21 3 2 4 2 2" xfId="22636"/>
    <cellStyle name="Standaard 21 3 2 4 2 2 2" xfId="22637"/>
    <cellStyle name="Standaard 21 3 2 4 2 2 2 2" xfId="22638"/>
    <cellStyle name="Standaard 21 3 2 4 2 2 3" xfId="22639"/>
    <cellStyle name="Standaard 21 3 2 4 2 3" xfId="22640"/>
    <cellStyle name="Standaard 21 3 2 4 2 3 2" xfId="22641"/>
    <cellStyle name="Standaard 21 3 2 4 2 4" xfId="22642"/>
    <cellStyle name="Standaard 21 3 2 4 3" xfId="22643"/>
    <cellStyle name="Standaard 21 3 2 4 3 2" xfId="22644"/>
    <cellStyle name="Standaard 21 3 2 4 3 2 2" xfId="22645"/>
    <cellStyle name="Standaard 21 3 2 4 3 3" xfId="22646"/>
    <cellStyle name="Standaard 21 3 2 4 4" xfId="22647"/>
    <cellStyle name="Standaard 21 3 2 4 4 2" xfId="22648"/>
    <cellStyle name="Standaard 21 3 2 4 5" xfId="22649"/>
    <cellStyle name="Standaard 21 3 2 4 6" xfId="22650"/>
    <cellStyle name="Standaard 21 3 2 5" xfId="22651"/>
    <cellStyle name="Standaard 21 3 2 5 2" xfId="22652"/>
    <cellStyle name="Standaard 21 3 2 5 2 2" xfId="22653"/>
    <cellStyle name="Standaard 21 3 2 5 2 2 2" xfId="22654"/>
    <cellStyle name="Standaard 21 3 2 5 2 3" xfId="22655"/>
    <cellStyle name="Standaard 21 3 2 5 3" xfId="22656"/>
    <cellStyle name="Standaard 21 3 2 5 3 2" xfId="22657"/>
    <cellStyle name="Standaard 21 3 2 5 4" xfId="22658"/>
    <cellStyle name="Standaard 21 3 2 6" xfId="22659"/>
    <cellStyle name="Standaard 21 3 2 6 2" xfId="22660"/>
    <cellStyle name="Standaard 21 3 2 6 2 2" xfId="22661"/>
    <cellStyle name="Standaard 21 3 2 6 3" xfId="22662"/>
    <cellStyle name="Standaard 21 3 2 7" xfId="22663"/>
    <cellStyle name="Standaard 21 3 2 7 2" xfId="22664"/>
    <cellStyle name="Standaard 21 3 2 8" xfId="22665"/>
    <cellStyle name="Standaard 21 3 2 9" xfId="22666"/>
    <cellStyle name="Standaard 21 3 3" xfId="22667"/>
    <cellStyle name="Standaard 21 3 3 2" xfId="22668"/>
    <cellStyle name="Standaard 21 3 3 2 2" xfId="22669"/>
    <cellStyle name="Standaard 21 3 3 2 2 2" xfId="22670"/>
    <cellStyle name="Standaard 21 3 3 2 2 2 2" xfId="22671"/>
    <cellStyle name="Standaard 21 3 3 2 2 2 2 2" xfId="22672"/>
    <cellStyle name="Standaard 21 3 3 2 2 2 2 2 2" xfId="22673"/>
    <cellStyle name="Standaard 21 3 3 2 2 2 2 3" xfId="22674"/>
    <cellStyle name="Standaard 21 3 3 2 2 2 3" xfId="22675"/>
    <cellStyle name="Standaard 21 3 3 2 2 2 3 2" xfId="22676"/>
    <cellStyle name="Standaard 21 3 3 2 2 2 4" xfId="22677"/>
    <cellStyle name="Standaard 21 3 3 2 2 3" xfId="22678"/>
    <cellStyle name="Standaard 21 3 3 2 2 3 2" xfId="22679"/>
    <cellStyle name="Standaard 21 3 3 2 2 3 2 2" xfId="22680"/>
    <cellStyle name="Standaard 21 3 3 2 2 3 3" xfId="22681"/>
    <cellStyle name="Standaard 21 3 3 2 2 4" xfId="22682"/>
    <cellStyle name="Standaard 21 3 3 2 2 4 2" xfId="22683"/>
    <cellStyle name="Standaard 21 3 3 2 2 5" xfId="22684"/>
    <cellStyle name="Standaard 21 3 3 2 2 6" xfId="22685"/>
    <cellStyle name="Standaard 21 3 3 2 3" xfId="22686"/>
    <cellStyle name="Standaard 21 3 3 2 3 2" xfId="22687"/>
    <cellStyle name="Standaard 21 3 3 2 3 2 2" xfId="22688"/>
    <cellStyle name="Standaard 21 3 3 2 3 2 2 2" xfId="22689"/>
    <cellStyle name="Standaard 21 3 3 2 3 2 3" xfId="22690"/>
    <cellStyle name="Standaard 21 3 3 2 3 3" xfId="22691"/>
    <cellStyle name="Standaard 21 3 3 2 3 3 2" xfId="22692"/>
    <cellStyle name="Standaard 21 3 3 2 3 4" xfId="22693"/>
    <cellStyle name="Standaard 21 3 3 2 4" xfId="22694"/>
    <cellStyle name="Standaard 21 3 3 2 4 2" xfId="22695"/>
    <cellStyle name="Standaard 21 3 3 2 4 2 2" xfId="22696"/>
    <cellStyle name="Standaard 21 3 3 2 4 3" xfId="22697"/>
    <cellStyle name="Standaard 21 3 3 2 5" xfId="22698"/>
    <cellStyle name="Standaard 21 3 3 2 5 2" xfId="22699"/>
    <cellStyle name="Standaard 21 3 3 2 6" xfId="22700"/>
    <cellStyle name="Standaard 21 3 3 2 7" xfId="22701"/>
    <cellStyle name="Standaard 21 3 3 3" xfId="22702"/>
    <cellStyle name="Standaard 21 3 3 3 2" xfId="22703"/>
    <cellStyle name="Standaard 21 3 3 3 2 2" xfId="22704"/>
    <cellStyle name="Standaard 21 3 3 3 2 2 2" xfId="22705"/>
    <cellStyle name="Standaard 21 3 3 3 2 2 2 2" xfId="22706"/>
    <cellStyle name="Standaard 21 3 3 3 2 2 3" xfId="22707"/>
    <cellStyle name="Standaard 21 3 3 3 2 3" xfId="22708"/>
    <cellStyle name="Standaard 21 3 3 3 2 3 2" xfId="22709"/>
    <cellStyle name="Standaard 21 3 3 3 2 4" xfId="22710"/>
    <cellStyle name="Standaard 21 3 3 3 3" xfId="22711"/>
    <cellStyle name="Standaard 21 3 3 3 3 2" xfId="22712"/>
    <cellStyle name="Standaard 21 3 3 3 3 2 2" xfId="22713"/>
    <cellStyle name="Standaard 21 3 3 3 3 3" xfId="22714"/>
    <cellStyle name="Standaard 21 3 3 3 4" xfId="22715"/>
    <cellStyle name="Standaard 21 3 3 3 4 2" xfId="22716"/>
    <cellStyle name="Standaard 21 3 3 3 5" xfId="22717"/>
    <cellStyle name="Standaard 21 3 3 3 6" xfId="22718"/>
    <cellStyle name="Standaard 21 3 3 4" xfId="22719"/>
    <cellStyle name="Standaard 21 3 3 4 2" xfId="22720"/>
    <cellStyle name="Standaard 21 3 3 4 2 2" xfId="22721"/>
    <cellStyle name="Standaard 21 3 3 4 2 2 2" xfId="22722"/>
    <cellStyle name="Standaard 21 3 3 4 2 3" xfId="22723"/>
    <cellStyle name="Standaard 21 3 3 4 3" xfId="22724"/>
    <cellStyle name="Standaard 21 3 3 4 3 2" xfId="22725"/>
    <cellStyle name="Standaard 21 3 3 4 4" xfId="22726"/>
    <cellStyle name="Standaard 21 3 3 5" xfId="22727"/>
    <cellStyle name="Standaard 21 3 3 5 2" xfId="22728"/>
    <cellStyle name="Standaard 21 3 3 5 2 2" xfId="22729"/>
    <cellStyle name="Standaard 21 3 3 5 3" xfId="22730"/>
    <cellStyle name="Standaard 21 3 3 6" xfId="22731"/>
    <cellStyle name="Standaard 21 3 3 6 2" xfId="22732"/>
    <cellStyle name="Standaard 21 3 3 7" xfId="22733"/>
    <cellStyle name="Standaard 21 3 3 8" xfId="22734"/>
    <cellStyle name="Standaard 21 3 4" xfId="22735"/>
    <cellStyle name="Standaard 21 3 4 2" xfId="22736"/>
    <cellStyle name="Standaard 21 3 4 2 2" xfId="22737"/>
    <cellStyle name="Standaard 21 3 4 2 2 2" xfId="22738"/>
    <cellStyle name="Standaard 21 3 4 2 2 2 2" xfId="22739"/>
    <cellStyle name="Standaard 21 3 4 2 2 2 2 2" xfId="22740"/>
    <cellStyle name="Standaard 21 3 4 2 2 2 2 2 2" xfId="22741"/>
    <cellStyle name="Standaard 21 3 4 2 2 2 2 3" xfId="22742"/>
    <cellStyle name="Standaard 21 3 4 2 2 2 3" xfId="22743"/>
    <cellStyle name="Standaard 21 3 4 2 2 2 3 2" xfId="22744"/>
    <cellStyle name="Standaard 21 3 4 2 2 2 4" xfId="22745"/>
    <cellStyle name="Standaard 21 3 4 2 2 3" xfId="22746"/>
    <cellStyle name="Standaard 21 3 4 2 2 3 2" xfId="22747"/>
    <cellStyle name="Standaard 21 3 4 2 2 3 2 2" xfId="22748"/>
    <cellStyle name="Standaard 21 3 4 2 2 3 3" xfId="22749"/>
    <cellStyle name="Standaard 21 3 4 2 2 4" xfId="22750"/>
    <cellStyle name="Standaard 21 3 4 2 2 4 2" xfId="22751"/>
    <cellStyle name="Standaard 21 3 4 2 2 5" xfId="22752"/>
    <cellStyle name="Standaard 21 3 4 2 2 6" xfId="22753"/>
    <cellStyle name="Standaard 21 3 4 2 3" xfId="22754"/>
    <cellStyle name="Standaard 21 3 4 2 3 2" xfId="22755"/>
    <cellStyle name="Standaard 21 3 4 2 3 2 2" xfId="22756"/>
    <cellStyle name="Standaard 21 3 4 2 3 2 2 2" xfId="22757"/>
    <cellStyle name="Standaard 21 3 4 2 3 2 3" xfId="22758"/>
    <cellStyle name="Standaard 21 3 4 2 3 3" xfId="22759"/>
    <cellStyle name="Standaard 21 3 4 2 3 3 2" xfId="22760"/>
    <cellStyle name="Standaard 21 3 4 2 3 4" xfId="22761"/>
    <cellStyle name="Standaard 21 3 4 2 4" xfId="22762"/>
    <cellStyle name="Standaard 21 3 4 2 4 2" xfId="22763"/>
    <cellStyle name="Standaard 21 3 4 2 4 2 2" xfId="22764"/>
    <cellStyle name="Standaard 21 3 4 2 4 3" xfId="22765"/>
    <cellStyle name="Standaard 21 3 4 2 5" xfId="22766"/>
    <cellStyle name="Standaard 21 3 4 2 5 2" xfId="22767"/>
    <cellStyle name="Standaard 21 3 4 2 6" xfId="22768"/>
    <cellStyle name="Standaard 21 3 4 2 7" xfId="22769"/>
    <cellStyle name="Standaard 21 3 4 3" xfId="22770"/>
    <cellStyle name="Standaard 21 3 4 3 2" xfId="22771"/>
    <cellStyle name="Standaard 21 3 4 3 2 2" xfId="22772"/>
    <cellStyle name="Standaard 21 3 4 3 2 2 2" xfId="22773"/>
    <cellStyle name="Standaard 21 3 4 3 2 2 2 2" xfId="22774"/>
    <cellStyle name="Standaard 21 3 4 3 2 2 3" xfId="22775"/>
    <cellStyle name="Standaard 21 3 4 3 2 3" xfId="22776"/>
    <cellStyle name="Standaard 21 3 4 3 2 3 2" xfId="22777"/>
    <cellStyle name="Standaard 21 3 4 3 2 4" xfId="22778"/>
    <cellStyle name="Standaard 21 3 4 3 3" xfId="22779"/>
    <cellStyle name="Standaard 21 3 4 3 3 2" xfId="22780"/>
    <cellStyle name="Standaard 21 3 4 3 3 2 2" xfId="22781"/>
    <cellStyle name="Standaard 21 3 4 3 3 3" xfId="22782"/>
    <cellStyle name="Standaard 21 3 4 3 4" xfId="22783"/>
    <cellStyle name="Standaard 21 3 4 3 4 2" xfId="22784"/>
    <cellStyle name="Standaard 21 3 4 3 5" xfId="22785"/>
    <cellStyle name="Standaard 21 3 4 3 6" xfId="22786"/>
    <cellStyle name="Standaard 21 3 4 4" xfId="22787"/>
    <cellStyle name="Standaard 21 3 4 4 2" xfId="22788"/>
    <cellStyle name="Standaard 21 3 4 4 2 2" xfId="22789"/>
    <cellStyle name="Standaard 21 3 4 4 2 2 2" xfId="22790"/>
    <cellStyle name="Standaard 21 3 4 4 2 3" xfId="22791"/>
    <cellStyle name="Standaard 21 3 4 4 3" xfId="22792"/>
    <cellStyle name="Standaard 21 3 4 4 3 2" xfId="22793"/>
    <cellStyle name="Standaard 21 3 4 4 4" xfId="22794"/>
    <cellStyle name="Standaard 21 3 4 5" xfId="22795"/>
    <cellStyle name="Standaard 21 3 4 5 2" xfId="22796"/>
    <cellStyle name="Standaard 21 3 4 5 2 2" xfId="22797"/>
    <cellStyle name="Standaard 21 3 4 5 3" xfId="22798"/>
    <cellStyle name="Standaard 21 3 4 6" xfId="22799"/>
    <cellStyle name="Standaard 21 3 4 6 2" xfId="22800"/>
    <cellStyle name="Standaard 21 3 4 7" xfId="22801"/>
    <cellStyle name="Standaard 21 3 4 8" xfId="22802"/>
    <cellStyle name="Standaard 21 3 5" xfId="22803"/>
    <cellStyle name="Standaard 21 3 5 2" xfId="22804"/>
    <cellStyle name="Standaard 21 3 5 2 2" xfId="22805"/>
    <cellStyle name="Standaard 21 3 5 2 2 2" xfId="22806"/>
    <cellStyle name="Standaard 21 3 5 2 2 2 2" xfId="22807"/>
    <cellStyle name="Standaard 21 3 5 2 2 2 2 2" xfId="22808"/>
    <cellStyle name="Standaard 21 3 5 2 2 2 3" xfId="22809"/>
    <cellStyle name="Standaard 21 3 5 2 2 3" xfId="22810"/>
    <cellStyle name="Standaard 21 3 5 2 2 3 2" xfId="22811"/>
    <cellStyle name="Standaard 21 3 5 2 2 4" xfId="22812"/>
    <cellStyle name="Standaard 21 3 5 2 3" xfId="22813"/>
    <cellStyle name="Standaard 21 3 5 2 3 2" xfId="22814"/>
    <cellStyle name="Standaard 21 3 5 2 3 2 2" xfId="22815"/>
    <cellStyle name="Standaard 21 3 5 2 3 3" xfId="22816"/>
    <cellStyle name="Standaard 21 3 5 2 4" xfId="22817"/>
    <cellStyle name="Standaard 21 3 5 2 4 2" xfId="22818"/>
    <cellStyle name="Standaard 21 3 5 2 5" xfId="22819"/>
    <cellStyle name="Standaard 21 3 5 2 6" xfId="22820"/>
    <cellStyle name="Standaard 21 3 5 3" xfId="22821"/>
    <cellStyle name="Standaard 21 3 5 3 2" xfId="22822"/>
    <cellStyle name="Standaard 21 3 5 3 2 2" xfId="22823"/>
    <cellStyle name="Standaard 21 3 5 3 2 2 2" xfId="22824"/>
    <cellStyle name="Standaard 21 3 5 3 2 3" xfId="22825"/>
    <cellStyle name="Standaard 21 3 5 3 3" xfId="22826"/>
    <cellStyle name="Standaard 21 3 5 3 3 2" xfId="22827"/>
    <cellStyle name="Standaard 21 3 5 3 4" xfId="22828"/>
    <cellStyle name="Standaard 21 3 5 4" xfId="22829"/>
    <cellStyle name="Standaard 21 3 5 4 2" xfId="22830"/>
    <cellStyle name="Standaard 21 3 5 4 2 2" xfId="22831"/>
    <cellStyle name="Standaard 21 3 5 4 3" xfId="22832"/>
    <cellStyle name="Standaard 21 3 5 5" xfId="22833"/>
    <cellStyle name="Standaard 21 3 5 5 2" xfId="22834"/>
    <cellStyle name="Standaard 21 3 5 6" xfId="22835"/>
    <cellStyle name="Standaard 21 3 5 7" xfId="22836"/>
    <cellStyle name="Standaard 21 3 6" xfId="22837"/>
    <cellStyle name="Standaard 21 3 6 2" xfId="22838"/>
    <cellStyle name="Standaard 21 3 6 2 2" xfId="22839"/>
    <cellStyle name="Standaard 21 3 6 2 2 2" xfId="22840"/>
    <cellStyle name="Standaard 21 3 6 2 2 2 2" xfId="22841"/>
    <cellStyle name="Standaard 21 3 6 2 2 3" xfId="22842"/>
    <cellStyle name="Standaard 21 3 6 2 3" xfId="22843"/>
    <cellStyle name="Standaard 21 3 6 2 3 2" xfId="22844"/>
    <cellStyle name="Standaard 21 3 6 2 4" xfId="22845"/>
    <cellStyle name="Standaard 21 3 6 3" xfId="22846"/>
    <cellStyle name="Standaard 21 3 6 3 2" xfId="22847"/>
    <cellStyle name="Standaard 21 3 6 3 2 2" xfId="22848"/>
    <cellStyle name="Standaard 21 3 6 3 3" xfId="22849"/>
    <cellStyle name="Standaard 21 3 6 4" xfId="22850"/>
    <cellStyle name="Standaard 21 3 6 4 2" xfId="22851"/>
    <cellStyle name="Standaard 21 3 6 5" xfId="22852"/>
    <cellStyle name="Standaard 21 3 6 6" xfId="22853"/>
    <cellStyle name="Standaard 21 3 7" xfId="22854"/>
    <cellStyle name="Standaard 21 3 7 2" xfId="22855"/>
    <cellStyle name="Standaard 21 3 7 2 2" xfId="22856"/>
    <cellStyle name="Standaard 21 3 7 2 2 2" xfId="22857"/>
    <cellStyle name="Standaard 21 3 7 2 3" xfId="22858"/>
    <cellStyle name="Standaard 21 3 7 3" xfId="22859"/>
    <cellStyle name="Standaard 21 3 7 3 2" xfId="22860"/>
    <cellStyle name="Standaard 21 3 7 4" xfId="22861"/>
    <cellStyle name="Standaard 21 3 8" xfId="22862"/>
    <cellStyle name="Standaard 21 3 8 2" xfId="22863"/>
    <cellStyle name="Standaard 21 3 8 2 2" xfId="22864"/>
    <cellStyle name="Standaard 21 3 8 3" xfId="22865"/>
    <cellStyle name="Standaard 21 3 9" xfId="22866"/>
    <cellStyle name="Standaard 21 3 9 2" xfId="22867"/>
    <cellStyle name="Standaard 21 4" xfId="22868"/>
    <cellStyle name="Standaard 21 4 2" xfId="22869"/>
    <cellStyle name="Standaard 21 4 2 2" xfId="22870"/>
    <cellStyle name="Standaard 21 4 2 2 2" xfId="22871"/>
    <cellStyle name="Standaard 21 4 2 2 2 2" xfId="22872"/>
    <cellStyle name="Standaard 21 4 2 2 2 2 2" xfId="22873"/>
    <cellStyle name="Standaard 21 4 2 2 2 2 2 2" xfId="22874"/>
    <cellStyle name="Standaard 21 4 2 2 2 2 2 2 2" xfId="22875"/>
    <cellStyle name="Standaard 21 4 2 2 2 2 2 3" xfId="22876"/>
    <cellStyle name="Standaard 21 4 2 2 2 2 3" xfId="22877"/>
    <cellStyle name="Standaard 21 4 2 2 2 2 3 2" xfId="22878"/>
    <cellStyle name="Standaard 21 4 2 2 2 2 4" xfId="22879"/>
    <cellStyle name="Standaard 21 4 2 2 2 3" xfId="22880"/>
    <cellStyle name="Standaard 21 4 2 2 2 3 2" xfId="22881"/>
    <cellStyle name="Standaard 21 4 2 2 2 3 2 2" xfId="22882"/>
    <cellStyle name="Standaard 21 4 2 2 2 3 3" xfId="22883"/>
    <cellStyle name="Standaard 21 4 2 2 2 4" xfId="22884"/>
    <cellStyle name="Standaard 21 4 2 2 2 4 2" xfId="22885"/>
    <cellStyle name="Standaard 21 4 2 2 2 5" xfId="22886"/>
    <cellStyle name="Standaard 21 4 2 2 2 6" xfId="22887"/>
    <cellStyle name="Standaard 21 4 2 2 3" xfId="22888"/>
    <cellStyle name="Standaard 21 4 2 2 3 2" xfId="22889"/>
    <cellStyle name="Standaard 21 4 2 2 3 2 2" xfId="22890"/>
    <cellStyle name="Standaard 21 4 2 2 3 2 2 2" xfId="22891"/>
    <cellStyle name="Standaard 21 4 2 2 3 2 3" xfId="22892"/>
    <cellStyle name="Standaard 21 4 2 2 3 3" xfId="22893"/>
    <cellStyle name="Standaard 21 4 2 2 3 3 2" xfId="22894"/>
    <cellStyle name="Standaard 21 4 2 2 3 4" xfId="22895"/>
    <cellStyle name="Standaard 21 4 2 2 4" xfId="22896"/>
    <cellStyle name="Standaard 21 4 2 2 4 2" xfId="22897"/>
    <cellStyle name="Standaard 21 4 2 2 4 2 2" xfId="22898"/>
    <cellStyle name="Standaard 21 4 2 2 4 3" xfId="22899"/>
    <cellStyle name="Standaard 21 4 2 2 5" xfId="22900"/>
    <cellStyle name="Standaard 21 4 2 2 5 2" xfId="22901"/>
    <cellStyle name="Standaard 21 4 2 2 6" xfId="22902"/>
    <cellStyle name="Standaard 21 4 2 2 7" xfId="22903"/>
    <cellStyle name="Standaard 21 4 2 3" xfId="22904"/>
    <cellStyle name="Standaard 21 4 2 3 2" xfId="22905"/>
    <cellStyle name="Standaard 21 4 2 3 2 2" xfId="22906"/>
    <cellStyle name="Standaard 21 4 2 3 2 2 2" xfId="22907"/>
    <cellStyle name="Standaard 21 4 2 3 2 2 2 2" xfId="22908"/>
    <cellStyle name="Standaard 21 4 2 3 2 2 3" xfId="22909"/>
    <cellStyle name="Standaard 21 4 2 3 2 3" xfId="22910"/>
    <cellStyle name="Standaard 21 4 2 3 2 3 2" xfId="22911"/>
    <cellStyle name="Standaard 21 4 2 3 2 4" xfId="22912"/>
    <cellStyle name="Standaard 21 4 2 3 3" xfId="22913"/>
    <cellStyle name="Standaard 21 4 2 3 3 2" xfId="22914"/>
    <cellStyle name="Standaard 21 4 2 3 3 2 2" xfId="22915"/>
    <cellStyle name="Standaard 21 4 2 3 3 3" xfId="22916"/>
    <cellStyle name="Standaard 21 4 2 3 4" xfId="22917"/>
    <cellStyle name="Standaard 21 4 2 3 4 2" xfId="22918"/>
    <cellStyle name="Standaard 21 4 2 3 5" xfId="22919"/>
    <cellStyle name="Standaard 21 4 2 3 6" xfId="22920"/>
    <cellStyle name="Standaard 21 4 2 4" xfId="22921"/>
    <cellStyle name="Standaard 21 4 2 4 2" xfId="22922"/>
    <cellStyle name="Standaard 21 4 2 4 2 2" xfId="22923"/>
    <cellStyle name="Standaard 21 4 2 4 2 2 2" xfId="22924"/>
    <cellStyle name="Standaard 21 4 2 4 2 3" xfId="22925"/>
    <cellStyle name="Standaard 21 4 2 4 3" xfId="22926"/>
    <cellStyle name="Standaard 21 4 2 4 3 2" xfId="22927"/>
    <cellStyle name="Standaard 21 4 2 4 4" xfId="22928"/>
    <cellStyle name="Standaard 21 4 2 5" xfId="22929"/>
    <cellStyle name="Standaard 21 4 2 5 2" xfId="22930"/>
    <cellStyle name="Standaard 21 4 2 5 2 2" xfId="22931"/>
    <cellStyle name="Standaard 21 4 2 5 3" xfId="22932"/>
    <cellStyle name="Standaard 21 4 2 6" xfId="22933"/>
    <cellStyle name="Standaard 21 4 2 6 2" xfId="22934"/>
    <cellStyle name="Standaard 21 4 2 7" xfId="22935"/>
    <cellStyle name="Standaard 21 4 2 8" xfId="22936"/>
    <cellStyle name="Standaard 21 4 3" xfId="22937"/>
    <cellStyle name="Standaard 21 4 3 2" xfId="22938"/>
    <cellStyle name="Standaard 21 4 3 2 2" xfId="22939"/>
    <cellStyle name="Standaard 21 4 3 2 2 2" xfId="22940"/>
    <cellStyle name="Standaard 21 4 3 2 2 2 2" xfId="22941"/>
    <cellStyle name="Standaard 21 4 3 2 2 2 2 2" xfId="22942"/>
    <cellStyle name="Standaard 21 4 3 2 2 2 3" xfId="22943"/>
    <cellStyle name="Standaard 21 4 3 2 2 3" xfId="22944"/>
    <cellStyle name="Standaard 21 4 3 2 2 3 2" xfId="22945"/>
    <cellStyle name="Standaard 21 4 3 2 2 4" xfId="22946"/>
    <cellStyle name="Standaard 21 4 3 2 3" xfId="22947"/>
    <cellStyle name="Standaard 21 4 3 2 3 2" xfId="22948"/>
    <cellStyle name="Standaard 21 4 3 2 3 2 2" xfId="22949"/>
    <cellStyle name="Standaard 21 4 3 2 3 3" xfId="22950"/>
    <cellStyle name="Standaard 21 4 3 2 4" xfId="22951"/>
    <cellStyle name="Standaard 21 4 3 2 4 2" xfId="22952"/>
    <cellStyle name="Standaard 21 4 3 2 5" xfId="22953"/>
    <cellStyle name="Standaard 21 4 3 2 6" xfId="22954"/>
    <cellStyle name="Standaard 21 4 3 3" xfId="22955"/>
    <cellStyle name="Standaard 21 4 3 3 2" xfId="22956"/>
    <cellStyle name="Standaard 21 4 3 3 2 2" xfId="22957"/>
    <cellStyle name="Standaard 21 4 3 3 2 2 2" xfId="22958"/>
    <cellStyle name="Standaard 21 4 3 3 2 3" xfId="22959"/>
    <cellStyle name="Standaard 21 4 3 3 3" xfId="22960"/>
    <cellStyle name="Standaard 21 4 3 3 3 2" xfId="22961"/>
    <cellStyle name="Standaard 21 4 3 3 4" xfId="22962"/>
    <cellStyle name="Standaard 21 4 3 4" xfId="22963"/>
    <cellStyle name="Standaard 21 4 3 4 2" xfId="22964"/>
    <cellStyle name="Standaard 21 4 3 4 2 2" xfId="22965"/>
    <cellStyle name="Standaard 21 4 3 4 3" xfId="22966"/>
    <cellStyle name="Standaard 21 4 3 5" xfId="22967"/>
    <cellStyle name="Standaard 21 4 3 5 2" xfId="22968"/>
    <cellStyle name="Standaard 21 4 3 6" xfId="22969"/>
    <cellStyle name="Standaard 21 4 3 7" xfId="22970"/>
    <cellStyle name="Standaard 21 4 4" xfId="22971"/>
    <cellStyle name="Standaard 21 4 4 2" xfId="22972"/>
    <cellStyle name="Standaard 21 4 4 2 2" xfId="22973"/>
    <cellStyle name="Standaard 21 4 4 2 2 2" xfId="22974"/>
    <cellStyle name="Standaard 21 4 4 2 2 2 2" xfId="22975"/>
    <cellStyle name="Standaard 21 4 4 2 2 3" xfId="22976"/>
    <cellStyle name="Standaard 21 4 4 2 3" xfId="22977"/>
    <cellStyle name="Standaard 21 4 4 2 3 2" xfId="22978"/>
    <cellStyle name="Standaard 21 4 4 2 4" xfId="22979"/>
    <cellStyle name="Standaard 21 4 4 3" xfId="22980"/>
    <cellStyle name="Standaard 21 4 4 3 2" xfId="22981"/>
    <cellStyle name="Standaard 21 4 4 3 2 2" xfId="22982"/>
    <cellStyle name="Standaard 21 4 4 3 3" xfId="22983"/>
    <cellStyle name="Standaard 21 4 4 4" xfId="22984"/>
    <cellStyle name="Standaard 21 4 4 4 2" xfId="22985"/>
    <cellStyle name="Standaard 21 4 4 5" xfId="22986"/>
    <cellStyle name="Standaard 21 4 4 6" xfId="22987"/>
    <cellStyle name="Standaard 21 4 5" xfId="22988"/>
    <cellStyle name="Standaard 21 4 5 2" xfId="22989"/>
    <cellStyle name="Standaard 21 4 5 2 2" xfId="22990"/>
    <cellStyle name="Standaard 21 4 5 2 2 2" xfId="22991"/>
    <cellStyle name="Standaard 21 4 5 2 3" xfId="22992"/>
    <cellStyle name="Standaard 21 4 5 3" xfId="22993"/>
    <cellStyle name="Standaard 21 4 5 3 2" xfId="22994"/>
    <cellStyle name="Standaard 21 4 5 4" xfId="22995"/>
    <cellStyle name="Standaard 21 4 6" xfId="22996"/>
    <cellStyle name="Standaard 21 4 6 2" xfId="22997"/>
    <cellStyle name="Standaard 21 4 6 2 2" xfId="22998"/>
    <cellStyle name="Standaard 21 4 6 3" xfId="22999"/>
    <cellStyle name="Standaard 21 4 7" xfId="23000"/>
    <cellStyle name="Standaard 21 4 7 2" xfId="23001"/>
    <cellStyle name="Standaard 21 4 8" xfId="23002"/>
    <cellStyle name="Standaard 21 4 9" xfId="23003"/>
    <cellStyle name="Standaard 21 5" xfId="23004"/>
    <cellStyle name="Standaard 21 5 2" xfId="23005"/>
    <cellStyle name="Standaard 21 5 2 2" xfId="23006"/>
    <cellStyle name="Standaard 21 5 2 2 2" xfId="23007"/>
    <cellStyle name="Standaard 21 5 2 2 2 2" xfId="23008"/>
    <cellStyle name="Standaard 21 5 2 2 2 2 2" xfId="23009"/>
    <cellStyle name="Standaard 21 5 2 2 2 2 2 2" xfId="23010"/>
    <cellStyle name="Standaard 21 5 2 2 2 2 3" xfId="23011"/>
    <cellStyle name="Standaard 21 5 2 2 2 3" xfId="23012"/>
    <cellStyle name="Standaard 21 5 2 2 2 3 2" xfId="23013"/>
    <cellStyle name="Standaard 21 5 2 2 2 4" xfId="23014"/>
    <cellStyle name="Standaard 21 5 2 2 3" xfId="23015"/>
    <cellStyle name="Standaard 21 5 2 2 3 2" xfId="23016"/>
    <cellStyle name="Standaard 21 5 2 2 3 2 2" xfId="23017"/>
    <cellStyle name="Standaard 21 5 2 2 3 3" xfId="23018"/>
    <cellStyle name="Standaard 21 5 2 2 4" xfId="23019"/>
    <cellStyle name="Standaard 21 5 2 2 4 2" xfId="23020"/>
    <cellStyle name="Standaard 21 5 2 2 5" xfId="23021"/>
    <cellStyle name="Standaard 21 5 2 2 6" xfId="23022"/>
    <cellStyle name="Standaard 21 5 2 3" xfId="23023"/>
    <cellStyle name="Standaard 21 5 2 3 2" xfId="23024"/>
    <cellStyle name="Standaard 21 5 2 3 2 2" xfId="23025"/>
    <cellStyle name="Standaard 21 5 2 3 2 2 2" xfId="23026"/>
    <cellStyle name="Standaard 21 5 2 3 2 3" xfId="23027"/>
    <cellStyle name="Standaard 21 5 2 3 3" xfId="23028"/>
    <cellStyle name="Standaard 21 5 2 3 3 2" xfId="23029"/>
    <cellStyle name="Standaard 21 5 2 3 4" xfId="23030"/>
    <cellStyle name="Standaard 21 5 2 4" xfId="23031"/>
    <cellStyle name="Standaard 21 5 2 4 2" xfId="23032"/>
    <cellStyle name="Standaard 21 5 2 4 2 2" xfId="23033"/>
    <cellStyle name="Standaard 21 5 2 4 3" xfId="23034"/>
    <cellStyle name="Standaard 21 5 2 5" xfId="23035"/>
    <cellStyle name="Standaard 21 5 2 5 2" xfId="23036"/>
    <cellStyle name="Standaard 21 5 2 6" xfId="23037"/>
    <cellStyle name="Standaard 21 5 2 7" xfId="23038"/>
    <cellStyle name="Standaard 21 5 3" xfId="23039"/>
    <cellStyle name="Standaard 21 5 3 2" xfId="23040"/>
    <cellStyle name="Standaard 21 5 3 2 2" xfId="23041"/>
    <cellStyle name="Standaard 21 5 3 2 2 2" xfId="23042"/>
    <cellStyle name="Standaard 21 5 3 2 2 2 2" xfId="23043"/>
    <cellStyle name="Standaard 21 5 3 2 2 3" xfId="23044"/>
    <cellStyle name="Standaard 21 5 3 2 3" xfId="23045"/>
    <cellStyle name="Standaard 21 5 3 2 3 2" xfId="23046"/>
    <cellStyle name="Standaard 21 5 3 2 4" xfId="23047"/>
    <cellStyle name="Standaard 21 5 3 3" xfId="23048"/>
    <cellStyle name="Standaard 21 5 3 3 2" xfId="23049"/>
    <cellStyle name="Standaard 21 5 3 3 2 2" xfId="23050"/>
    <cellStyle name="Standaard 21 5 3 3 3" xfId="23051"/>
    <cellStyle name="Standaard 21 5 3 4" xfId="23052"/>
    <cellStyle name="Standaard 21 5 3 4 2" xfId="23053"/>
    <cellStyle name="Standaard 21 5 3 5" xfId="23054"/>
    <cellStyle name="Standaard 21 5 3 6" xfId="23055"/>
    <cellStyle name="Standaard 21 5 4" xfId="23056"/>
    <cellStyle name="Standaard 21 5 4 2" xfId="23057"/>
    <cellStyle name="Standaard 21 5 4 2 2" xfId="23058"/>
    <cellStyle name="Standaard 21 5 4 2 2 2" xfId="23059"/>
    <cellStyle name="Standaard 21 5 4 2 3" xfId="23060"/>
    <cellStyle name="Standaard 21 5 4 3" xfId="23061"/>
    <cellStyle name="Standaard 21 5 4 3 2" xfId="23062"/>
    <cellStyle name="Standaard 21 5 4 4" xfId="23063"/>
    <cellStyle name="Standaard 21 5 5" xfId="23064"/>
    <cellStyle name="Standaard 21 5 5 2" xfId="23065"/>
    <cellStyle name="Standaard 21 5 5 2 2" xfId="23066"/>
    <cellStyle name="Standaard 21 5 5 3" xfId="23067"/>
    <cellStyle name="Standaard 21 5 6" xfId="23068"/>
    <cellStyle name="Standaard 21 5 6 2" xfId="23069"/>
    <cellStyle name="Standaard 21 5 7" xfId="23070"/>
    <cellStyle name="Standaard 21 5 8" xfId="23071"/>
    <cellStyle name="Standaard 21 6" xfId="23072"/>
    <cellStyle name="Standaard 21 6 2" xfId="23073"/>
    <cellStyle name="Standaard 21 6 2 2" xfId="23074"/>
    <cellStyle name="Standaard 21 6 2 2 2" xfId="23075"/>
    <cellStyle name="Standaard 21 6 2 2 2 2" xfId="23076"/>
    <cellStyle name="Standaard 21 6 2 2 2 2 2" xfId="23077"/>
    <cellStyle name="Standaard 21 6 2 2 2 2 2 2" xfId="23078"/>
    <cellStyle name="Standaard 21 6 2 2 2 2 3" xfId="23079"/>
    <cellStyle name="Standaard 21 6 2 2 2 3" xfId="23080"/>
    <cellStyle name="Standaard 21 6 2 2 2 3 2" xfId="23081"/>
    <cellStyle name="Standaard 21 6 2 2 2 4" xfId="23082"/>
    <cellStyle name="Standaard 21 6 2 2 3" xfId="23083"/>
    <cellStyle name="Standaard 21 6 2 2 3 2" xfId="23084"/>
    <cellStyle name="Standaard 21 6 2 2 3 2 2" xfId="23085"/>
    <cellStyle name="Standaard 21 6 2 2 3 3" xfId="23086"/>
    <cellStyle name="Standaard 21 6 2 2 4" xfId="23087"/>
    <cellStyle name="Standaard 21 6 2 2 4 2" xfId="23088"/>
    <cellStyle name="Standaard 21 6 2 2 5" xfId="23089"/>
    <cellStyle name="Standaard 21 6 2 2 6" xfId="23090"/>
    <cellStyle name="Standaard 21 6 2 3" xfId="23091"/>
    <cellStyle name="Standaard 21 6 2 3 2" xfId="23092"/>
    <cellStyle name="Standaard 21 6 2 3 2 2" xfId="23093"/>
    <cellStyle name="Standaard 21 6 2 3 2 2 2" xfId="23094"/>
    <cellStyle name="Standaard 21 6 2 3 2 3" xfId="23095"/>
    <cellStyle name="Standaard 21 6 2 3 3" xfId="23096"/>
    <cellStyle name="Standaard 21 6 2 3 3 2" xfId="23097"/>
    <cellStyle name="Standaard 21 6 2 3 4" xfId="23098"/>
    <cellStyle name="Standaard 21 6 2 4" xfId="23099"/>
    <cellStyle name="Standaard 21 6 2 4 2" xfId="23100"/>
    <cellStyle name="Standaard 21 6 2 4 2 2" xfId="23101"/>
    <cellStyle name="Standaard 21 6 2 4 3" xfId="23102"/>
    <cellStyle name="Standaard 21 6 2 5" xfId="23103"/>
    <cellStyle name="Standaard 21 6 2 5 2" xfId="23104"/>
    <cellStyle name="Standaard 21 6 2 6" xfId="23105"/>
    <cellStyle name="Standaard 21 6 2 7" xfId="23106"/>
    <cellStyle name="Standaard 21 6 3" xfId="23107"/>
    <cellStyle name="Standaard 21 6 3 2" xfId="23108"/>
    <cellStyle name="Standaard 21 6 3 2 2" xfId="23109"/>
    <cellStyle name="Standaard 21 6 3 2 2 2" xfId="23110"/>
    <cellStyle name="Standaard 21 6 3 2 2 2 2" xfId="23111"/>
    <cellStyle name="Standaard 21 6 3 2 2 3" xfId="23112"/>
    <cellStyle name="Standaard 21 6 3 2 3" xfId="23113"/>
    <cellStyle name="Standaard 21 6 3 2 3 2" xfId="23114"/>
    <cellStyle name="Standaard 21 6 3 2 4" xfId="23115"/>
    <cellStyle name="Standaard 21 6 3 3" xfId="23116"/>
    <cellStyle name="Standaard 21 6 3 3 2" xfId="23117"/>
    <cellStyle name="Standaard 21 6 3 3 2 2" xfId="23118"/>
    <cellStyle name="Standaard 21 6 3 3 3" xfId="23119"/>
    <cellStyle name="Standaard 21 6 3 4" xfId="23120"/>
    <cellStyle name="Standaard 21 6 3 4 2" xfId="23121"/>
    <cellStyle name="Standaard 21 6 3 5" xfId="23122"/>
    <cellStyle name="Standaard 21 6 3 6" xfId="23123"/>
    <cellStyle name="Standaard 21 6 4" xfId="23124"/>
    <cellStyle name="Standaard 21 6 4 2" xfId="23125"/>
    <cellStyle name="Standaard 21 6 4 2 2" xfId="23126"/>
    <cellStyle name="Standaard 21 6 4 2 2 2" xfId="23127"/>
    <cellStyle name="Standaard 21 6 4 2 3" xfId="23128"/>
    <cellStyle name="Standaard 21 6 4 3" xfId="23129"/>
    <cellStyle name="Standaard 21 6 4 3 2" xfId="23130"/>
    <cellStyle name="Standaard 21 6 4 4" xfId="23131"/>
    <cellStyle name="Standaard 21 6 5" xfId="23132"/>
    <cellStyle name="Standaard 21 6 5 2" xfId="23133"/>
    <cellStyle name="Standaard 21 6 5 2 2" xfId="23134"/>
    <cellStyle name="Standaard 21 6 5 3" xfId="23135"/>
    <cellStyle name="Standaard 21 6 6" xfId="23136"/>
    <cellStyle name="Standaard 21 6 6 2" xfId="23137"/>
    <cellStyle name="Standaard 21 6 7" xfId="23138"/>
    <cellStyle name="Standaard 21 6 8" xfId="23139"/>
    <cellStyle name="Standaard 21 7" xfId="23140"/>
    <cellStyle name="Standaard 21 7 2" xfId="23141"/>
    <cellStyle name="Standaard 21 7 2 2" xfId="23142"/>
    <cellStyle name="Standaard 21 7 2 2 2" xfId="23143"/>
    <cellStyle name="Standaard 21 7 2 2 2 2" xfId="23144"/>
    <cellStyle name="Standaard 21 7 2 2 2 2 2" xfId="23145"/>
    <cellStyle name="Standaard 21 7 2 2 2 3" xfId="23146"/>
    <cellStyle name="Standaard 21 7 2 2 3" xfId="23147"/>
    <cellStyle name="Standaard 21 7 2 2 3 2" xfId="23148"/>
    <cellStyle name="Standaard 21 7 2 2 4" xfId="23149"/>
    <cellStyle name="Standaard 21 7 2 3" xfId="23150"/>
    <cellStyle name="Standaard 21 7 2 3 2" xfId="23151"/>
    <cellStyle name="Standaard 21 7 2 3 2 2" xfId="23152"/>
    <cellStyle name="Standaard 21 7 2 3 3" xfId="23153"/>
    <cellStyle name="Standaard 21 7 2 4" xfId="23154"/>
    <cellStyle name="Standaard 21 7 2 4 2" xfId="23155"/>
    <cellStyle name="Standaard 21 7 2 5" xfId="23156"/>
    <cellStyle name="Standaard 21 7 2 6" xfId="23157"/>
    <cellStyle name="Standaard 21 7 3" xfId="23158"/>
    <cellStyle name="Standaard 21 7 3 2" xfId="23159"/>
    <cellStyle name="Standaard 21 7 3 2 2" xfId="23160"/>
    <cellStyle name="Standaard 21 7 3 2 2 2" xfId="23161"/>
    <cellStyle name="Standaard 21 7 3 2 3" xfId="23162"/>
    <cellStyle name="Standaard 21 7 3 3" xfId="23163"/>
    <cellStyle name="Standaard 21 7 3 3 2" xfId="23164"/>
    <cellStyle name="Standaard 21 7 3 4" xfId="23165"/>
    <cellStyle name="Standaard 21 7 4" xfId="23166"/>
    <cellStyle name="Standaard 21 7 4 2" xfId="23167"/>
    <cellStyle name="Standaard 21 7 4 2 2" xfId="23168"/>
    <cellStyle name="Standaard 21 7 4 3" xfId="23169"/>
    <cellStyle name="Standaard 21 7 5" xfId="23170"/>
    <cellStyle name="Standaard 21 7 5 2" xfId="23171"/>
    <cellStyle name="Standaard 21 7 6" xfId="23172"/>
    <cellStyle name="Standaard 21 7 7" xfId="23173"/>
    <cellStyle name="Standaard 21 8" xfId="23174"/>
    <cellStyle name="Standaard 21 8 2" xfId="23175"/>
    <cellStyle name="Standaard 21 8 2 2" xfId="23176"/>
    <cellStyle name="Standaard 21 8 2 2 2" xfId="23177"/>
    <cellStyle name="Standaard 21 8 2 2 2 2" xfId="23178"/>
    <cellStyle name="Standaard 21 8 2 2 3" xfId="23179"/>
    <cellStyle name="Standaard 21 8 2 3" xfId="23180"/>
    <cellStyle name="Standaard 21 8 2 3 2" xfId="23181"/>
    <cellStyle name="Standaard 21 8 2 4" xfId="23182"/>
    <cellStyle name="Standaard 21 8 3" xfId="23183"/>
    <cellStyle name="Standaard 21 8 3 2" xfId="23184"/>
    <cellStyle name="Standaard 21 8 3 2 2" xfId="23185"/>
    <cellStyle name="Standaard 21 8 3 3" xfId="23186"/>
    <cellStyle name="Standaard 21 8 4" xfId="23187"/>
    <cellStyle name="Standaard 21 8 4 2" xfId="23188"/>
    <cellStyle name="Standaard 21 8 5" xfId="23189"/>
    <cellStyle name="Standaard 21 8 6" xfId="23190"/>
    <cellStyle name="Standaard 21 9" xfId="23191"/>
    <cellStyle name="Standaard 21 9 2" xfId="23192"/>
    <cellStyle name="Standaard 21 9 2 2" xfId="23193"/>
    <cellStyle name="Standaard 21 9 2 2 2" xfId="23194"/>
    <cellStyle name="Standaard 21 9 2 3" xfId="23195"/>
    <cellStyle name="Standaard 21 9 3" xfId="23196"/>
    <cellStyle name="Standaard 21 9 3 2" xfId="23197"/>
    <cellStyle name="Standaard 21 9 4" xfId="23198"/>
    <cellStyle name="Standaard 22" xfId="23199"/>
    <cellStyle name="Standaard 22 10" xfId="23200"/>
    <cellStyle name="Standaard 22 10 2" xfId="23201"/>
    <cellStyle name="Standaard 22 10 2 2" xfId="23202"/>
    <cellStyle name="Standaard 22 10 3" xfId="23203"/>
    <cellStyle name="Standaard 22 11" xfId="23204"/>
    <cellStyle name="Standaard 22 11 2" xfId="23205"/>
    <cellStyle name="Standaard 22 12" xfId="23206"/>
    <cellStyle name="Standaard 22 13" xfId="23207"/>
    <cellStyle name="Standaard 22 2" xfId="23208"/>
    <cellStyle name="Standaard 22 2 10" xfId="23209"/>
    <cellStyle name="Standaard 22 2 10 2" xfId="23210"/>
    <cellStyle name="Standaard 22 2 11" xfId="23211"/>
    <cellStyle name="Standaard 22 2 12" xfId="23212"/>
    <cellStyle name="Standaard 22 2 2" xfId="23213"/>
    <cellStyle name="Standaard 22 2 2 10" xfId="23214"/>
    <cellStyle name="Standaard 22 2 2 11" xfId="23215"/>
    <cellStyle name="Standaard 22 2 2 2" xfId="23216"/>
    <cellStyle name="Standaard 22 2 2 2 2" xfId="23217"/>
    <cellStyle name="Standaard 22 2 2 2 2 2" xfId="23218"/>
    <cellStyle name="Standaard 22 2 2 2 2 2 2" xfId="23219"/>
    <cellStyle name="Standaard 22 2 2 2 2 2 2 2" xfId="23220"/>
    <cellStyle name="Standaard 22 2 2 2 2 2 2 2 2" xfId="23221"/>
    <cellStyle name="Standaard 22 2 2 2 2 2 2 2 2 2" xfId="23222"/>
    <cellStyle name="Standaard 22 2 2 2 2 2 2 2 2 2 2" xfId="23223"/>
    <cellStyle name="Standaard 22 2 2 2 2 2 2 2 2 3" xfId="23224"/>
    <cellStyle name="Standaard 22 2 2 2 2 2 2 2 3" xfId="23225"/>
    <cellStyle name="Standaard 22 2 2 2 2 2 2 2 3 2" xfId="23226"/>
    <cellStyle name="Standaard 22 2 2 2 2 2 2 2 4" xfId="23227"/>
    <cellStyle name="Standaard 22 2 2 2 2 2 2 3" xfId="23228"/>
    <cellStyle name="Standaard 22 2 2 2 2 2 2 3 2" xfId="23229"/>
    <cellStyle name="Standaard 22 2 2 2 2 2 2 3 2 2" xfId="23230"/>
    <cellStyle name="Standaard 22 2 2 2 2 2 2 3 3" xfId="23231"/>
    <cellStyle name="Standaard 22 2 2 2 2 2 2 4" xfId="23232"/>
    <cellStyle name="Standaard 22 2 2 2 2 2 2 4 2" xfId="23233"/>
    <cellStyle name="Standaard 22 2 2 2 2 2 2 5" xfId="23234"/>
    <cellStyle name="Standaard 22 2 2 2 2 2 2 6" xfId="23235"/>
    <cellStyle name="Standaard 22 2 2 2 2 2 3" xfId="23236"/>
    <cellStyle name="Standaard 22 2 2 2 2 2 3 2" xfId="23237"/>
    <cellStyle name="Standaard 22 2 2 2 2 2 3 2 2" xfId="23238"/>
    <cellStyle name="Standaard 22 2 2 2 2 2 3 2 2 2" xfId="23239"/>
    <cellStyle name="Standaard 22 2 2 2 2 2 3 2 3" xfId="23240"/>
    <cellStyle name="Standaard 22 2 2 2 2 2 3 3" xfId="23241"/>
    <cellStyle name="Standaard 22 2 2 2 2 2 3 3 2" xfId="23242"/>
    <cellStyle name="Standaard 22 2 2 2 2 2 3 4" xfId="23243"/>
    <cellStyle name="Standaard 22 2 2 2 2 2 4" xfId="23244"/>
    <cellStyle name="Standaard 22 2 2 2 2 2 4 2" xfId="23245"/>
    <cellStyle name="Standaard 22 2 2 2 2 2 4 2 2" xfId="23246"/>
    <cellStyle name="Standaard 22 2 2 2 2 2 4 3" xfId="23247"/>
    <cellStyle name="Standaard 22 2 2 2 2 2 5" xfId="23248"/>
    <cellStyle name="Standaard 22 2 2 2 2 2 5 2" xfId="23249"/>
    <cellStyle name="Standaard 22 2 2 2 2 2 6" xfId="23250"/>
    <cellStyle name="Standaard 22 2 2 2 2 2 7" xfId="23251"/>
    <cellStyle name="Standaard 22 2 2 2 2 3" xfId="23252"/>
    <cellStyle name="Standaard 22 2 2 2 2 3 2" xfId="23253"/>
    <cellStyle name="Standaard 22 2 2 2 2 3 2 2" xfId="23254"/>
    <cellStyle name="Standaard 22 2 2 2 2 3 2 2 2" xfId="23255"/>
    <cellStyle name="Standaard 22 2 2 2 2 3 2 2 2 2" xfId="23256"/>
    <cellStyle name="Standaard 22 2 2 2 2 3 2 2 3" xfId="23257"/>
    <cellStyle name="Standaard 22 2 2 2 2 3 2 3" xfId="23258"/>
    <cellStyle name="Standaard 22 2 2 2 2 3 2 3 2" xfId="23259"/>
    <cellStyle name="Standaard 22 2 2 2 2 3 2 4" xfId="23260"/>
    <cellStyle name="Standaard 22 2 2 2 2 3 3" xfId="23261"/>
    <cellStyle name="Standaard 22 2 2 2 2 3 3 2" xfId="23262"/>
    <cellStyle name="Standaard 22 2 2 2 2 3 3 2 2" xfId="23263"/>
    <cellStyle name="Standaard 22 2 2 2 2 3 3 3" xfId="23264"/>
    <cellStyle name="Standaard 22 2 2 2 2 3 4" xfId="23265"/>
    <cellStyle name="Standaard 22 2 2 2 2 3 4 2" xfId="23266"/>
    <cellStyle name="Standaard 22 2 2 2 2 3 5" xfId="23267"/>
    <cellStyle name="Standaard 22 2 2 2 2 3 6" xfId="23268"/>
    <cellStyle name="Standaard 22 2 2 2 2 4" xfId="23269"/>
    <cellStyle name="Standaard 22 2 2 2 2 4 2" xfId="23270"/>
    <cellStyle name="Standaard 22 2 2 2 2 4 2 2" xfId="23271"/>
    <cellStyle name="Standaard 22 2 2 2 2 4 2 2 2" xfId="23272"/>
    <cellStyle name="Standaard 22 2 2 2 2 4 2 3" xfId="23273"/>
    <cellStyle name="Standaard 22 2 2 2 2 4 3" xfId="23274"/>
    <cellStyle name="Standaard 22 2 2 2 2 4 3 2" xfId="23275"/>
    <cellStyle name="Standaard 22 2 2 2 2 4 4" xfId="23276"/>
    <cellStyle name="Standaard 22 2 2 2 2 5" xfId="23277"/>
    <cellStyle name="Standaard 22 2 2 2 2 5 2" xfId="23278"/>
    <cellStyle name="Standaard 22 2 2 2 2 5 2 2" xfId="23279"/>
    <cellStyle name="Standaard 22 2 2 2 2 5 3" xfId="23280"/>
    <cellStyle name="Standaard 22 2 2 2 2 6" xfId="23281"/>
    <cellStyle name="Standaard 22 2 2 2 2 6 2" xfId="23282"/>
    <cellStyle name="Standaard 22 2 2 2 2 7" xfId="23283"/>
    <cellStyle name="Standaard 22 2 2 2 2 8" xfId="23284"/>
    <cellStyle name="Standaard 22 2 2 2 3" xfId="23285"/>
    <cellStyle name="Standaard 22 2 2 2 3 2" xfId="23286"/>
    <cellStyle name="Standaard 22 2 2 2 3 2 2" xfId="23287"/>
    <cellStyle name="Standaard 22 2 2 2 3 2 2 2" xfId="23288"/>
    <cellStyle name="Standaard 22 2 2 2 3 2 2 2 2" xfId="23289"/>
    <cellStyle name="Standaard 22 2 2 2 3 2 2 2 2 2" xfId="23290"/>
    <cellStyle name="Standaard 22 2 2 2 3 2 2 2 3" xfId="23291"/>
    <cellStyle name="Standaard 22 2 2 2 3 2 2 3" xfId="23292"/>
    <cellStyle name="Standaard 22 2 2 2 3 2 2 3 2" xfId="23293"/>
    <cellStyle name="Standaard 22 2 2 2 3 2 2 4" xfId="23294"/>
    <cellStyle name="Standaard 22 2 2 2 3 2 3" xfId="23295"/>
    <cellStyle name="Standaard 22 2 2 2 3 2 3 2" xfId="23296"/>
    <cellStyle name="Standaard 22 2 2 2 3 2 3 2 2" xfId="23297"/>
    <cellStyle name="Standaard 22 2 2 2 3 2 3 3" xfId="23298"/>
    <cellStyle name="Standaard 22 2 2 2 3 2 4" xfId="23299"/>
    <cellStyle name="Standaard 22 2 2 2 3 2 4 2" xfId="23300"/>
    <cellStyle name="Standaard 22 2 2 2 3 2 5" xfId="23301"/>
    <cellStyle name="Standaard 22 2 2 2 3 2 6" xfId="23302"/>
    <cellStyle name="Standaard 22 2 2 2 3 3" xfId="23303"/>
    <cellStyle name="Standaard 22 2 2 2 3 3 2" xfId="23304"/>
    <cellStyle name="Standaard 22 2 2 2 3 3 2 2" xfId="23305"/>
    <cellStyle name="Standaard 22 2 2 2 3 3 2 2 2" xfId="23306"/>
    <cellStyle name="Standaard 22 2 2 2 3 3 2 3" xfId="23307"/>
    <cellStyle name="Standaard 22 2 2 2 3 3 3" xfId="23308"/>
    <cellStyle name="Standaard 22 2 2 2 3 3 3 2" xfId="23309"/>
    <cellStyle name="Standaard 22 2 2 2 3 3 4" xfId="23310"/>
    <cellStyle name="Standaard 22 2 2 2 3 4" xfId="23311"/>
    <cellStyle name="Standaard 22 2 2 2 3 4 2" xfId="23312"/>
    <cellStyle name="Standaard 22 2 2 2 3 4 2 2" xfId="23313"/>
    <cellStyle name="Standaard 22 2 2 2 3 4 3" xfId="23314"/>
    <cellStyle name="Standaard 22 2 2 2 3 5" xfId="23315"/>
    <cellStyle name="Standaard 22 2 2 2 3 5 2" xfId="23316"/>
    <cellStyle name="Standaard 22 2 2 2 3 6" xfId="23317"/>
    <cellStyle name="Standaard 22 2 2 2 3 7" xfId="23318"/>
    <cellStyle name="Standaard 22 2 2 2 4" xfId="23319"/>
    <cellStyle name="Standaard 22 2 2 2 4 2" xfId="23320"/>
    <cellStyle name="Standaard 22 2 2 2 4 2 2" xfId="23321"/>
    <cellStyle name="Standaard 22 2 2 2 4 2 2 2" xfId="23322"/>
    <cellStyle name="Standaard 22 2 2 2 4 2 2 2 2" xfId="23323"/>
    <cellStyle name="Standaard 22 2 2 2 4 2 2 3" xfId="23324"/>
    <cellStyle name="Standaard 22 2 2 2 4 2 3" xfId="23325"/>
    <cellStyle name="Standaard 22 2 2 2 4 2 3 2" xfId="23326"/>
    <cellStyle name="Standaard 22 2 2 2 4 2 4" xfId="23327"/>
    <cellStyle name="Standaard 22 2 2 2 4 3" xfId="23328"/>
    <cellStyle name="Standaard 22 2 2 2 4 3 2" xfId="23329"/>
    <cellStyle name="Standaard 22 2 2 2 4 3 2 2" xfId="23330"/>
    <cellStyle name="Standaard 22 2 2 2 4 3 3" xfId="23331"/>
    <cellStyle name="Standaard 22 2 2 2 4 4" xfId="23332"/>
    <cellStyle name="Standaard 22 2 2 2 4 4 2" xfId="23333"/>
    <cellStyle name="Standaard 22 2 2 2 4 5" xfId="23334"/>
    <cellStyle name="Standaard 22 2 2 2 4 6" xfId="23335"/>
    <cellStyle name="Standaard 22 2 2 2 5" xfId="23336"/>
    <cellStyle name="Standaard 22 2 2 2 5 2" xfId="23337"/>
    <cellStyle name="Standaard 22 2 2 2 5 2 2" xfId="23338"/>
    <cellStyle name="Standaard 22 2 2 2 5 2 2 2" xfId="23339"/>
    <cellStyle name="Standaard 22 2 2 2 5 2 3" xfId="23340"/>
    <cellStyle name="Standaard 22 2 2 2 5 3" xfId="23341"/>
    <cellStyle name="Standaard 22 2 2 2 5 3 2" xfId="23342"/>
    <cellStyle name="Standaard 22 2 2 2 5 4" xfId="23343"/>
    <cellStyle name="Standaard 22 2 2 2 6" xfId="23344"/>
    <cellStyle name="Standaard 22 2 2 2 6 2" xfId="23345"/>
    <cellStyle name="Standaard 22 2 2 2 6 2 2" xfId="23346"/>
    <cellStyle name="Standaard 22 2 2 2 6 3" xfId="23347"/>
    <cellStyle name="Standaard 22 2 2 2 7" xfId="23348"/>
    <cellStyle name="Standaard 22 2 2 2 7 2" xfId="23349"/>
    <cellStyle name="Standaard 22 2 2 2 8" xfId="23350"/>
    <cellStyle name="Standaard 22 2 2 2 9" xfId="23351"/>
    <cellStyle name="Standaard 22 2 2 3" xfId="23352"/>
    <cellStyle name="Standaard 22 2 2 3 2" xfId="23353"/>
    <cellStyle name="Standaard 22 2 2 3 2 2" xfId="23354"/>
    <cellStyle name="Standaard 22 2 2 3 2 2 2" xfId="23355"/>
    <cellStyle name="Standaard 22 2 2 3 2 2 2 2" xfId="23356"/>
    <cellStyle name="Standaard 22 2 2 3 2 2 2 2 2" xfId="23357"/>
    <cellStyle name="Standaard 22 2 2 3 2 2 2 2 2 2" xfId="23358"/>
    <cellStyle name="Standaard 22 2 2 3 2 2 2 2 3" xfId="23359"/>
    <cellStyle name="Standaard 22 2 2 3 2 2 2 3" xfId="23360"/>
    <cellStyle name="Standaard 22 2 2 3 2 2 2 3 2" xfId="23361"/>
    <cellStyle name="Standaard 22 2 2 3 2 2 2 4" xfId="23362"/>
    <cellStyle name="Standaard 22 2 2 3 2 2 3" xfId="23363"/>
    <cellStyle name="Standaard 22 2 2 3 2 2 3 2" xfId="23364"/>
    <cellStyle name="Standaard 22 2 2 3 2 2 3 2 2" xfId="23365"/>
    <cellStyle name="Standaard 22 2 2 3 2 2 3 3" xfId="23366"/>
    <cellStyle name="Standaard 22 2 2 3 2 2 4" xfId="23367"/>
    <cellStyle name="Standaard 22 2 2 3 2 2 4 2" xfId="23368"/>
    <cellStyle name="Standaard 22 2 2 3 2 2 5" xfId="23369"/>
    <cellStyle name="Standaard 22 2 2 3 2 2 6" xfId="23370"/>
    <cellStyle name="Standaard 22 2 2 3 2 3" xfId="23371"/>
    <cellStyle name="Standaard 22 2 2 3 2 3 2" xfId="23372"/>
    <cellStyle name="Standaard 22 2 2 3 2 3 2 2" xfId="23373"/>
    <cellStyle name="Standaard 22 2 2 3 2 3 2 2 2" xfId="23374"/>
    <cellStyle name="Standaard 22 2 2 3 2 3 2 3" xfId="23375"/>
    <cellStyle name="Standaard 22 2 2 3 2 3 3" xfId="23376"/>
    <cellStyle name="Standaard 22 2 2 3 2 3 3 2" xfId="23377"/>
    <cellStyle name="Standaard 22 2 2 3 2 3 4" xfId="23378"/>
    <cellStyle name="Standaard 22 2 2 3 2 4" xfId="23379"/>
    <cellStyle name="Standaard 22 2 2 3 2 4 2" xfId="23380"/>
    <cellStyle name="Standaard 22 2 2 3 2 4 2 2" xfId="23381"/>
    <cellStyle name="Standaard 22 2 2 3 2 4 3" xfId="23382"/>
    <cellStyle name="Standaard 22 2 2 3 2 5" xfId="23383"/>
    <cellStyle name="Standaard 22 2 2 3 2 5 2" xfId="23384"/>
    <cellStyle name="Standaard 22 2 2 3 2 6" xfId="23385"/>
    <cellStyle name="Standaard 22 2 2 3 2 7" xfId="23386"/>
    <cellStyle name="Standaard 22 2 2 3 3" xfId="23387"/>
    <cellStyle name="Standaard 22 2 2 3 3 2" xfId="23388"/>
    <cellStyle name="Standaard 22 2 2 3 3 2 2" xfId="23389"/>
    <cellStyle name="Standaard 22 2 2 3 3 2 2 2" xfId="23390"/>
    <cellStyle name="Standaard 22 2 2 3 3 2 2 2 2" xfId="23391"/>
    <cellStyle name="Standaard 22 2 2 3 3 2 2 3" xfId="23392"/>
    <cellStyle name="Standaard 22 2 2 3 3 2 3" xfId="23393"/>
    <cellStyle name="Standaard 22 2 2 3 3 2 3 2" xfId="23394"/>
    <cellStyle name="Standaard 22 2 2 3 3 2 4" xfId="23395"/>
    <cellStyle name="Standaard 22 2 2 3 3 3" xfId="23396"/>
    <cellStyle name="Standaard 22 2 2 3 3 3 2" xfId="23397"/>
    <cellStyle name="Standaard 22 2 2 3 3 3 2 2" xfId="23398"/>
    <cellStyle name="Standaard 22 2 2 3 3 3 3" xfId="23399"/>
    <cellStyle name="Standaard 22 2 2 3 3 4" xfId="23400"/>
    <cellStyle name="Standaard 22 2 2 3 3 4 2" xfId="23401"/>
    <cellStyle name="Standaard 22 2 2 3 3 5" xfId="23402"/>
    <cellStyle name="Standaard 22 2 2 3 3 6" xfId="23403"/>
    <cellStyle name="Standaard 22 2 2 3 4" xfId="23404"/>
    <cellStyle name="Standaard 22 2 2 3 4 2" xfId="23405"/>
    <cellStyle name="Standaard 22 2 2 3 4 2 2" xfId="23406"/>
    <cellStyle name="Standaard 22 2 2 3 4 2 2 2" xfId="23407"/>
    <cellStyle name="Standaard 22 2 2 3 4 2 3" xfId="23408"/>
    <cellStyle name="Standaard 22 2 2 3 4 3" xfId="23409"/>
    <cellStyle name="Standaard 22 2 2 3 4 3 2" xfId="23410"/>
    <cellStyle name="Standaard 22 2 2 3 4 4" xfId="23411"/>
    <cellStyle name="Standaard 22 2 2 3 5" xfId="23412"/>
    <cellStyle name="Standaard 22 2 2 3 5 2" xfId="23413"/>
    <cellStyle name="Standaard 22 2 2 3 5 2 2" xfId="23414"/>
    <cellStyle name="Standaard 22 2 2 3 5 3" xfId="23415"/>
    <cellStyle name="Standaard 22 2 2 3 6" xfId="23416"/>
    <cellStyle name="Standaard 22 2 2 3 6 2" xfId="23417"/>
    <cellStyle name="Standaard 22 2 2 3 7" xfId="23418"/>
    <cellStyle name="Standaard 22 2 2 3 8" xfId="23419"/>
    <cellStyle name="Standaard 22 2 2 4" xfId="23420"/>
    <cellStyle name="Standaard 22 2 2 4 2" xfId="23421"/>
    <cellStyle name="Standaard 22 2 2 4 2 2" xfId="23422"/>
    <cellStyle name="Standaard 22 2 2 4 2 2 2" xfId="23423"/>
    <cellStyle name="Standaard 22 2 2 4 2 2 2 2" xfId="23424"/>
    <cellStyle name="Standaard 22 2 2 4 2 2 2 2 2" xfId="23425"/>
    <cellStyle name="Standaard 22 2 2 4 2 2 2 2 2 2" xfId="23426"/>
    <cellStyle name="Standaard 22 2 2 4 2 2 2 2 3" xfId="23427"/>
    <cellStyle name="Standaard 22 2 2 4 2 2 2 3" xfId="23428"/>
    <cellStyle name="Standaard 22 2 2 4 2 2 2 3 2" xfId="23429"/>
    <cellStyle name="Standaard 22 2 2 4 2 2 2 4" xfId="23430"/>
    <cellStyle name="Standaard 22 2 2 4 2 2 3" xfId="23431"/>
    <cellStyle name="Standaard 22 2 2 4 2 2 3 2" xfId="23432"/>
    <cellStyle name="Standaard 22 2 2 4 2 2 3 2 2" xfId="23433"/>
    <cellStyle name="Standaard 22 2 2 4 2 2 3 3" xfId="23434"/>
    <cellStyle name="Standaard 22 2 2 4 2 2 4" xfId="23435"/>
    <cellStyle name="Standaard 22 2 2 4 2 2 4 2" xfId="23436"/>
    <cellStyle name="Standaard 22 2 2 4 2 2 5" xfId="23437"/>
    <cellStyle name="Standaard 22 2 2 4 2 2 6" xfId="23438"/>
    <cellStyle name="Standaard 22 2 2 4 2 3" xfId="23439"/>
    <cellStyle name="Standaard 22 2 2 4 2 3 2" xfId="23440"/>
    <cellStyle name="Standaard 22 2 2 4 2 3 2 2" xfId="23441"/>
    <cellStyle name="Standaard 22 2 2 4 2 3 2 2 2" xfId="23442"/>
    <cellStyle name="Standaard 22 2 2 4 2 3 2 3" xfId="23443"/>
    <cellStyle name="Standaard 22 2 2 4 2 3 3" xfId="23444"/>
    <cellStyle name="Standaard 22 2 2 4 2 3 3 2" xfId="23445"/>
    <cellStyle name="Standaard 22 2 2 4 2 3 4" xfId="23446"/>
    <cellStyle name="Standaard 22 2 2 4 2 4" xfId="23447"/>
    <cellStyle name="Standaard 22 2 2 4 2 4 2" xfId="23448"/>
    <cellStyle name="Standaard 22 2 2 4 2 4 2 2" xfId="23449"/>
    <cellStyle name="Standaard 22 2 2 4 2 4 3" xfId="23450"/>
    <cellStyle name="Standaard 22 2 2 4 2 5" xfId="23451"/>
    <cellStyle name="Standaard 22 2 2 4 2 5 2" xfId="23452"/>
    <cellStyle name="Standaard 22 2 2 4 2 6" xfId="23453"/>
    <cellStyle name="Standaard 22 2 2 4 2 7" xfId="23454"/>
    <cellStyle name="Standaard 22 2 2 4 3" xfId="23455"/>
    <cellStyle name="Standaard 22 2 2 4 3 2" xfId="23456"/>
    <cellStyle name="Standaard 22 2 2 4 3 2 2" xfId="23457"/>
    <cellStyle name="Standaard 22 2 2 4 3 2 2 2" xfId="23458"/>
    <cellStyle name="Standaard 22 2 2 4 3 2 2 2 2" xfId="23459"/>
    <cellStyle name="Standaard 22 2 2 4 3 2 2 3" xfId="23460"/>
    <cellStyle name="Standaard 22 2 2 4 3 2 3" xfId="23461"/>
    <cellStyle name="Standaard 22 2 2 4 3 2 3 2" xfId="23462"/>
    <cellStyle name="Standaard 22 2 2 4 3 2 4" xfId="23463"/>
    <cellStyle name="Standaard 22 2 2 4 3 3" xfId="23464"/>
    <cellStyle name="Standaard 22 2 2 4 3 3 2" xfId="23465"/>
    <cellStyle name="Standaard 22 2 2 4 3 3 2 2" xfId="23466"/>
    <cellStyle name="Standaard 22 2 2 4 3 3 3" xfId="23467"/>
    <cellStyle name="Standaard 22 2 2 4 3 4" xfId="23468"/>
    <cellStyle name="Standaard 22 2 2 4 3 4 2" xfId="23469"/>
    <cellStyle name="Standaard 22 2 2 4 3 5" xfId="23470"/>
    <cellStyle name="Standaard 22 2 2 4 3 6" xfId="23471"/>
    <cellStyle name="Standaard 22 2 2 4 4" xfId="23472"/>
    <cellStyle name="Standaard 22 2 2 4 4 2" xfId="23473"/>
    <cellStyle name="Standaard 22 2 2 4 4 2 2" xfId="23474"/>
    <cellStyle name="Standaard 22 2 2 4 4 2 2 2" xfId="23475"/>
    <cellStyle name="Standaard 22 2 2 4 4 2 3" xfId="23476"/>
    <cellStyle name="Standaard 22 2 2 4 4 3" xfId="23477"/>
    <cellStyle name="Standaard 22 2 2 4 4 3 2" xfId="23478"/>
    <cellStyle name="Standaard 22 2 2 4 4 4" xfId="23479"/>
    <cellStyle name="Standaard 22 2 2 4 5" xfId="23480"/>
    <cellStyle name="Standaard 22 2 2 4 5 2" xfId="23481"/>
    <cellStyle name="Standaard 22 2 2 4 5 2 2" xfId="23482"/>
    <cellStyle name="Standaard 22 2 2 4 5 3" xfId="23483"/>
    <cellStyle name="Standaard 22 2 2 4 6" xfId="23484"/>
    <cellStyle name="Standaard 22 2 2 4 6 2" xfId="23485"/>
    <cellStyle name="Standaard 22 2 2 4 7" xfId="23486"/>
    <cellStyle name="Standaard 22 2 2 4 8" xfId="23487"/>
    <cellStyle name="Standaard 22 2 2 5" xfId="23488"/>
    <cellStyle name="Standaard 22 2 2 5 2" xfId="23489"/>
    <cellStyle name="Standaard 22 2 2 5 2 2" xfId="23490"/>
    <cellStyle name="Standaard 22 2 2 5 2 2 2" xfId="23491"/>
    <cellStyle name="Standaard 22 2 2 5 2 2 2 2" xfId="23492"/>
    <cellStyle name="Standaard 22 2 2 5 2 2 2 2 2" xfId="23493"/>
    <cellStyle name="Standaard 22 2 2 5 2 2 2 3" xfId="23494"/>
    <cellStyle name="Standaard 22 2 2 5 2 2 3" xfId="23495"/>
    <cellStyle name="Standaard 22 2 2 5 2 2 3 2" xfId="23496"/>
    <cellStyle name="Standaard 22 2 2 5 2 2 4" xfId="23497"/>
    <cellStyle name="Standaard 22 2 2 5 2 3" xfId="23498"/>
    <cellStyle name="Standaard 22 2 2 5 2 3 2" xfId="23499"/>
    <cellStyle name="Standaard 22 2 2 5 2 3 2 2" xfId="23500"/>
    <cellStyle name="Standaard 22 2 2 5 2 3 3" xfId="23501"/>
    <cellStyle name="Standaard 22 2 2 5 2 4" xfId="23502"/>
    <cellStyle name="Standaard 22 2 2 5 2 4 2" xfId="23503"/>
    <cellStyle name="Standaard 22 2 2 5 2 5" xfId="23504"/>
    <cellStyle name="Standaard 22 2 2 5 2 6" xfId="23505"/>
    <cellStyle name="Standaard 22 2 2 5 3" xfId="23506"/>
    <cellStyle name="Standaard 22 2 2 5 3 2" xfId="23507"/>
    <cellStyle name="Standaard 22 2 2 5 3 2 2" xfId="23508"/>
    <cellStyle name="Standaard 22 2 2 5 3 2 2 2" xfId="23509"/>
    <cellStyle name="Standaard 22 2 2 5 3 2 3" xfId="23510"/>
    <cellStyle name="Standaard 22 2 2 5 3 3" xfId="23511"/>
    <cellStyle name="Standaard 22 2 2 5 3 3 2" xfId="23512"/>
    <cellStyle name="Standaard 22 2 2 5 3 4" xfId="23513"/>
    <cellStyle name="Standaard 22 2 2 5 4" xfId="23514"/>
    <cellStyle name="Standaard 22 2 2 5 4 2" xfId="23515"/>
    <cellStyle name="Standaard 22 2 2 5 4 2 2" xfId="23516"/>
    <cellStyle name="Standaard 22 2 2 5 4 3" xfId="23517"/>
    <cellStyle name="Standaard 22 2 2 5 5" xfId="23518"/>
    <cellStyle name="Standaard 22 2 2 5 5 2" xfId="23519"/>
    <cellStyle name="Standaard 22 2 2 5 6" xfId="23520"/>
    <cellStyle name="Standaard 22 2 2 5 7" xfId="23521"/>
    <cellStyle name="Standaard 22 2 2 6" xfId="23522"/>
    <cellStyle name="Standaard 22 2 2 6 2" xfId="23523"/>
    <cellStyle name="Standaard 22 2 2 6 2 2" xfId="23524"/>
    <cellStyle name="Standaard 22 2 2 6 2 2 2" xfId="23525"/>
    <cellStyle name="Standaard 22 2 2 6 2 2 2 2" xfId="23526"/>
    <cellStyle name="Standaard 22 2 2 6 2 2 3" xfId="23527"/>
    <cellStyle name="Standaard 22 2 2 6 2 3" xfId="23528"/>
    <cellStyle name="Standaard 22 2 2 6 2 3 2" xfId="23529"/>
    <cellStyle name="Standaard 22 2 2 6 2 4" xfId="23530"/>
    <cellStyle name="Standaard 22 2 2 6 3" xfId="23531"/>
    <cellStyle name="Standaard 22 2 2 6 3 2" xfId="23532"/>
    <cellStyle name="Standaard 22 2 2 6 3 2 2" xfId="23533"/>
    <cellStyle name="Standaard 22 2 2 6 3 3" xfId="23534"/>
    <cellStyle name="Standaard 22 2 2 6 4" xfId="23535"/>
    <cellStyle name="Standaard 22 2 2 6 4 2" xfId="23536"/>
    <cellStyle name="Standaard 22 2 2 6 5" xfId="23537"/>
    <cellStyle name="Standaard 22 2 2 6 6" xfId="23538"/>
    <cellStyle name="Standaard 22 2 2 7" xfId="23539"/>
    <cellStyle name="Standaard 22 2 2 7 2" xfId="23540"/>
    <cellStyle name="Standaard 22 2 2 7 2 2" xfId="23541"/>
    <cellStyle name="Standaard 22 2 2 7 2 2 2" xfId="23542"/>
    <cellStyle name="Standaard 22 2 2 7 2 3" xfId="23543"/>
    <cellStyle name="Standaard 22 2 2 7 3" xfId="23544"/>
    <cellStyle name="Standaard 22 2 2 7 3 2" xfId="23545"/>
    <cellStyle name="Standaard 22 2 2 7 4" xfId="23546"/>
    <cellStyle name="Standaard 22 2 2 8" xfId="23547"/>
    <cellStyle name="Standaard 22 2 2 8 2" xfId="23548"/>
    <cellStyle name="Standaard 22 2 2 8 2 2" xfId="23549"/>
    <cellStyle name="Standaard 22 2 2 8 3" xfId="23550"/>
    <cellStyle name="Standaard 22 2 2 9" xfId="23551"/>
    <cellStyle name="Standaard 22 2 2 9 2" xfId="23552"/>
    <cellStyle name="Standaard 22 2 3" xfId="23553"/>
    <cellStyle name="Standaard 22 2 3 2" xfId="23554"/>
    <cellStyle name="Standaard 22 2 3 2 2" xfId="23555"/>
    <cellStyle name="Standaard 22 2 3 2 2 2" xfId="23556"/>
    <cellStyle name="Standaard 22 2 3 2 2 2 2" xfId="23557"/>
    <cellStyle name="Standaard 22 2 3 2 2 2 2 2" xfId="23558"/>
    <cellStyle name="Standaard 22 2 3 2 2 2 2 2 2" xfId="23559"/>
    <cellStyle name="Standaard 22 2 3 2 2 2 2 2 2 2" xfId="23560"/>
    <cellStyle name="Standaard 22 2 3 2 2 2 2 2 3" xfId="23561"/>
    <cellStyle name="Standaard 22 2 3 2 2 2 2 3" xfId="23562"/>
    <cellStyle name="Standaard 22 2 3 2 2 2 2 3 2" xfId="23563"/>
    <cellStyle name="Standaard 22 2 3 2 2 2 2 4" xfId="23564"/>
    <cellStyle name="Standaard 22 2 3 2 2 2 3" xfId="23565"/>
    <cellStyle name="Standaard 22 2 3 2 2 2 3 2" xfId="23566"/>
    <cellStyle name="Standaard 22 2 3 2 2 2 3 2 2" xfId="23567"/>
    <cellStyle name="Standaard 22 2 3 2 2 2 3 3" xfId="23568"/>
    <cellStyle name="Standaard 22 2 3 2 2 2 4" xfId="23569"/>
    <cellStyle name="Standaard 22 2 3 2 2 2 4 2" xfId="23570"/>
    <cellStyle name="Standaard 22 2 3 2 2 2 5" xfId="23571"/>
    <cellStyle name="Standaard 22 2 3 2 2 2 6" xfId="23572"/>
    <cellStyle name="Standaard 22 2 3 2 2 3" xfId="23573"/>
    <cellStyle name="Standaard 22 2 3 2 2 3 2" xfId="23574"/>
    <cellStyle name="Standaard 22 2 3 2 2 3 2 2" xfId="23575"/>
    <cellStyle name="Standaard 22 2 3 2 2 3 2 2 2" xfId="23576"/>
    <cellStyle name="Standaard 22 2 3 2 2 3 2 3" xfId="23577"/>
    <cellStyle name="Standaard 22 2 3 2 2 3 3" xfId="23578"/>
    <cellStyle name="Standaard 22 2 3 2 2 3 3 2" xfId="23579"/>
    <cellStyle name="Standaard 22 2 3 2 2 3 4" xfId="23580"/>
    <cellStyle name="Standaard 22 2 3 2 2 4" xfId="23581"/>
    <cellStyle name="Standaard 22 2 3 2 2 4 2" xfId="23582"/>
    <cellStyle name="Standaard 22 2 3 2 2 4 2 2" xfId="23583"/>
    <cellStyle name="Standaard 22 2 3 2 2 4 3" xfId="23584"/>
    <cellStyle name="Standaard 22 2 3 2 2 5" xfId="23585"/>
    <cellStyle name="Standaard 22 2 3 2 2 5 2" xfId="23586"/>
    <cellStyle name="Standaard 22 2 3 2 2 6" xfId="23587"/>
    <cellStyle name="Standaard 22 2 3 2 2 7" xfId="23588"/>
    <cellStyle name="Standaard 22 2 3 2 3" xfId="23589"/>
    <cellStyle name="Standaard 22 2 3 2 3 2" xfId="23590"/>
    <cellStyle name="Standaard 22 2 3 2 3 2 2" xfId="23591"/>
    <cellStyle name="Standaard 22 2 3 2 3 2 2 2" xfId="23592"/>
    <cellStyle name="Standaard 22 2 3 2 3 2 2 2 2" xfId="23593"/>
    <cellStyle name="Standaard 22 2 3 2 3 2 2 3" xfId="23594"/>
    <cellStyle name="Standaard 22 2 3 2 3 2 3" xfId="23595"/>
    <cellStyle name="Standaard 22 2 3 2 3 2 3 2" xfId="23596"/>
    <cellStyle name="Standaard 22 2 3 2 3 2 4" xfId="23597"/>
    <cellStyle name="Standaard 22 2 3 2 3 3" xfId="23598"/>
    <cellStyle name="Standaard 22 2 3 2 3 3 2" xfId="23599"/>
    <cellStyle name="Standaard 22 2 3 2 3 3 2 2" xfId="23600"/>
    <cellStyle name="Standaard 22 2 3 2 3 3 3" xfId="23601"/>
    <cellStyle name="Standaard 22 2 3 2 3 4" xfId="23602"/>
    <cellStyle name="Standaard 22 2 3 2 3 4 2" xfId="23603"/>
    <cellStyle name="Standaard 22 2 3 2 3 5" xfId="23604"/>
    <cellStyle name="Standaard 22 2 3 2 3 6" xfId="23605"/>
    <cellStyle name="Standaard 22 2 3 2 4" xfId="23606"/>
    <cellStyle name="Standaard 22 2 3 2 4 2" xfId="23607"/>
    <cellStyle name="Standaard 22 2 3 2 4 2 2" xfId="23608"/>
    <cellStyle name="Standaard 22 2 3 2 4 2 2 2" xfId="23609"/>
    <cellStyle name="Standaard 22 2 3 2 4 2 3" xfId="23610"/>
    <cellStyle name="Standaard 22 2 3 2 4 3" xfId="23611"/>
    <cellStyle name="Standaard 22 2 3 2 4 3 2" xfId="23612"/>
    <cellStyle name="Standaard 22 2 3 2 4 4" xfId="23613"/>
    <cellStyle name="Standaard 22 2 3 2 5" xfId="23614"/>
    <cellStyle name="Standaard 22 2 3 2 5 2" xfId="23615"/>
    <cellStyle name="Standaard 22 2 3 2 5 2 2" xfId="23616"/>
    <cellStyle name="Standaard 22 2 3 2 5 3" xfId="23617"/>
    <cellStyle name="Standaard 22 2 3 2 6" xfId="23618"/>
    <cellStyle name="Standaard 22 2 3 2 6 2" xfId="23619"/>
    <cellStyle name="Standaard 22 2 3 2 7" xfId="23620"/>
    <cellStyle name="Standaard 22 2 3 2 8" xfId="23621"/>
    <cellStyle name="Standaard 22 2 3 3" xfId="23622"/>
    <cellStyle name="Standaard 22 2 3 3 2" xfId="23623"/>
    <cellStyle name="Standaard 22 2 3 3 2 2" xfId="23624"/>
    <cellStyle name="Standaard 22 2 3 3 2 2 2" xfId="23625"/>
    <cellStyle name="Standaard 22 2 3 3 2 2 2 2" xfId="23626"/>
    <cellStyle name="Standaard 22 2 3 3 2 2 2 2 2" xfId="23627"/>
    <cellStyle name="Standaard 22 2 3 3 2 2 2 3" xfId="23628"/>
    <cellStyle name="Standaard 22 2 3 3 2 2 3" xfId="23629"/>
    <cellStyle name="Standaard 22 2 3 3 2 2 3 2" xfId="23630"/>
    <cellStyle name="Standaard 22 2 3 3 2 2 4" xfId="23631"/>
    <cellStyle name="Standaard 22 2 3 3 2 3" xfId="23632"/>
    <cellStyle name="Standaard 22 2 3 3 2 3 2" xfId="23633"/>
    <cellStyle name="Standaard 22 2 3 3 2 3 2 2" xfId="23634"/>
    <cellStyle name="Standaard 22 2 3 3 2 3 3" xfId="23635"/>
    <cellStyle name="Standaard 22 2 3 3 2 4" xfId="23636"/>
    <cellStyle name="Standaard 22 2 3 3 2 4 2" xfId="23637"/>
    <cellStyle name="Standaard 22 2 3 3 2 5" xfId="23638"/>
    <cellStyle name="Standaard 22 2 3 3 2 6" xfId="23639"/>
    <cellStyle name="Standaard 22 2 3 3 3" xfId="23640"/>
    <cellStyle name="Standaard 22 2 3 3 3 2" xfId="23641"/>
    <cellStyle name="Standaard 22 2 3 3 3 2 2" xfId="23642"/>
    <cellStyle name="Standaard 22 2 3 3 3 2 2 2" xfId="23643"/>
    <cellStyle name="Standaard 22 2 3 3 3 2 3" xfId="23644"/>
    <cellStyle name="Standaard 22 2 3 3 3 3" xfId="23645"/>
    <cellStyle name="Standaard 22 2 3 3 3 3 2" xfId="23646"/>
    <cellStyle name="Standaard 22 2 3 3 3 4" xfId="23647"/>
    <cellStyle name="Standaard 22 2 3 3 4" xfId="23648"/>
    <cellStyle name="Standaard 22 2 3 3 4 2" xfId="23649"/>
    <cellStyle name="Standaard 22 2 3 3 4 2 2" xfId="23650"/>
    <cellStyle name="Standaard 22 2 3 3 4 3" xfId="23651"/>
    <cellStyle name="Standaard 22 2 3 3 5" xfId="23652"/>
    <cellStyle name="Standaard 22 2 3 3 5 2" xfId="23653"/>
    <cellStyle name="Standaard 22 2 3 3 6" xfId="23654"/>
    <cellStyle name="Standaard 22 2 3 3 7" xfId="23655"/>
    <cellStyle name="Standaard 22 2 3 4" xfId="23656"/>
    <cellStyle name="Standaard 22 2 3 4 2" xfId="23657"/>
    <cellStyle name="Standaard 22 2 3 4 2 2" xfId="23658"/>
    <cellStyle name="Standaard 22 2 3 4 2 2 2" xfId="23659"/>
    <cellStyle name="Standaard 22 2 3 4 2 2 2 2" xfId="23660"/>
    <cellStyle name="Standaard 22 2 3 4 2 2 3" xfId="23661"/>
    <cellStyle name="Standaard 22 2 3 4 2 3" xfId="23662"/>
    <cellStyle name="Standaard 22 2 3 4 2 3 2" xfId="23663"/>
    <cellStyle name="Standaard 22 2 3 4 2 4" xfId="23664"/>
    <cellStyle name="Standaard 22 2 3 4 3" xfId="23665"/>
    <cellStyle name="Standaard 22 2 3 4 3 2" xfId="23666"/>
    <cellStyle name="Standaard 22 2 3 4 3 2 2" xfId="23667"/>
    <cellStyle name="Standaard 22 2 3 4 3 3" xfId="23668"/>
    <cellStyle name="Standaard 22 2 3 4 4" xfId="23669"/>
    <cellStyle name="Standaard 22 2 3 4 4 2" xfId="23670"/>
    <cellStyle name="Standaard 22 2 3 4 5" xfId="23671"/>
    <cellStyle name="Standaard 22 2 3 4 6" xfId="23672"/>
    <cellStyle name="Standaard 22 2 3 5" xfId="23673"/>
    <cellStyle name="Standaard 22 2 3 5 2" xfId="23674"/>
    <cellStyle name="Standaard 22 2 3 5 2 2" xfId="23675"/>
    <cellStyle name="Standaard 22 2 3 5 2 2 2" xfId="23676"/>
    <cellStyle name="Standaard 22 2 3 5 2 3" xfId="23677"/>
    <cellStyle name="Standaard 22 2 3 5 3" xfId="23678"/>
    <cellStyle name="Standaard 22 2 3 5 3 2" xfId="23679"/>
    <cellStyle name="Standaard 22 2 3 5 4" xfId="23680"/>
    <cellStyle name="Standaard 22 2 3 6" xfId="23681"/>
    <cellStyle name="Standaard 22 2 3 6 2" xfId="23682"/>
    <cellStyle name="Standaard 22 2 3 6 2 2" xfId="23683"/>
    <cellStyle name="Standaard 22 2 3 6 3" xfId="23684"/>
    <cellStyle name="Standaard 22 2 3 7" xfId="23685"/>
    <cellStyle name="Standaard 22 2 3 7 2" xfId="23686"/>
    <cellStyle name="Standaard 22 2 3 8" xfId="23687"/>
    <cellStyle name="Standaard 22 2 3 9" xfId="23688"/>
    <cellStyle name="Standaard 22 2 4" xfId="23689"/>
    <cellStyle name="Standaard 22 2 4 2" xfId="23690"/>
    <cellStyle name="Standaard 22 2 4 2 2" xfId="23691"/>
    <cellStyle name="Standaard 22 2 4 2 2 2" xfId="23692"/>
    <cellStyle name="Standaard 22 2 4 2 2 2 2" xfId="23693"/>
    <cellStyle name="Standaard 22 2 4 2 2 2 2 2" xfId="23694"/>
    <cellStyle name="Standaard 22 2 4 2 2 2 2 2 2" xfId="23695"/>
    <cellStyle name="Standaard 22 2 4 2 2 2 2 3" xfId="23696"/>
    <cellStyle name="Standaard 22 2 4 2 2 2 3" xfId="23697"/>
    <cellStyle name="Standaard 22 2 4 2 2 2 3 2" xfId="23698"/>
    <cellStyle name="Standaard 22 2 4 2 2 2 4" xfId="23699"/>
    <cellStyle name="Standaard 22 2 4 2 2 3" xfId="23700"/>
    <cellStyle name="Standaard 22 2 4 2 2 3 2" xfId="23701"/>
    <cellStyle name="Standaard 22 2 4 2 2 3 2 2" xfId="23702"/>
    <cellStyle name="Standaard 22 2 4 2 2 3 3" xfId="23703"/>
    <cellStyle name="Standaard 22 2 4 2 2 4" xfId="23704"/>
    <cellStyle name="Standaard 22 2 4 2 2 4 2" xfId="23705"/>
    <cellStyle name="Standaard 22 2 4 2 2 5" xfId="23706"/>
    <cellStyle name="Standaard 22 2 4 2 2 6" xfId="23707"/>
    <cellStyle name="Standaard 22 2 4 2 3" xfId="23708"/>
    <cellStyle name="Standaard 22 2 4 2 3 2" xfId="23709"/>
    <cellStyle name="Standaard 22 2 4 2 3 2 2" xfId="23710"/>
    <cellStyle name="Standaard 22 2 4 2 3 2 2 2" xfId="23711"/>
    <cellStyle name="Standaard 22 2 4 2 3 2 3" xfId="23712"/>
    <cellStyle name="Standaard 22 2 4 2 3 3" xfId="23713"/>
    <cellStyle name="Standaard 22 2 4 2 3 3 2" xfId="23714"/>
    <cellStyle name="Standaard 22 2 4 2 3 4" xfId="23715"/>
    <cellStyle name="Standaard 22 2 4 2 4" xfId="23716"/>
    <cellStyle name="Standaard 22 2 4 2 4 2" xfId="23717"/>
    <cellStyle name="Standaard 22 2 4 2 4 2 2" xfId="23718"/>
    <cellStyle name="Standaard 22 2 4 2 4 3" xfId="23719"/>
    <cellStyle name="Standaard 22 2 4 2 5" xfId="23720"/>
    <cellStyle name="Standaard 22 2 4 2 5 2" xfId="23721"/>
    <cellStyle name="Standaard 22 2 4 2 6" xfId="23722"/>
    <cellStyle name="Standaard 22 2 4 2 7" xfId="23723"/>
    <cellStyle name="Standaard 22 2 4 3" xfId="23724"/>
    <cellStyle name="Standaard 22 2 4 3 2" xfId="23725"/>
    <cellStyle name="Standaard 22 2 4 3 2 2" xfId="23726"/>
    <cellStyle name="Standaard 22 2 4 3 2 2 2" xfId="23727"/>
    <cellStyle name="Standaard 22 2 4 3 2 2 2 2" xfId="23728"/>
    <cellStyle name="Standaard 22 2 4 3 2 2 3" xfId="23729"/>
    <cellStyle name="Standaard 22 2 4 3 2 3" xfId="23730"/>
    <cellStyle name="Standaard 22 2 4 3 2 3 2" xfId="23731"/>
    <cellStyle name="Standaard 22 2 4 3 2 4" xfId="23732"/>
    <cellStyle name="Standaard 22 2 4 3 3" xfId="23733"/>
    <cellStyle name="Standaard 22 2 4 3 3 2" xfId="23734"/>
    <cellStyle name="Standaard 22 2 4 3 3 2 2" xfId="23735"/>
    <cellStyle name="Standaard 22 2 4 3 3 3" xfId="23736"/>
    <cellStyle name="Standaard 22 2 4 3 4" xfId="23737"/>
    <cellStyle name="Standaard 22 2 4 3 4 2" xfId="23738"/>
    <cellStyle name="Standaard 22 2 4 3 5" xfId="23739"/>
    <cellStyle name="Standaard 22 2 4 3 6" xfId="23740"/>
    <cellStyle name="Standaard 22 2 4 4" xfId="23741"/>
    <cellStyle name="Standaard 22 2 4 4 2" xfId="23742"/>
    <cellStyle name="Standaard 22 2 4 4 2 2" xfId="23743"/>
    <cellStyle name="Standaard 22 2 4 4 2 2 2" xfId="23744"/>
    <cellStyle name="Standaard 22 2 4 4 2 3" xfId="23745"/>
    <cellStyle name="Standaard 22 2 4 4 3" xfId="23746"/>
    <cellStyle name="Standaard 22 2 4 4 3 2" xfId="23747"/>
    <cellStyle name="Standaard 22 2 4 4 4" xfId="23748"/>
    <cellStyle name="Standaard 22 2 4 5" xfId="23749"/>
    <cellStyle name="Standaard 22 2 4 5 2" xfId="23750"/>
    <cellStyle name="Standaard 22 2 4 5 2 2" xfId="23751"/>
    <cellStyle name="Standaard 22 2 4 5 3" xfId="23752"/>
    <cellStyle name="Standaard 22 2 4 6" xfId="23753"/>
    <cellStyle name="Standaard 22 2 4 6 2" xfId="23754"/>
    <cellStyle name="Standaard 22 2 4 7" xfId="23755"/>
    <cellStyle name="Standaard 22 2 4 8" xfId="23756"/>
    <cellStyle name="Standaard 22 2 5" xfId="23757"/>
    <cellStyle name="Standaard 22 2 5 2" xfId="23758"/>
    <cellStyle name="Standaard 22 2 5 2 2" xfId="23759"/>
    <cellStyle name="Standaard 22 2 5 2 2 2" xfId="23760"/>
    <cellStyle name="Standaard 22 2 5 2 2 2 2" xfId="23761"/>
    <cellStyle name="Standaard 22 2 5 2 2 2 2 2" xfId="23762"/>
    <cellStyle name="Standaard 22 2 5 2 2 2 2 2 2" xfId="23763"/>
    <cellStyle name="Standaard 22 2 5 2 2 2 2 3" xfId="23764"/>
    <cellStyle name="Standaard 22 2 5 2 2 2 3" xfId="23765"/>
    <cellStyle name="Standaard 22 2 5 2 2 2 3 2" xfId="23766"/>
    <cellStyle name="Standaard 22 2 5 2 2 2 4" xfId="23767"/>
    <cellStyle name="Standaard 22 2 5 2 2 3" xfId="23768"/>
    <cellStyle name="Standaard 22 2 5 2 2 3 2" xfId="23769"/>
    <cellStyle name="Standaard 22 2 5 2 2 3 2 2" xfId="23770"/>
    <cellStyle name="Standaard 22 2 5 2 2 3 3" xfId="23771"/>
    <cellStyle name="Standaard 22 2 5 2 2 4" xfId="23772"/>
    <cellStyle name="Standaard 22 2 5 2 2 4 2" xfId="23773"/>
    <cellStyle name="Standaard 22 2 5 2 2 5" xfId="23774"/>
    <cellStyle name="Standaard 22 2 5 2 2 6" xfId="23775"/>
    <cellStyle name="Standaard 22 2 5 2 3" xfId="23776"/>
    <cellStyle name="Standaard 22 2 5 2 3 2" xfId="23777"/>
    <cellStyle name="Standaard 22 2 5 2 3 2 2" xfId="23778"/>
    <cellStyle name="Standaard 22 2 5 2 3 2 2 2" xfId="23779"/>
    <cellStyle name="Standaard 22 2 5 2 3 2 3" xfId="23780"/>
    <cellStyle name="Standaard 22 2 5 2 3 3" xfId="23781"/>
    <cellStyle name="Standaard 22 2 5 2 3 3 2" xfId="23782"/>
    <cellStyle name="Standaard 22 2 5 2 3 4" xfId="23783"/>
    <cellStyle name="Standaard 22 2 5 2 4" xfId="23784"/>
    <cellStyle name="Standaard 22 2 5 2 4 2" xfId="23785"/>
    <cellStyle name="Standaard 22 2 5 2 4 2 2" xfId="23786"/>
    <cellStyle name="Standaard 22 2 5 2 4 3" xfId="23787"/>
    <cellStyle name="Standaard 22 2 5 2 5" xfId="23788"/>
    <cellStyle name="Standaard 22 2 5 2 5 2" xfId="23789"/>
    <cellStyle name="Standaard 22 2 5 2 6" xfId="23790"/>
    <cellStyle name="Standaard 22 2 5 2 7" xfId="23791"/>
    <cellStyle name="Standaard 22 2 5 3" xfId="23792"/>
    <cellStyle name="Standaard 22 2 5 3 2" xfId="23793"/>
    <cellStyle name="Standaard 22 2 5 3 2 2" xfId="23794"/>
    <cellStyle name="Standaard 22 2 5 3 2 2 2" xfId="23795"/>
    <cellStyle name="Standaard 22 2 5 3 2 2 2 2" xfId="23796"/>
    <cellStyle name="Standaard 22 2 5 3 2 2 3" xfId="23797"/>
    <cellStyle name="Standaard 22 2 5 3 2 3" xfId="23798"/>
    <cellStyle name="Standaard 22 2 5 3 2 3 2" xfId="23799"/>
    <cellStyle name="Standaard 22 2 5 3 2 4" xfId="23800"/>
    <cellStyle name="Standaard 22 2 5 3 3" xfId="23801"/>
    <cellStyle name="Standaard 22 2 5 3 3 2" xfId="23802"/>
    <cellStyle name="Standaard 22 2 5 3 3 2 2" xfId="23803"/>
    <cellStyle name="Standaard 22 2 5 3 3 3" xfId="23804"/>
    <cellStyle name="Standaard 22 2 5 3 4" xfId="23805"/>
    <cellStyle name="Standaard 22 2 5 3 4 2" xfId="23806"/>
    <cellStyle name="Standaard 22 2 5 3 5" xfId="23807"/>
    <cellStyle name="Standaard 22 2 5 3 6" xfId="23808"/>
    <cellStyle name="Standaard 22 2 5 4" xfId="23809"/>
    <cellStyle name="Standaard 22 2 5 4 2" xfId="23810"/>
    <cellStyle name="Standaard 22 2 5 4 2 2" xfId="23811"/>
    <cellStyle name="Standaard 22 2 5 4 2 2 2" xfId="23812"/>
    <cellStyle name="Standaard 22 2 5 4 2 3" xfId="23813"/>
    <cellStyle name="Standaard 22 2 5 4 3" xfId="23814"/>
    <cellStyle name="Standaard 22 2 5 4 3 2" xfId="23815"/>
    <cellStyle name="Standaard 22 2 5 4 4" xfId="23816"/>
    <cellStyle name="Standaard 22 2 5 5" xfId="23817"/>
    <cellStyle name="Standaard 22 2 5 5 2" xfId="23818"/>
    <cellStyle name="Standaard 22 2 5 5 2 2" xfId="23819"/>
    <cellStyle name="Standaard 22 2 5 5 3" xfId="23820"/>
    <cellStyle name="Standaard 22 2 5 6" xfId="23821"/>
    <cellStyle name="Standaard 22 2 5 6 2" xfId="23822"/>
    <cellStyle name="Standaard 22 2 5 7" xfId="23823"/>
    <cellStyle name="Standaard 22 2 5 8" xfId="23824"/>
    <cellStyle name="Standaard 22 2 6" xfId="23825"/>
    <cellStyle name="Standaard 22 2 6 2" xfId="23826"/>
    <cellStyle name="Standaard 22 2 6 2 2" xfId="23827"/>
    <cellStyle name="Standaard 22 2 6 2 2 2" xfId="23828"/>
    <cellStyle name="Standaard 22 2 6 2 2 2 2" xfId="23829"/>
    <cellStyle name="Standaard 22 2 6 2 2 2 2 2" xfId="23830"/>
    <cellStyle name="Standaard 22 2 6 2 2 2 3" xfId="23831"/>
    <cellStyle name="Standaard 22 2 6 2 2 3" xfId="23832"/>
    <cellStyle name="Standaard 22 2 6 2 2 3 2" xfId="23833"/>
    <cellStyle name="Standaard 22 2 6 2 2 4" xfId="23834"/>
    <cellStyle name="Standaard 22 2 6 2 3" xfId="23835"/>
    <cellStyle name="Standaard 22 2 6 2 3 2" xfId="23836"/>
    <cellStyle name="Standaard 22 2 6 2 3 2 2" xfId="23837"/>
    <cellStyle name="Standaard 22 2 6 2 3 3" xfId="23838"/>
    <cellStyle name="Standaard 22 2 6 2 4" xfId="23839"/>
    <cellStyle name="Standaard 22 2 6 2 4 2" xfId="23840"/>
    <cellStyle name="Standaard 22 2 6 2 5" xfId="23841"/>
    <cellStyle name="Standaard 22 2 6 2 6" xfId="23842"/>
    <cellStyle name="Standaard 22 2 6 3" xfId="23843"/>
    <cellStyle name="Standaard 22 2 6 3 2" xfId="23844"/>
    <cellStyle name="Standaard 22 2 6 3 2 2" xfId="23845"/>
    <cellStyle name="Standaard 22 2 6 3 2 2 2" xfId="23846"/>
    <cellStyle name="Standaard 22 2 6 3 2 3" xfId="23847"/>
    <cellStyle name="Standaard 22 2 6 3 3" xfId="23848"/>
    <cellStyle name="Standaard 22 2 6 3 3 2" xfId="23849"/>
    <cellStyle name="Standaard 22 2 6 3 4" xfId="23850"/>
    <cellStyle name="Standaard 22 2 6 4" xfId="23851"/>
    <cellStyle name="Standaard 22 2 6 4 2" xfId="23852"/>
    <cellStyle name="Standaard 22 2 6 4 2 2" xfId="23853"/>
    <cellStyle name="Standaard 22 2 6 4 3" xfId="23854"/>
    <cellStyle name="Standaard 22 2 6 5" xfId="23855"/>
    <cellStyle name="Standaard 22 2 6 5 2" xfId="23856"/>
    <cellStyle name="Standaard 22 2 6 6" xfId="23857"/>
    <cellStyle name="Standaard 22 2 6 7" xfId="23858"/>
    <cellStyle name="Standaard 22 2 7" xfId="23859"/>
    <cellStyle name="Standaard 22 2 7 2" xfId="23860"/>
    <cellStyle name="Standaard 22 2 7 2 2" xfId="23861"/>
    <cellStyle name="Standaard 22 2 7 2 2 2" xfId="23862"/>
    <cellStyle name="Standaard 22 2 7 2 2 2 2" xfId="23863"/>
    <cellStyle name="Standaard 22 2 7 2 2 3" xfId="23864"/>
    <cellStyle name="Standaard 22 2 7 2 3" xfId="23865"/>
    <cellStyle name="Standaard 22 2 7 2 3 2" xfId="23866"/>
    <cellStyle name="Standaard 22 2 7 2 4" xfId="23867"/>
    <cellStyle name="Standaard 22 2 7 3" xfId="23868"/>
    <cellStyle name="Standaard 22 2 7 3 2" xfId="23869"/>
    <cellStyle name="Standaard 22 2 7 3 2 2" xfId="23870"/>
    <cellStyle name="Standaard 22 2 7 3 3" xfId="23871"/>
    <cellStyle name="Standaard 22 2 7 4" xfId="23872"/>
    <cellStyle name="Standaard 22 2 7 4 2" xfId="23873"/>
    <cellStyle name="Standaard 22 2 7 5" xfId="23874"/>
    <cellStyle name="Standaard 22 2 7 6" xfId="23875"/>
    <cellStyle name="Standaard 22 2 8" xfId="23876"/>
    <cellStyle name="Standaard 22 2 8 2" xfId="23877"/>
    <cellStyle name="Standaard 22 2 8 2 2" xfId="23878"/>
    <cellStyle name="Standaard 22 2 8 2 2 2" xfId="23879"/>
    <cellStyle name="Standaard 22 2 8 2 3" xfId="23880"/>
    <cellStyle name="Standaard 22 2 8 3" xfId="23881"/>
    <cellStyle name="Standaard 22 2 8 3 2" xfId="23882"/>
    <cellStyle name="Standaard 22 2 8 4" xfId="23883"/>
    <cellStyle name="Standaard 22 2 9" xfId="23884"/>
    <cellStyle name="Standaard 22 2 9 2" xfId="23885"/>
    <cellStyle name="Standaard 22 2 9 2 2" xfId="23886"/>
    <cellStyle name="Standaard 22 2 9 3" xfId="23887"/>
    <cellStyle name="Standaard 22 3" xfId="23888"/>
    <cellStyle name="Standaard 22 3 10" xfId="23889"/>
    <cellStyle name="Standaard 22 3 11" xfId="23890"/>
    <cellStyle name="Standaard 22 3 2" xfId="23891"/>
    <cellStyle name="Standaard 22 3 2 2" xfId="23892"/>
    <cellStyle name="Standaard 22 3 2 2 2" xfId="23893"/>
    <cellStyle name="Standaard 22 3 2 2 2 2" xfId="23894"/>
    <cellStyle name="Standaard 22 3 2 2 2 2 2" xfId="23895"/>
    <cellStyle name="Standaard 22 3 2 2 2 2 2 2" xfId="23896"/>
    <cellStyle name="Standaard 22 3 2 2 2 2 2 2 2" xfId="23897"/>
    <cellStyle name="Standaard 22 3 2 2 2 2 2 2 2 2" xfId="23898"/>
    <cellStyle name="Standaard 22 3 2 2 2 2 2 2 3" xfId="23899"/>
    <cellStyle name="Standaard 22 3 2 2 2 2 2 3" xfId="23900"/>
    <cellStyle name="Standaard 22 3 2 2 2 2 2 3 2" xfId="23901"/>
    <cellStyle name="Standaard 22 3 2 2 2 2 2 4" xfId="23902"/>
    <cellStyle name="Standaard 22 3 2 2 2 2 3" xfId="23903"/>
    <cellStyle name="Standaard 22 3 2 2 2 2 3 2" xfId="23904"/>
    <cellStyle name="Standaard 22 3 2 2 2 2 3 2 2" xfId="23905"/>
    <cellStyle name="Standaard 22 3 2 2 2 2 3 3" xfId="23906"/>
    <cellStyle name="Standaard 22 3 2 2 2 2 4" xfId="23907"/>
    <cellStyle name="Standaard 22 3 2 2 2 2 4 2" xfId="23908"/>
    <cellStyle name="Standaard 22 3 2 2 2 2 5" xfId="23909"/>
    <cellStyle name="Standaard 22 3 2 2 2 2 6" xfId="23910"/>
    <cellStyle name="Standaard 22 3 2 2 2 3" xfId="23911"/>
    <cellStyle name="Standaard 22 3 2 2 2 3 2" xfId="23912"/>
    <cellStyle name="Standaard 22 3 2 2 2 3 2 2" xfId="23913"/>
    <cellStyle name="Standaard 22 3 2 2 2 3 2 2 2" xfId="23914"/>
    <cellStyle name="Standaard 22 3 2 2 2 3 2 3" xfId="23915"/>
    <cellStyle name="Standaard 22 3 2 2 2 3 3" xfId="23916"/>
    <cellStyle name="Standaard 22 3 2 2 2 3 3 2" xfId="23917"/>
    <cellStyle name="Standaard 22 3 2 2 2 3 4" xfId="23918"/>
    <cellStyle name="Standaard 22 3 2 2 2 4" xfId="23919"/>
    <cellStyle name="Standaard 22 3 2 2 2 4 2" xfId="23920"/>
    <cellStyle name="Standaard 22 3 2 2 2 4 2 2" xfId="23921"/>
    <cellStyle name="Standaard 22 3 2 2 2 4 3" xfId="23922"/>
    <cellStyle name="Standaard 22 3 2 2 2 5" xfId="23923"/>
    <cellStyle name="Standaard 22 3 2 2 2 5 2" xfId="23924"/>
    <cellStyle name="Standaard 22 3 2 2 2 6" xfId="23925"/>
    <cellStyle name="Standaard 22 3 2 2 2 7" xfId="23926"/>
    <cellStyle name="Standaard 22 3 2 2 3" xfId="23927"/>
    <cellStyle name="Standaard 22 3 2 2 3 2" xfId="23928"/>
    <cellStyle name="Standaard 22 3 2 2 3 2 2" xfId="23929"/>
    <cellStyle name="Standaard 22 3 2 2 3 2 2 2" xfId="23930"/>
    <cellStyle name="Standaard 22 3 2 2 3 2 2 2 2" xfId="23931"/>
    <cellStyle name="Standaard 22 3 2 2 3 2 2 3" xfId="23932"/>
    <cellStyle name="Standaard 22 3 2 2 3 2 3" xfId="23933"/>
    <cellStyle name="Standaard 22 3 2 2 3 2 3 2" xfId="23934"/>
    <cellStyle name="Standaard 22 3 2 2 3 2 4" xfId="23935"/>
    <cellStyle name="Standaard 22 3 2 2 3 3" xfId="23936"/>
    <cellStyle name="Standaard 22 3 2 2 3 3 2" xfId="23937"/>
    <cellStyle name="Standaard 22 3 2 2 3 3 2 2" xfId="23938"/>
    <cellStyle name="Standaard 22 3 2 2 3 3 3" xfId="23939"/>
    <cellStyle name="Standaard 22 3 2 2 3 4" xfId="23940"/>
    <cellStyle name="Standaard 22 3 2 2 3 4 2" xfId="23941"/>
    <cellStyle name="Standaard 22 3 2 2 3 5" xfId="23942"/>
    <cellStyle name="Standaard 22 3 2 2 3 6" xfId="23943"/>
    <cellStyle name="Standaard 22 3 2 2 4" xfId="23944"/>
    <cellStyle name="Standaard 22 3 2 2 4 2" xfId="23945"/>
    <cellStyle name="Standaard 22 3 2 2 4 2 2" xfId="23946"/>
    <cellStyle name="Standaard 22 3 2 2 4 2 2 2" xfId="23947"/>
    <cellStyle name="Standaard 22 3 2 2 4 2 3" xfId="23948"/>
    <cellStyle name="Standaard 22 3 2 2 4 3" xfId="23949"/>
    <cellStyle name="Standaard 22 3 2 2 4 3 2" xfId="23950"/>
    <cellStyle name="Standaard 22 3 2 2 4 4" xfId="23951"/>
    <cellStyle name="Standaard 22 3 2 2 5" xfId="23952"/>
    <cellStyle name="Standaard 22 3 2 2 5 2" xfId="23953"/>
    <cellStyle name="Standaard 22 3 2 2 5 2 2" xfId="23954"/>
    <cellStyle name="Standaard 22 3 2 2 5 3" xfId="23955"/>
    <cellStyle name="Standaard 22 3 2 2 6" xfId="23956"/>
    <cellStyle name="Standaard 22 3 2 2 6 2" xfId="23957"/>
    <cellStyle name="Standaard 22 3 2 2 7" xfId="23958"/>
    <cellStyle name="Standaard 22 3 2 2 8" xfId="23959"/>
    <cellStyle name="Standaard 22 3 2 3" xfId="23960"/>
    <cellStyle name="Standaard 22 3 2 3 2" xfId="23961"/>
    <cellStyle name="Standaard 22 3 2 3 2 2" xfId="23962"/>
    <cellStyle name="Standaard 22 3 2 3 2 2 2" xfId="23963"/>
    <cellStyle name="Standaard 22 3 2 3 2 2 2 2" xfId="23964"/>
    <cellStyle name="Standaard 22 3 2 3 2 2 2 2 2" xfId="23965"/>
    <cellStyle name="Standaard 22 3 2 3 2 2 2 3" xfId="23966"/>
    <cellStyle name="Standaard 22 3 2 3 2 2 3" xfId="23967"/>
    <cellStyle name="Standaard 22 3 2 3 2 2 3 2" xfId="23968"/>
    <cellStyle name="Standaard 22 3 2 3 2 2 4" xfId="23969"/>
    <cellStyle name="Standaard 22 3 2 3 2 3" xfId="23970"/>
    <cellStyle name="Standaard 22 3 2 3 2 3 2" xfId="23971"/>
    <cellStyle name="Standaard 22 3 2 3 2 3 2 2" xfId="23972"/>
    <cellStyle name="Standaard 22 3 2 3 2 3 3" xfId="23973"/>
    <cellStyle name="Standaard 22 3 2 3 2 4" xfId="23974"/>
    <cellStyle name="Standaard 22 3 2 3 2 4 2" xfId="23975"/>
    <cellStyle name="Standaard 22 3 2 3 2 5" xfId="23976"/>
    <cellStyle name="Standaard 22 3 2 3 2 6" xfId="23977"/>
    <cellStyle name="Standaard 22 3 2 3 3" xfId="23978"/>
    <cellStyle name="Standaard 22 3 2 3 3 2" xfId="23979"/>
    <cellStyle name="Standaard 22 3 2 3 3 2 2" xfId="23980"/>
    <cellStyle name="Standaard 22 3 2 3 3 2 2 2" xfId="23981"/>
    <cellStyle name="Standaard 22 3 2 3 3 2 3" xfId="23982"/>
    <cellStyle name="Standaard 22 3 2 3 3 3" xfId="23983"/>
    <cellStyle name="Standaard 22 3 2 3 3 3 2" xfId="23984"/>
    <cellStyle name="Standaard 22 3 2 3 3 4" xfId="23985"/>
    <cellStyle name="Standaard 22 3 2 3 4" xfId="23986"/>
    <cellStyle name="Standaard 22 3 2 3 4 2" xfId="23987"/>
    <cellStyle name="Standaard 22 3 2 3 4 2 2" xfId="23988"/>
    <cellStyle name="Standaard 22 3 2 3 4 3" xfId="23989"/>
    <cellStyle name="Standaard 22 3 2 3 5" xfId="23990"/>
    <cellStyle name="Standaard 22 3 2 3 5 2" xfId="23991"/>
    <cellStyle name="Standaard 22 3 2 3 6" xfId="23992"/>
    <cellStyle name="Standaard 22 3 2 3 7" xfId="23993"/>
    <cellStyle name="Standaard 22 3 2 4" xfId="23994"/>
    <cellStyle name="Standaard 22 3 2 4 2" xfId="23995"/>
    <cellStyle name="Standaard 22 3 2 4 2 2" xfId="23996"/>
    <cellStyle name="Standaard 22 3 2 4 2 2 2" xfId="23997"/>
    <cellStyle name="Standaard 22 3 2 4 2 2 2 2" xfId="23998"/>
    <cellStyle name="Standaard 22 3 2 4 2 2 3" xfId="23999"/>
    <cellStyle name="Standaard 22 3 2 4 2 3" xfId="24000"/>
    <cellStyle name="Standaard 22 3 2 4 2 3 2" xfId="24001"/>
    <cellStyle name="Standaard 22 3 2 4 2 4" xfId="24002"/>
    <cellStyle name="Standaard 22 3 2 4 3" xfId="24003"/>
    <cellStyle name="Standaard 22 3 2 4 3 2" xfId="24004"/>
    <cellStyle name="Standaard 22 3 2 4 3 2 2" xfId="24005"/>
    <cellStyle name="Standaard 22 3 2 4 3 3" xfId="24006"/>
    <cellStyle name="Standaard 22 3 2 4 4" xfId="24007"/>
    <cellStyle name="Standaard 22 3 2 4 4 2" xfId="24008"/>
    <cellStyle name="Standaard 22 3 2 4 5" xfId="24009"/>
    <cellStyle name="Standaard 22 3 2 4 6" xfId="24010"/>
    <cellStyle name="Standaard 22 3 2 5" xfId="24011"/>
    <cellStyle name="Standaard 22 3 2 5 2" xfId="24012"/>
    <cellStyle name="Standaard 22 3 2 5 2 2" xfId="24013"/>
    <cellStyle name="Standaard 22 3 2 5 2 2 2" xfId="24014"/>
    <cellStyle name="Standaard 22 3 2 5 2 3" xfId="24015"/>
    <cellStyle name="Standaard 22 3 2 5 3" xfId="24016"/>
    <cellStyle name="Standaard 22 3 2 5 3 2" xfId="24017"/>
    <cellStyle name="Standaard 22 3 2 5 4" xfId="24018"/>
    <cellStyle name="Standaard 22 3 2 6" xfId="24019"/>
    <cellStyle name="Standaard 22 3 2 6 2" xfId="24020"/>
    <cellStyle name="Standaard 22 3 2 6 2 2" xfId="24021"/>
    <cellStyle name="Standaard 22 3 2 6 3" xfId="24022"/>
    <cellStyle name="Standaard 22 3 2 7" xfId="24023"/>
    <cellStyle name="Standaard 22 3 2 7 2" xfId="24024"/>
    <cellStyle name="Standaard 22 3 2 8" xfId="24025"/>
    <cellStyle name="Standaard 22 3 2 9" xfId="24026"/>
    <cellStyle name="Standaard 22 3 3" xfId="24027"/>
    <cellStyle name="Standaard 22 3 3 2" xfId="24028"/>
    <cellStyle name="Standaard 22 3 3 2 2" xfId="24029"/>
    <cellStyle name="Standaard 22 3 3 2 2 2" xfId="24030"/>
    <cellStyle name="Standaard 22 3 3 2 2 2 2" xfId="24031"/>
    <cellStyle name="Standaard 22 3 3 2 2 2 2 2" xfId="24032"/>
    <cellStyle name="Standaard 22 3 3 2 2 2 2 2 2" xfId="24033"/>
    <cellStyle name="Standaard 22 3 3 2 2 2 2 3" xfId="24034"/>
    <cellStyle name="Standaard 22 3 3 2 2 2 3" xfId="24035"/>
    <cellStyle name="Standaard 22 3 3 2 2 2 3 2" xfId="24036"/>
    <cellStyle name="Standaard 22 3 3 2 2 2 4" xfId="24037"/>
    <cellStyle name="Standaard 22 3 3 2 2 3" xfId="24038"/>
    <cellStyle name="Standaard 22 3 3 2 2 3 2" xfId="24039"/>
    <cellStyle name="Standaard 22 3 3 2 2 3 2 2" xfId="24040"/>
    <cellStyle name="Standaard 22 3 3 2 2 3 3" xfId="24041"/>
    <cellStyle name="Standaard 22 3 3 2 2 4" xfId="24042"/>
    <cellStyle name="Standaard 22 3 3 2 2 4 2" xfId="24043"/>
    <cellStyle name="Standaard 22 3 3 2 2 5" xfId="24044"/>
    <cellStyle name="Standaard 22 3 3 2 2 6" xfId="24045"/>
    <cellStyle name="Standaard 22 3 3 2 3" xfId="24046"/>
    <cellStyle name="Standaard 22 3 3 2 3 2" xfId="24047"/>
    <cellStyle name="Standaard 22 3 3 2 3 2 2" xfId="24048"/>
    <cellStyle name="Standaard 22 3 3 2 3 2 2 2" xfId="24049"/>
    <cellStyle name="Standaard 22 3 3 2 3 2 3" xfId="24050"/>
    <cellStyle name="Standaard 22 3 3 2 3 3" xfId="24051"/>
    <cellStyle name="Standaard 22 3 3 2 3 3 2" xfId="24052"/>
    <cellStyle name="Standaard 22 3 3 2 3 4" xfId="24053"/>
    <cellStyle name="Standaard 22 3 3 2 4" xfId="24054"/>
    <cellStyle name="Standaard 22 3 3 2 4 2" xfId="24055"/>
    <cellStyle name="Standaard 22 3 3 2 4 2 2" xfId="24056"/>
    <cellStyle name="Standaard 22 3 3 2 4 3" xfId="24057"/>
    <cellStyle name="Standaard 22 3 3 2 5" xfId="24058"/>
    <cellStyle name="Standaard 22 3 3 2 5 2" xfId="24059"/>
    <cellStyle name="Standaard 22 3 3 2 6" xfId="24060"/>
    <cellStyle name="Standaard 22 3 3 2 7" xfId="24061"/>
    <cellStyle name="Standaard 22 3 3 3" xfId="24062"/>
    <cellStyle name="Standaard 22 3 3 3 2" xfId="24063"/>
    <cellStyle name="Standaard 22 3 3 3 2 2" xfId="24064"/>
    <cellStyle name="Standaard 22 3 3 3 2 2 2" xfId="24065"/>
    <cellStyle name="Standaard 22 3 3 3 2 2 2 2" xfId="24066"/>
    <cellStyle name="Standaard 22 3 3 3 2 2 3" xfId="24067"/>
    <cellStyle name="Standaard 22 3 3 3 2 3" xfId="24068"/>
    <cellStyle name="Standaard 22 3 3 3 2 3 2" xfId="24069"/>
    <cellStyle name="Standaard 22 3 3 3 2 4" xfId="24070"/>
    <cellStyle name="Standaard 22 3 3 3 3" xfId="24071"/>
    <cellStyle name="Standaard 22 3 3 3 3 2" xfId="24072"/>
    <cellStyle name="Standaard 22 3 3 3 3 2 2" xfId="24073"/>
    <cellStyle name="Standaard 22 3 3 3 3 3" xfId="24074"/>
    <cellStyle name="Standaard 22 3 3 3 4" xfId="24075"/>
    <cellStyle name="Standaard 22 3 3 3 4 2" xfId="24076"/>
    <cellStyle name="Standaard 22 3 3 3 5" xfId="24077"/>
    <cellStyle name="Standaard 22 3 3 3 6" xfId="24078"/>
    <cellStyle name="Standaard 22 3 3 4" xfId="24079"/>
    <cellStyle name="Standaard 22 3 3 4 2" xfId="24080"/>
    <cellStyle name="Standaard 22 3 3 4 2 2" xfId="24081"/>
    <cellStyle name="Standaard 22 3 3 4 2 2 2" xfId="24082"/>
    <cellStyle name="Standaard 22 3 3 4 2 3" xfId="24083"/>
    <cellStyle name="Standaard 22 3 3 4 3" xfId="24084"/>
    <cellStyle name="Standaard 22 3 3 4 3 2" xfId="24085"/>
    <cellStyle name="Standaard 22 3 3 4 4" xfId="24086"/>
    <cellStyle name="Standaard 22 3 3 5" xfId="24087"/>
    <cellStyle name="Standaard 22 3 3 5 2" xfId="24088"/>
    <cellStyle name="Standaard 22 3 3 5 2 2" xfId="24089"/>
    <cellStyle name="Standaard 22 3 3 5 3" xfId="24090"/>
    <cellStyle name="Standaard 22 3 3 6" xfId="24091"/>
    <cellStyle name="Standaard 22 3 3 6 2" xfId="24092"/>
    <cellStyle name="Standaard 22 3 3 7" xfId="24093"/>
    <cellStyle name="Standaard 22 3 3 8" xfId="24094"/>
    <cellStyle name="Standaard 22 3 4" xfId="24095"/>
    <cellStyle name="Standaard 22 3 4 2" xfId="24096"/>
    <cellStyle name="Standaard 22 3 4 2 2" xfId="24097"/>
    <cellStyle name="Standaard 22 3 4 2 2 2" xfId="24098"/>
    <cellStyle name="Standaard 22 3 4 2 2 2 2" xfId="24099"/>
    <cellStyle name="Standaard 22 3 4 2 2 2 2 2" xfId="24100"/>
    <cellStyle name="Standaard 22 3 4 2 2 2 2 2 2" xfId="24101"/>
    <cellStyle name="Standaard 22 3 4 2 2 2 2 3" xfId="24102"/>
    <cellStyle name="Standaard 22 3 4 2 2 2 3" xfId="24103"/>
    <cellStyle name="Standaard 22 3 4 2 2 2 3 2" xfId="24104"/>
    <cellStyle name="Standaard 22 3 4 2 2 2 4" xfId="24105"/>
    <cellStyle name="Standaard 22 3 4 2 2 3" xfId="24106"/>
    <cellStyle name="Standaard 22 3 4 2 2 3 2" xfId="24107"/>
    <cellStyle name="Standaard 22 3 4 2 2 3 2 2" xfId="24108"/>
    <cellStyle name="Standaard 22 3 4 2 2 3 3" xfId="24109"/>
    <cellStyle name="Standaard 22 3 4 2 2 4" xfId="24110"/>
    <cellStyle name="Standaard 22 3 4 2 2 4 2" xfId="24111"/>
    <cellStyle name="Standaard 22 3 4 2 2 5" xfId="24112"/>
    <cellStyle name="Standaard 22 3 4 2 2 6" xfId="24113"/>
    <cellStyle name="Standaard 22 3 4 2 3" xfId="24114"/>
    <cellStyle name="Standaard 22 3 4 2 3 2" xfId="24115"/>
    <cellStyle name="Standaard 22 3 4 2 3 2 2" xfId="24116"/>
    <cellStyle name="Standaard 22 3 4 2 3 2 2 2" xfId="24117"/>
    <cellStyle name="Standaard 22 3 4 2 3 2 3" xfId="24118"/>
    <cellStyle name="Standaard 22 3 4 2 3 3" xfId="24119"/>
    <cellStyle name="Standaard 22 3 4 2 3 3 2" xfId="24120"/>
    <cellStyle name="Standaard 22 3 4 2 3 4" xfId="24121"/>
    <cellStyle name="Standaard 22 3 4 2 4" xfId="24122"/>
    <cellStyle name="Standaard 22 3 4 2 4 2" xfId="24123"/>
    <cellStyle name="Standaard 22 3 4 2 4 2 2" xfId="24124"/>
    <cellStyle name="Standaard 22 3 4 2 4 3" xfId="24125"/>
    <cellStyle name="Standaard 22 3 4 2 5" xfId="24126"/>
    <cellStyle name="Standaard 22 3 4 2 5 2" xfId="24127"/>
    <cellStyle name="Standaard 22 3 4 2 6" xfId="24128"/>
    <cellStyle name="Standaard 22 3 4 2 7" xfId="24129"/>
    <cellStyle name="Standaard 22 3 4 3" xfId="24130"/>
    <cellStyle name="Standaard 22 3 4 3 2" xfId="24131"/>
    <cellStyle name="Standaard 22 3 4 3 2 2" xfId="24132"/>
    <cellStyle name="Standaard 22 3 4 3 2 2 2" xfId="24133"/>
    <cellStyle name="Standaard 22 3 4 3 2 2 2 2" xfId="24134"/>
    <cellStyle name="Standaard 22 3 4 3 2 2 3" xfId="24135"/>
    <cellStyle name="Standaard 22 3 4 3 2 3" xfId="24136"/>
    <cellStyle name="Standaard 22 3 4 3 2 3 2" xfId="24137"/>
    <cellStyle name="Standaard 22 3 4 3 2 4" xfId="24138"/>
    <cellStyle name="Standaard 22 3 4 3 3" xfId="24139"/>
    <cellStyle name="Standaard 22 3 4 3 3 2" xfId="24140"/>
    <cellStyle name="Standaard 22 3 4 3 3 2 2" xfId="24141"/>
    <cellStyle name="Standaard 22 3 4 3 3 3" xfId="24142"/>
    <cellStyle name="Standaard 22 3 4 3 4" xfId="24143"/>
    <cellStyle name="Standaard 22 3 4 3 4 2" xfId="24144"/>
    <cellStyle name="Standaard 22 3 4 3 5" xfId="24145"/>
    <cellStyle name="Standaard 22 3 4 3 6" xfId="24146"/>
    <cellStyle name="Standaard 22 3 4 4" xfId="24147"/>
    <cellStyle name="Standaard 22 3 4 4 2" xfId="24148"/>
    <cellStyle name="Standaard 22 3 4 4 2 2" xfId="24149"/>
    <cellStyle name="Standaard 22 3 4 4 2 2 2" xfId="24150"/>
    <cellStyle name="Standaard 22 3 4 4 2 3" xfId="24151"/>
    <cellStyle name="Standaard 22 3 4 4 3" xfId="24152"/>
    <cellStyle name="Standaard 22 3 4 4 3 2" xfId="24153"/>
    <cellStyle name="Standaard 22 3 4 4 4" xfId="24154"/>
    <cellStyle name="Standaard 22 3 4 5" xfId="24155"/>
    <cellStyle name="Standaard 22 3 4 5 2" xfId="24156"/>
    <cellStyle name="Standaard 22 3 4 5 2 2" xfId="24157"/>
    <cellStyle name="Standaard 22 3 4 5 3" xfId="24158"/>
    <cellStyle name="Standaard 22 3 4 6" xfId="24159"/>
    <cellStyle name="Standaard 22 3 4 6 2" xfId="24160"/>
    <cellStyle name="Standaard 22 3 4 7" xfId="24161"/>
    <cellStyle name="Standaard 22 3 4 8" xfId="24162"/>
    <cellStyle name="Standaard 22 3 5" xfId="24163"/>
    <cellStyle name="Standaard 22 3 5 2" xfId="24164"/>
    <cellStyle name="Standaard 22 3 5 2 2" xfId="24165"/>
    <cellStyle name="Standaard 22 3 5 2 2 2" xfId="24166"/>
    <cellStyle name="Standaard 22 3 5 2 2 2 2" xfId="24167"/>
    <cellStyle name="Standaard 22 3 5 2 2 2 2 2" xfId="24168"/>
    <cellStyle name="Standaard 22 3 5 2 2 2 3" xfId="24169"/>
    <cellStyle name="Standaard 22 3 5 2 2 3" xfId="24170"/>
    <cellStyle name="Standaard 22 3 5 2 2 3 2" xfId="24171"/>
    <cellStyle name="Standaard 22 3 5 2 2 4" xfId="24172"/>
    <cellStyle name="Standaard 22 3 5 2 3" xfId="24173"/>
    <cellStyle name="Standaard 22 3 5 2 3 2" xfId="24174"/>
    <cellStyle name="Standaard 22 3 5 2 3 2 2" xfId="24175"/>
    <cellStyle name="Standaard 22 3 5 2 3 3" xfId="24176"/>
    <cellStyle name="Standaard 22 3 5 2 4" xfId="24177"/>
    <cellStyle name="Standaard 22 3 5 2 4 2" xfId="24178"/>
    <cellStyle name="Standaard 22 3 5 2 5" xfId="24179"/>
    <cellStyle name="Standaard 22 3 5 2 6" xfId="24180"/>
    <cellStyle name="Standaard 22 3 5 3" xfId="24181"/>
    <cellStyle name="Standaard 22 3 5 3 2" xfId="24182"/>
    <cellStyle name="Standaard 22 3 5 3 2 2" xfId="24183"/>
    <cellStyle name="Standaard 22 3 5 3 2 2 2" xfId="24184"/>
    <cellStyle name="Standaard 22 3 5 3 2 3" xfId="24185"/>
    <cellStyle name="Standaard 22 3 5 3 3" xfId="24186"/>
    <cellStyle name="Standaard 22 3 5 3 3 2" xfId="24187"/>
    <cellStyle name="Standaard 22 3 5 3 4" xfId="24188"/>
    <cellStyle name="Standaard 22 3 5 4" xfId="24189"/>
    <cellStyle name="Standaard 22 3 5 4 2" xfId="24190"/>
    <cellStyle name="Standaard 22 3 5 4 2 2" xfId="24191"/>
    <cellStyle name="Standaard 22 3 5 4 3" xfId="24192"/>
    <cellStyle name="Standaard 22 3 5 5" xfId="24193"/>
    <cellStyle name="Standaard 22 3 5 5 2" xfId="24194"/>
    <cellStyle name="Standaard 22 3 5 6" xfId="24195"/>
    <cellStyle name="Standaard 22 3 5 7" xfId="24196"/>
    <cellStyle name="Standaard 22 3 6" xfId="24197"/>
    <cellStyle name="Standaard 22 3 6 2" xfId="24198"/>
    <cellStyle name="Standaard 22 3 6 2 2" xfId="24199"/>
    <cellStyle name="Standaard 22 3 6 2 2 2" xfId="24200"/>
    <cellStyle name="Standaard 22 3 6 2 2 2 2" xfId="24201"/>
    <cellStyle name="Standaard 22 3 6 2 2 3" xfId="24202"/>
    <cellStyle name="Standaard 22 3 6 2 3" xfId="24203"/>
    <cellStyle name="Standaard 22 3 6 2 3 2" xfId="24204"/>
    <cellStyle name="Standaard 22 3 6 2 4" xfId="24205"/>
    <cellStyle name="Standaard 22 3 6 3" xfId="24206"/>
    <cellStyle name="Standaard 22 3 6 3 2" xfId="24207"/>
    <cellStyle name="Standaard 22 3 6 3 2 2" xfId="24208"/>
    <cellStyle name="Standaard 22 3 6 3 3" xfId="24209"/>
    <cellStyle name="Standaard 22 3 6 4" xfId="24210"/>
    <cellStyle name="Standaard 22 3 6 4 2" xfId="24211"/>
    <cellStyle name="Standaard 22 3 6 5" xfId="24212"/>
    <cellStyle name="Standaard 22 3 6 6" xfId="24213"/>
    <cellStyle name="Standaard 22 3 7" xfId="24214"/>
    <cellStyle name="Standaard 22 3 7 2" xfId="24215"/>
    <cellStyle name="Standaard 22 3 7 2 2" xfId="24216"/>
    <cellStyle name="Standaard 22 3 7 2 2 2" xfId="24217"/>
    <cellStyle name="Standaard 22 3 7 2 3" xfId="24218"/>
    <cellStyle name="Standaard 22 3 7 3" xfId="24219"/>
    <cellStyle name="Standaard 22 3 7 3 2" xfId="24220"/>
    <cellStyle name="Standaard 22 3 7 4" xfId="24221"/>
    <cellStyle name="Standaard 22 3 8" xfId="24222"/>
    <cellStyle name="Standaard 22 3 8 2" xfId="24223"/>
    <cellStyle name="Standaard 22 3 8 2 2" xfId="24224"/>
    <cellStyle name="Standaard 22 3 8 3" xfId="24225"/>
    <cellStyle name="Standaard 22 3 9" xfId="24226"/>
    <cellStyle name="Standaard 22 3 9 2" xfId="24227"/>
    <cellStyle name="Standaard 22 4" xfId="24228"/>
    <cellStyle name="Standaard 22 4 2" xfId="24229"/>
    <cellStyle name="Standaard 22 4 2 2" xfId="24230"/>
    <cellStyle name="Standaard 22 4 2 2 2" xfId="24231"/>
    <cellStyle name="Standaard 22 4 2 2 2 2" xfId="24232"/>
    <cellStyle name="Standaard 22 4 2 2 2 2 2" xfId="24233"/>
    <cellStyle name="Standaard 22 4 2 2 2 2 2 2" xfId="24234"/>
    <cellStyle name="Standaard 22 4 2 2 2 2 2 2 2" xfId="24235"/>
    <cellStyle name="Standaard 22 4 2 2 2 2 2 3" xfId="24236"/>
    <cellStyle name="Standaard 22 4 2 2 2 2 3" xfId="24237"/>
    <cellStyle name="Standaard 22 4 2 2 2 2 3 2" xfId="24238"/>
    <cellStyle name="Standaard 22 4 2 2 2 2 4" xfId="24239"/>
    <cellStyle name="Standaard 22 4 2 2 2 3" xfId="24240"/>
    <cellStyle name="Standaard 22 4 2 2 2 3 2" xfId="24241"/>
    <cellStyle name="Standaard 22 4 2 2 2 3 2 2" xfId="24242"/>
    <cellStyle name="Standaard 22 4 2 2 2 3 3" xfId="24243"/>
    <cellStyle name="Standaard 22 4 2 2 2 4" xfId="24244"/>
    <cellStyle name="Standaard 22 4 2 2 2 4 2" xfId="24245"/>
    <cellStyle name="Standaard 22 4 2 2 2 5" xfId="24246"/>
    <cellStyle name="Standaard 22 4 2 2 2 6" xfId="24247"/>
    <cellStyle name="Standaard 22 4 2 2 3" xfId="24248"/>
    <cellStyle name="Standaard 22 4 2 2 3 2" xfId="24249"/>
    <cellStyle name="Standaard 22 4 2 2 3 2 2" xfId="24250"/>
    <cellStyle name="Standaard 22 4 2 2 3 2 2 2" xfId="24251"/>
    <cellStyle name="Standaard 22 4 2 2 3 2 3" xfId="24252"/>
    <cellStyle name="Standaard 22 4 2 2 3 3" xfId="24253"/>
    <cellStyle name="Standaard 22 4 2 2 3 3 2" xfId="24254"/>
    <cellStyle name="Standaard 22 4 2 2 3 4" xfId="24255"/>
    <cellStyle name="Standaard 22 4 2 2 4" xfId="24256"/>
    <cellStyle name="Standaard 22 4 2 2 4 2" xfId="24257"/>
    <cellStyle name="Standaard 22 4 2 2 4 2 2" xfId="24258"/>
    <cellStyle name="Standaard 22 4 2 2 4 3" xfId="24259"/>
    <cellStyle name="Standaard 22 4 2 2 5" xfId="24260"/>
    <cellStyle name="Standaard 22 4 2 2 5 2" xfId="24261"/>
    <cellStyle name="Standaard 22 4 2 2 6" xfId="24262"/>
    <cellStyle name="Standaard 22 4 2 2 7" xfId="24263"/>
    <cellStyle name="Standaard 22 4 2 3" xfId="24264"/>
    <cellStyle name="Standaard 22 4 2 3 2" xfId="24265"/>
    <cellStyle name="Standaard 22 4 2 3 2 2" xfId="24266"/>
    <cellStyle name="Standaard 22 4 2 3 2 2 2" xfId="24267"/>
    <cellStyle name="Standaard 22 4 2 3 2 2 2 2" xfId="24268"/>
    <cellStyle name="Standaard 22 4 2 3 2 2 3" xfId="24269"/>
    <cellStyle name="Standaard 22 4 2 3 2 3" xfId="24270"/>
    <cellStyle name="Standaard 22 4 2 3 2 3 2" xfId="24271"/>
    <cellStyle name="Standaard 22 4 2 3 2 4" xfId="24272"/>
    <cellStyle name="Standaard 22 4 2 3 3" xfId="24273"/>
    <cellStyle name="Standaard 22 4 2 3 3 2" xfId="24274"/>
    <cellStyle name="Standaard 22 4 2 3 3 2 2" xfId="24275"/>
    <cellStyle name="Standaard 22 4 2 3 3 3" xfId="24276"/>
    <cellStyle name="Standaard 22 4 2 3 4" xfId="24277"/>
    <cellStyle name="Standaard 22 4 2 3 4 2" xfId="24278"/>
    <cellStyle name="Standaard 22 4 2 3 5" xfId="24279"/>
    <cellStyle name="Standaard 22 4 2 3 6" xfId="24280"/>
    <cellStyle name="Standaard 22 4 2 4" xfId="24281"/>
    <cellStyle name="Standaard 22 4 2 4 2" xfId="24282"/>
    <cellStyle name="Standaard 22 4 2 4 2 2" xfId="24283"/>
    <cellStyle name="Standaard 22 4 2 4 2 2 2" xfId="24284"/>
    <cellStyle name="Standaard 22 4 2 4 2 3" xfId="24285"/>
    <cellStyle name="Standaard 22 4 2 4 3" xfId="24286"/>
    <cellStyle name="Standaard 22 4 2 4 3 2" xfId="24287"/>
    <cellStyle name="Standaard 22 4 2 4 4" xfId="24288"/>
    <cellStyle name="Standaard 22 4 2 5" xfId="24289"/>
    <cellStyle name="Standaard 22 4 2 5 2" xfId="24290"/>
    <cellStyle name="Standaard 22 4 2 5 2 2" xfId="24291"/>
    <cellStyle name="Standaard 22 4 2 5 3" xfId="24292"/>
    <cellStyle name="Standaard 22 4 2 6" xfId="24293"/>
    <cellStyle name="Standaard 22 4 2 6 2" xfId="24294"/>
    <cellStyle name="Standaard 22 4 2 7" xfId="24295"/>
    <cellStyle name="Standaard 22 4 2 8" xfId="24296"/>
    <cellStyle name="Standaard 22 4 3" xfId="24297"/>
    <cellStyle name="Standaard 22 4 3 2" xfId="24298"/>
    <cellStyle name="Standaard 22 4 3 2 2" xfId="24299"/>
    <cellStyle name="Standaard 22 4 3 2 2 2" xfId="24300"/>
    <cellStyle name="Standaard 22 4 3 2 2 2 2" xfId="24301"/>
    <cellStyle name="Standaard 22 4 3 2 2 2 2 2" xfId="24302"/>
    <cellStyle name="Standaard 22 4 3 2 2 2 3" xfId="24303"/>
    <cellStyle name="Standaard 22 4 3 2 2 3" xfId="24304"/>
    <cellStyle name="Standaard 22 4 3 2 2 3 2" xfId="24305"/>
    <cellStyle name="Standaard 22 4 3 2 2 4" xfId="24306"/>
    <cellStyle name="Standaard 22 4 3 2 3" xfId="24307"/>
    <cellStyle name="Standaard 22 4 3 2 3 2" xfId="24308"/>
    <cellStyle name="Standaard 22 4 3 2 3 2 2" xfId="24309"/>
    <cellStyle name="Standaard 22 4 3 2 3 3" xfId="24310"/>
    <cellStyle name="Standaard 22 4 3 2 4" xfId="24311"/>
    <cellStyle name="Standaard 22 4 3 2 4 2" xfId="24312"/>
    <cellStyle name="Standaard 22 4 3 2 5" xfId="24313"/>
    <cellStyle name="Standaard 22 4 3 2 6" xfId="24314"/>
    <cellStyle name="Standaard 22 4 3 3" xfId="24315"/>
    <cellStyle name="Standaard 22 4 3 3 2" xfId="24316"/>
    <cellStyle name="Standaard 22 4 3 3 2 2" xfId="24317"/>
    <cellStyle name="Standaard 22 4 3 3 2 2 2" xfId="24318"/>
    <cellStyle name="Standaard 22 4 3 3 2 3" xfId="24319"/>
    <cellStyle name="Standaard 22 4 3 3 3" xfId="24320"/>
    <cellStyle name="Standaard 22 4 3 3 3 2" xfId="24321"/>
    <cellStyle name="Standaard 22 4 3 3 4" xfId="24322"/>
    <cellStyle name="Standaard 22 4 3 4" xfId="24323"/>
    <cellStyle name="Standaard 22 4 3 4 2" xfId="24324"/>
    <cellStyle name="Standaard 22 4 3 4 2 2" xfId="24325"/>
    <cellStyle name="Standaard 22 4 3 4 3" xfId="24326"/>
    <cellStyle name="Standaard 22 4 3 5" xfId="24327"/>
    <cellStyle name="Standaard 22 4 3 5 2" xfId="24328"/>
    <cellStyle name="Standaard 22 4 3 6" xfId="24329"/>
    <cellStyle name="Standaard 22 4 3 7" xfId="24330"/>
    <cellStyle name="Standaard 22 4 4" xfId="24331"/>
    <cellStyle name="Standaard 22 4 4 2" xfId="24332"/>
    <cellStyle name="Standaard 22 4 4 2 2" xfId="24333"/>
    <cellStyle name="Standaard 22 4 4 2 2 2" xfId="24334"/>
    <cellStyle name="Standaard 22 4 4 2 2 2 2" xfId="24335"/>
    <cellStyle name="Standaard 22 4 4 2 2 3" xfId="24336"/>
    <cellStyle name="Standaard 22 4 4 2 3" xfId="24337"/>
    <cellStyle name="Standaard 22 4 4 2 3 2" xfId="24338"/>
    <cellStyle name="Standaard 22 4 4 2 4" xfId="24339"/>
    <cellStyle name="Standaard 22 4 4 3" xfId="24340"/>
    <cellStyle name="Standaard 22 4 4 3 2" xfId="24341"/>
    <cellStyle name="Standaard 22 4 4 3 2 2" xfId="24342"/>
    <cellStyle name="Standaard 22 4 4 3 3" xfId="24343"/>
    <cellStyle name="Standaard 22 4 4 4" xfId="24344"/>
    <cellStyle name="Standaard 22 4 4 4 2" xfId="24345"/>
    <cellStyle name="Standaard 22 4 4 5" xfId="24346"/>
    <cellStyle name="Standaard 22 4 4 6" xfId="24347"/>
    <cellStyle name="Standaard 22 4 5" xfId="24348"/>
    <cellStyle name="Standaard 22 4 5 2" xfId="24349"/>
    <cellStyle name="Standaard 22 4 5 2 2" xfId="24350"/>
    <cellStyle name="Standaard 22 4 5 2 2 2" xfId="24351"/>
    <cellStyle name="Standaard 22 4 5 2 3" xfId="24352"/>
    <cellStyle name="Standaard 22 4 5 3" xfId="24353"/>
    <cellStyle name="Standaard 22 4 5 3 2" xfId="24354"/>
    <cellStyle name="Standaard 22 4 5 4" xfId="24355"/>
    <cellStyle name="Standaard 22 4 6" xfId="24356"/>
    <cellStyle name="Standaard 22 4 6 2" xfId="24357"/>
    <cellStyle name="Standaard 22 4 6 2 2" xfId="24358"/>
    <cellStyle name="Standaard 22 4 6 3" xfId="24359"/>
    <cellStyle name="Standaard 22 4 7" xfId="24360"/>
    <cellStyle name="Standaard 22 4 7 2" xfId="24361"/>
    <cellStyle name="Standaard 22 4 8" xfId="24362"/>
    <cellStyle name="Standaard 22 4 9" xfId="24363"/>
    <cellStyle name="Standaard 22 5" xfId="24364"/>
    <cellStyle name="Standaard 22 5 2" xfId="24365"/>
    <cellStyle name="Standaard 22 5 2 2" xfId="24366"/>
    <cellStyle name="Standaard 22 5 2 2 2" xfId="24367"/>
    <cellStyle name="Standaard 22 5 2 2 2 2" xfId="24368"/>
    <cellStyle name="Standaard 22 5 2 2 2 2 2" xfId="24369"/>
    <cellStyle name="Standaard 22 5 2 2 2 2 2 2" xfId="24370"/>
    <cellStyle name="Standaard 22 5 2 2 2 2 3" xfId="24371"/>
    <cellStyle name="Standaard 22 5 2 2 2 3" xfId="24372"/>
    <cellStyle name="Standaard 22 5 2 2 2 3 2" xfId="24373"/>
    <cellStyle name="Standaard 22 5 2 2 2 4" xfId="24374"/>
    <cellStyle name="Standaard 22 5 2 2 3" xfId="24375"/>
    <cellStyle name="Standaard 22 5 2 2 3 2" xfId="24376"/>
    <cellStyle name="Standaard 22 5 2 2 3 2 2" xfId="24377"/>
    <cellStyle name="Standaard 22 5 2 2 3 3" xfId="24378"/>
    <cellStyle name="Standaard 22 5 2 2 4" xfId="24379"/>
    <cellStyle name="Standaard 22 5 2 2 4 2" xfId="24380"/>
    <cellStyle name="Standaard 22 5 2 2 5" xfId="24381"/>
    <cellStyle name="Standaard 22 5 2 2 6" xfId="24382"/>
    <cellStyle name="Standaard 22 5 2 3" xfId="24383"/>
    <cellStyle name="Standaard 22 5 2 3 2" xfId="24384"/>
    <cellStyle name="Standaard 22 5 2 3 2 2" xfId="24385"/>
    <cellStyle name="Standaard 22 5 2 3 2 2 2" xfId="24386"/>
    <cellStyle name="Standaard 22 5 2 3 2 3" xfId="24387"/>
    <cellStyle name="Standaard 22 5 2 3 3" xfId="24388"/>
    <cellStyle name="Standaard 22 5 2 3 3 2" xfId="24389"/>
    <cellStyle name="Standaard 22 5 2 3 4" xfId="24390"/>
    <cellStyle name="Standaard 22 5 2 4" xfId="24391"/>
    <cellStyle name="Standaard 22 5 2 4 2" xfId="24392"/>
    <cellStyle name="Standaard 22 5 2 4 2 2" xfId="24393"/>
    <cellStyle name="Standaard 22 5 2 4 3" xfId="24394"/>
    <cellStyle name="Standaard 22 5 2 5" xfId="24395"/>
    <cellStyle name="Standaard 22 5 2 5 2" xfId="24396"/>
    <cellStyle name="Standaard 22 5 2 6" xfId="24397"/>
    <cellStyle name="Standaard 22 5 2 7" xfId="24398"/>
    <cellStyle name="Standaard 22 5 3" xfId="24399"/>
    <cellStyle name="Standaard 22 5 3 2" xfId="24400"/>
    <cellStyle name="Standaard 22 5 3 2 2" xfId="24401"/>
    <cellStyle name="Standaard 22 5 3 2 2 2" xfId="24402"/>
    <cellStyle name="Standaard 22 5 3 2 2 2 2" xfId="24403"/>
    <cellStyle name="Standaard 22 5 3 2 2 3" xfId="24404"/>
    <cellStyle name="Standaard 22 5 3 2 3" xfId="24405"/>
    <cellStyle name="Standaard 22 5 3 2 3 2" xfId="24406"/>
    <cellStyle name="Standaard 22 5 3 2 4" xfId="24407"/>
    <cellStyle name="Standaard 22 5 3 3" xfId="24408"/>
    <cellStyle name="Standaard 22 5 3 3 2" xfId="24409"/>
    <cellStyle name="Standaard 22 5 3 3 2 2" xfId="24410"/>
    <cellStyle name="Standaard 22 5 3 3 3" xfId="24411"/>
    <cellStyle name="Standaard 22 5 3 4" xfId="24412"/>
    <cellStyle name="Standaard 22 5 3 4 2" xfId="24413"/>
    <cellStyle name="Standaard 22 5 3 5" xfId="24414"/>
    <cellStyle name="Standaard 22 5 3 6" xfId="24415"/>
    <cellStyle name="Standaard 22 5 4" xfId="24416"/>
    <cellStyle name="Standaard 22 5 4 2" xfId="24417"/>
    <cellStyle name="Standaard 22 5 4 2 2" xfId="24418"/>
    <cellStyle name="Standaard 22 5 4 2 2 2" xfId="24419"/>
    <cellStyle name="Standaard 22 5 4 2 3" xfId="24420"/>
    <cellStyle name="Standaard 22 5 4 3" xfId="24421"/>
    <cellStyle name="Standaard 22 5 4 3 2" xfId="24422"/>
    <cellStyle name="Standaard 22 5 4 4" xfId="24423"/>
    <cellStyle name="Standaard 22 5 5" xfId="24424"/>
    <cellStyle name="Standaard 22 5 5 2" xfId="24425"/>
    <cellStyle name="Standaard 22 5 5 2 2" xfId="24426"/>
    <cellStyle name="Standaard 22 5 5 3" xfId="24427"/>
    <cellStyle name="Standaard 22 5 6" xfId="24428"/>
    <cellStyle name="Standaard 22 5 6 2" xfId="24429"/>
    <cellStyle name="Standaard 22 5 7" xfId="24430"/>
    <cellStyle name="Standaard 22 5 8" xfId="24431"/>
    <cellStyle name="Standaard 22 6" xfId="24432"/>
    <cellStyle name="Standaard 22 6 2" xfId="24433"/>
    <cellStyle name="Standaard 22 6 2 2" xfId="24434"/>
    <cellStyle name="Standaard 22 6 2 2 2" xfId="24435"/>
    <cellStyle name="Standaard 22 6 2 2 2 2" xfId="24436"/>
    <cellStyle name="Standaard 22 6 2 2 2 2 2" xfId="24437"/>
    <cellStyle name="Standaard 22 6 2 2 2 2 2 2" xfId="24438"/>
    <cellStyle name="Standaard 22 6 2 2 2 2 3" xfId="24439"/>
    <cellStyle name="Standaard 22 6 2 2 2 3" xfId="24440"/>
    <cellStyle name="Standaard 22 6 2 2 2 3 2" xfId="24441"/>
    <cellStyle name="Standaard 22 6 2 2 2 4" xfId="24442"/>
    <cellStyle name="Standaard 22 6 2 2 3" xfId="24443"/>
    <cellStyle name="Standaard 22 6 2 2 3 2" xfId="24444"/>
    <cellStyle name="Standaard 22 6 2 2 3 2 2" xfId="24445"/>
    <cellStyle name="Standaard 22 6 2 2 3 3" xfId="24446"/>
    <cellStyle name="Standaard 22 6 2 2 4" xfId="24447"/>
    <cellStyle name="Standaard 22 6 2 2 4 2" xfId="24448"/>
    <cellStyle name="Standaard 22 6 2 2 5" xfId="24449"/>
    <cellStyle name="Standaard 22 6 2 2 6" xfId="24450"/>
    <cellStyle name="Standaard 22 6 2 3" xfId="24451"/>
    <cellStyle name="Standaard 22 6 2 3 2" xfId="24452"/>
    <cellStyle name="Standaard 22 6 2 3 2 2" xfId="24453"/>
    <cellStyle name="Standaard 22 6 2 3 2 2 2" xfId="24454"/>
    <cellStyle name="Standaard 22 6 2 3 2 3" xfId="24455"/>
    <cellStyle name="Standaard 22 6 2 3 3" xfId="24456"/>
    <cellStyle name="Standaard 22 6 2 3 3 2" xfId="24457"/>
    <cellStyle name="Standaard 22 6 2 3 4" xfId="24458"/>
    <cellStyle name="Standaard 22 6 2 4" xfId="24459"/>
    <cellStyle name="Standaard 22 6 2 4 2" xfId="24460"/>
    <cellStyle name="Standaard 22 6 2 4 2 2" xfId="24461"/>
    <cellStyle name="Standaard 22 6 2 4 3" xfId="24462"/>
    <cellStyle name="Standaard 22 6 2 5" xfId="24463"/>
    <cellStyle name="Standaard 22 6 2 5 2" xfId="24464"/>
    <cellStyle name="Standaard 22 6 2 6" xfId="24465"/>
    <cellStyle name="Standaard 22 6 2 7" xfId="24466"/>
    <cellStyle name="Standaard 22 6 3" xfId="24467"/>
    <cellStyle name="Standaard 22 6 3 2" xfId="24468"/>
    <cellStyle name="Standaard 22 6 3 2 2" xfId="24469"/>
    <cellStyle name="Standaard 22 6 3 2 2 2" xfId="24470"/>
    <cellStyle name="Standaard 22 6 3 2 2 2 2" xfId="24471"/>
    <cellStyle name="Standaard 22 6 3 2 2 3" xfId="24472"/>
    <cellStyle name="Standaard 22 6 3 2 3" xfId="24473"/>
    <cellStyle name="Standaard 22 6 3 2 3 2" xfId="24474"/>
    <cellStyle name="Standaard 22 6 3 2 4" xfId="24475"/>
    <cellStyle name="Standaard 22 6 3 3" xfId="24476"/>
    <cellStyle name="Standaard 22 6 3 3 2" xfId="24477"/>
    <cellStyle name="Standaard 22 6 3 3 2 2" xfId="24478"/>
    <cellStyle name="Standaard 22 6 3 3 3" xfId="24479"/>
    <cellStyle name="Standaard 22 6 3 4" xfId="24480"/>
    <cellStyle name="Standaard 22 6 3 4 2" xfId="24481"/>
    <cellStyle name="Standaard 22 6 3 5" xfId="24482"/>
    <cellStyle name="Standaard 22 6 3 6" xfId="24483"/>
    <cellStyle name="Standaard 22 6 4" xfId="24484"/>
    <cellStyle name="Standaard 22 6 4 2" xfId="24485"/>
    <cellStyle name="Standaard 22 6 4 2 2" xfId="24486"/>
    <cellStyle name="Standaard 22 6 4 2 2 2" xfId="24487"/>
    <cellStyle name="Standaard 22 6 4 2 3" xfId="24488"/>
    <cellStyle name="Standaard 22 6 4 3" xfId="24489"/>
    <cellStyle name="Standaard 22 6 4 3 2" xfId="24490"/>
    <cellStyle name="Standaard 22 6 4 4" xfId="24491"/>
    <cellStyle name="Standaard 22 6 5" xfId="24492"/>
    <cellStyle name="Standaard 22 6 5 2" xfId="24493"/>
    <cellStyle name="Standaard 22 6 5 2 2" xfId="24494"/>
    <cellStyle name="Standaard 22 6 5 3" xfId="24495"/>
    <cellStyle name="Standaard 22 6 6" xfId="24496"/>
    <cellStyle name="Standaard 22 6 6 2" xfId="24497"/>
    <cellStyle name="Standaard 22 6 7" xfId="24498"/>
    <cellStyle name="Standaard 22 6 8" xfId="24499"/>
    <cellStyle name="Standaard 22 7" xfId="24500"/>
    <cellStyle name="Standaard 22 7 2" xfId="24501"/>
    <cellStyle name="Standaard 22 7 2 2" xfId="24502"/>
    <cellStyle name="Standaard 22 7 2 2 2" xfId="24503"/>
    <cellStyle name="Standaard 22 7 2 2 2 2" xfId="24504"/>
    <cellStyle name="Standaard 22 7 2 2 2 2 2" xfId="24505"/>
    <cellStyle name="Standaard 22 7 2 2 2 3" xfId="24506"/>
    <cellStyle name="Standaard 22 7 2 2 3" xfId="24507"/>
    <cellStyle name="Standaard 22 7 2 2 3 2" xfId="24508"/>
    <cellStyle name="Standaard 22 7 2 2 4" xfId="24509"/>
    <cellStyle name="Standaard 22 7 2 3" xfId="24510"/>
    <cellStyle name="Standaard 22 7 2 3 2" xfId="24511"/>
    <cellStyle name="Standaard 22 7 2 3 2 2" xfId="24512"/>
    <cellStyle name="Standaard 22 7 2 3 3" xfId="24513"/>
    <cellStyle name="Standaard 22 7 2 4" xfId="24514"/>
    <cellStyle name="Standaard 22 7 2 4 2" xfId="24515"/>
    <cellStyle name="Standaard 22 7 2 5" xfId="24516"/>
    <cellStyle name="Standaard 22 7 2 6" xfId="24517"/>
    <cellStyle name="Standaard 22 7 3" xfId="24518"/>
    <cellStyle name="Standaard 22 7 3 2" xfId="24519"/>
    <cellStyle name="Standaard 22 7 3 2 2" xfId="24520"/>
    <cellStyle name="Standaard 22 7 3 2 2 2" xfId="24521"/>
    <cellStyle name="Standaard 22 7 3 2 3" xfId="24522"/>
    <cellStyle name="Standaard 22 7 3 3" xfId="24523"/>
    <cellStyle name="Standaard 22 7 3 3 2" xfId="24524"/>
    <cellStyle name="Standaard 22 7 3 4" xfId="24525"/>
    <cellStyle name="Standaard 22 7 4" xfId="24526"/>
    <cellStyle name="Standaard 22 7 4 2" xfId="24527"/>
    <cellStyle name="Standaard 22 7 4 2 2" xfId="24528"/>
    <cellStyle name="Standaard 22 7 4 3" xfId="24529"/>
    <cellStyle name="Standaard 22 7 5" xfId="24530"/>
    <cellStyle name="Standaard 22 7 5 2" xfId="24531"/>
    <cellStyle name="Standaard 22 7 6" xfId="24532"/>
    <cellStyle name="Standaard 22 7 7" xfId="24533"/>
    <cellStyle name="Standaard 22 8" xfId="24534"/>
    <cellStyle name="Standaard 22 8 2" xfId="24535"/>
    <cellStyle name="Standaard 22 8 2 2" xfId="24536"/>
    <cellStyle name="Standaard 22 8 2 2 2" xfId="24537"/>
    <cellStyle name="Standaard 22 8 2 2 2 2" xfId="24538"/>
    <cellStyle name="Standaard 22 8 2 2 3" xfId="24539"/>
    <cellStyle name="Standaard 22 8 2 3" xfId="24540"/>
    <cellStyle name="Standaard 22 8 2 3 2" xfId="24541"/>
    <cellStyle name="Standaard 22 8 2 4" xfId="24542"/>
    <cellStyle name="Standaard 22 8 3" xfId="24543"/>
    <cellStyle name="Standaard 22 8 3 2" xfId="24544"/>
    <cellStyle name="Standaard 22 8 3 2 2" xfId="24545"/>
    <cellStyle name="Standaard 22 8 3 3" xfId="24546"/>
    <cellStyle name="Standaard 22 8 4" xfId="24547"/>
    <cellStyle name="Standaard 22 8 4 2" xfId="24548"/>
    <cellStyle name="Standaard 22 8 5" xfId="24549"/>
    <cellStyle name="Standaard 22 8 6" xfId="24550"/>
    <cellStyle name="Standaard 22 9" xfId="24551"/>
    <cellStyle name="Standaard 22 9 2" xfId="24552"/>
    <cellStyle name="Standaard 22 9 2 2" xfId="24553"/>
    <cellStyle name="Standaard 22 9 2 2 2" xfId="24554"/>
    <cellStyle name="Standaard 22 9 2 3" xfId="24555"/>
    <cellStyle name="Standaard 22 9 3" xfId="24556"/>
    <cellStyle name="Standaard 22 9 3 2" xfId="24557"/>
    <cellStyle name="Standaard 22 9 4" xfId="24558"/>
    <cellStyle name="Standaard 23" xfId="24559"/>
    <cellStyle name="Standaard 23 10" xfId="24560"/>
    <cellStyle name="Standaard 23 10 2" xfId="24561"/>
    <cellStyle name="Standaard 23 10 2 2" xfId="24562"/>
    <cellStyle name="Standaard 23 10 3" xfId="24563"/>
    <cellStyle name="Standaard 23 11" xfId="24564"/>
    <cellStyle name="Standaard 23 11 2" xfId="24565"/>
    <cellStyle name="Standaard 23 12" xfId="24566"/>
    <cellStyle name="Standaard 23 13" xfId="24567"/>
    <cellStyle name="Standaard 23 2" xfId="24568"/>
    <cellStyle name="Standaard 23 2 10" xfId="24569"/>
    <cellStyle name="Standaard 23 2 10 2" xfId="24570"/>
    <cellStyle name="Standaard 23 2 11" xfId="24571"/>
    <cellStyle name="Standaard 23 2 12" xfId="24572"/>
    <cellStyle name="Standaard 23 2 2" xfId="24573"/>
    <cellStyle name="Standaard 23 2 2 10" xfId="24574"/>
    <cellStyle name="Standaard 23 2 2 11" xfId="24575"/>
    <cellStyle name="Standaard 23 2 2 2" xfId="24576"/>
    <cellStyle name="Standaard 23 2 2 2 2" xfId="24577"/>
    <cellStyle name="Standaard 23 2 2 2 2 2" xfId="24578"/>
    <cellStyle name="Standaard 23 2 2 2 2 2 2" xfId="24579"/>
    <cellStyle name="Standaard 23 2 2 2 2 2 2 2" xfId="24580"/>
    <cellStyle name="Standaard 23 2 2 2 2 2 2 2 2" xfId="24581"/>
    <cellStyle name="Standaard 23 2 2 2 2 2 2 2 2 2" xfId="24582"/>
    <cellStyle name="Standaard 23 2 2 2 2 2 2 2 2 2 2" xfId="24583"/>
    <cellStyle name="Standaard 23 2 2 2 2 2 2 2 2 3" xfId="24584"/>
    <cellStyle name="Standaard 23 2 2 2 2 2 2 2 3" xfId="24585"/>
    <cellStyle name="Standaard 23 2 2 2 2 2 2 2 3 2" xfId="24586"/>
    <cellStyle name="Standaard 23 2 2 2 2 2 2 2 4" xfId="24587"/>
    <cellStyle name="Standaard 23 2 2 2 2 2 2 3" xfId="24588"/>
    <cellStyle name="Standaard 23 2 2 2 2 2 2 3 2" xfId="24589"/>
    <cellStyle name="Standaard 23 2 2 2 2 2 2 3 2 2" xfId="24590"/>
    <cellStyle name="Standaard 23 2 2 2 2 2 2 3 3" xfId="24591"/>
    <cellStyle name="Standaard 23 2 2 2 2 2 2 4" xfId="24592"/>
    <cellStyle name="Standaard 23 2 2 2 2 2 2 4 2" xfId="24593"/>
    <cellStyle name="Standaard 23 2 2 2 2 2 2 5" xfId="24594"/>
    <cellStyle name="Standaard 23 2 2 2 2 2 2 6" xfId="24595"/>
    <cellStyle name="Standaard 23 2 2 2 2 2 3" xfId="24596"/>
    <cellStyle name="Standaard 23 2 2 2 2 2 3 2" xfId="24597"/>
    <cellStyle name="Standaard 23 2 2 2 2 2 3 2 2" xfId="24598"/>
    <cellStyle name="Standaard 23 2 2 2 2 2 3 2 2 2" xfId="24599"/>
    <cellStyle name="Standaard 23 2 2 2 2 2 3 2 3" xfId="24600"/>
    <cellStyle name="Standaard 23 2 2 2 2 2 3 3" xfId="24601"/>
    <cellStyle name="Standaard 23 2 2 2 2 2 3 3 2" xfId="24602"/>
    <cellStyle name="Standaard 23 2 2 2 2 2 3 4" xfId="24603"/>
    <cellStyle name="Standaard 23 2 2 2 2 2 4" xfId="24604"/>
    <cellStyle name="Standaard 23 2 2 2 2 2 4 2" xfId="24605"/>
    <cellStyle name="Standaard 23 2 2 2 2 2 4 2 2" xfId="24606"/>
    <cellStyle name="Standaard 23 2 2 2 2 2 4 3" xfId="24607"/>
    <cellStyle name="Standaard 23 2 2 2 2 2 5" xfId="24608"/>
    <cellStyle name="Standaard 23 2 2 2 2 2 5 2" xfId="24609"/>
    <cellStyle name="Standaard 23 2 2 2 2 2 6" xfId="24610"/>
    <cellStyle name="Standaard 23 2 2 2 2 2 7" xfId="24611"/>
    <cellStyle name="Standaard 23 2 2 2 2 3" xfId="24612"/>
    <cellStyle name="Standaard 23 2 2 2 2 3 2" xfId="24613"/>
    <cellStyle name="Standaard 23 2 2 2 2 3 2 2" xfId="24614"/>
    <cellStyle name="Standaard 23 2 2 2 2 3 2 2 2" xfId="24615"/>
    <cellStyle name="Standaard 23 2 2 2 2 3 2 2 2 2" xfId="24616"/>
    <cellStyle name="Standaard 23 2 2 2 2 3 2 2 3" xfId="24617"/>
    <cellStyle name="Standaard 23 2 2 2 2 3 2 3" xfId="24618"/>
    <cellStyle name="Standaard 23 2 2 2 2 3 2 3 2" xfId="24619"/>
    <cellStyle name="Standaard 23 2 2 2 2 3 2 4" xfId="24620"/>
    <cellStyle name="Standaard 23 2 2 2 2 3 3" xfId="24621"/>
    <cellStyle name="Standaard 23 2 2 2 2 3 3 2" xfId="24622"/>
    <cellStyle name="Standaard 23 2 2 2 2 3 3 2 2" xfId="24623"/>
    <cellStyle name="Standaard 23 2 2 2 2 3 3 3" xfId="24624"/>
    <cellStyle name="Standaard 23 2 2 2 2 3 4" xfId="24625"/>
    <cellStyle name="Standaard 23 2 2 2 2 3 4 2" xfId="24626"/>
    <cellStyle name="Standaard 23 2 2 2 2 3 5" xfId="24627"/>
    <cellStyle name="Standaard 23 2 2 2 2 3 6" xfId="24628"/>
    <cellStyle name="Standaard 23 2 2 2 2 4" xfId="24629"/>
    <cellStyle name="Standaard 23 2 2 2 2 4 2" xfId="24630"/>
    <cellStyle name="Standaard 23 2 2 2 2 4 2 2" xfId="24631"/>
    <cellStyle name="Standaard 23 2 2 2 2 4 2 2 2" xfId="24632"/>
    <cellStyle name="Standaard 23 2 2 2 2 4 2 3" xfId="24633"/>
    <cellStyle name="Standaard 23 2 2 2 2 4 3" xfId="24634"/>
    <cellStyle name="Standaard 23 2 2 2 2 4 3 2" xfId="24635"/>
    <cellStyle name="Standaard 23 2 2 2 2 4 4" xfId="24636"/>
    <cellStyle name="Standaard 23 2 2 2 2 5" xfId="24637"/>
    <cellStyle name="Standaard 23 2 2 2 2 5 2" xfId="24638"/>
    <cellStyle name="Standaard 23 2 2 2 2 5 2 2" xfId="24639"/>
    <cellStyle name="Standaard 23 2 2 2 2 5 3" xfId="24640"/>
    <cellStyle name="Standaard 23 2 2 2 2 6" xfId="24641"/>
    <cellStyle name="Standaard 23 2 2 2 2 6 2" xfId="24642"/>
    <cellStyle name="Standaard 23 2 2 2 2 7" xfId="24643"/>
    <cellStyle name="Standaard 23 2 2 2 2 8" xfId="24644"/>
    <cellStyle name="Standaard 23 2 2 2 3" xfId="24645"/>
    <cellStyle name="Standaard 23 2 2 2 3 2" xfId="24646"/>
    <cellStyle name="Standaard 23 2 2 2 3 2 2" xfId="24647"/>
    <cellStyle name="Standaard 23 2 2 2 3 2 2 2" xfId="24648"/>
    <cellStyle name="Standaard 23 2 2 2 3 2 2 2 2" xfId="24649"/>
    <cellStyle name="Standaard 23 2 2 2 3 2 2 2 2 2" xfId="24650"/>
    <cellStyle name="Standaard 23 2 2 2 3 2 2 2 3" xfId="24651"/>
    <cellStyle name="Standaard 23 2 2 2 3 2 2 3" xfId="24652"/>
    <cellStyle name="Standaard 23 2 2 2 3 2 2 3 2" xfId="24653"/>
    <cellStyle name="Standaard 23 2 2 2 3 2 2 4" xfId="24654"/>
    <cellStyle name="Standaard 23 2 2 2 3 2 3" xfId="24655"/>
    <cellStyle name="Standaard 23 2 2 2 3 2 3 2" xfId="24656"/>
    <cellStyle name="Standaard 23 2 2 2 3 2 3 2 2" xfId="24657"/>
    <cellStyle name="Standaard 23 2 2 2 3 2 3 3" xfId="24658"/>
    <cellStyle name="Standaard 23 2 2 2 3 2 4" xfId="24659"/>
    <cellStyle name="Standaard 23 2 2 2 3 2 4 2" xfId="24660"/>
    <cellStyle name="Standaard 23 2 2 2 3 2 5" xfId="24661"/>
    <cellStyle name="Standaard 23 2 2 2 3 2 6" xfId="24662"/>
    <cellStyle name="Standaard 23 2 2 2 3 3" xfId="24663"/>
    <cellStyle name="Standaard 23 2 2 2 3 3 2" xfId="24664"/>
    <cellStyle name="Standaard 23 2 2 2 3 3 2 2" xfId="24665"/>
    <cellStyle name="Standaard 23 2 2 2 3 3 2 2 2" xfId="24666"/>
    <cellStyle name="Standaard 23 2 2 2 3 3 2 3" xfId="24667"/>
    <cellStyle name="Standaard 23 2 2 2 3 3 3" xfId="24668"/>
    <cellStyle name="Standaard 23 2 2 2 3 3 3 2" xfId="24669"/>
    <cellStyle name="Standaard 23 2 2 2 3 3 4" xfId="24670"/>
    <cellStyle name="Standaard 23 2 2 2 3 4" xfId="24671"/>
    <cellStyle name="Standaard 23 2 2 2 3 4 2" xfId="24672"/>
    <cellStyle name="Standaard 23 2 2 2 3 4 2 2" xfId="24673"/>
    <cellStyle name="Standaard 23 2 2 2 3 4 3" xfId="24674"/>
    <cellStyle name="Standaard 23 2 2 2 3 5" xfId="24675"/>
    <cellStyle name="Standaard 23 2 2 2 3 5 2" xfId="24676"/>
    <cellStyle name="Standaard 23 2 2 2 3 6" xfId="24677"/>
    <cellStyle name="Standaard 23 2 2 2 3 7" xfId="24678"/>
    <cellStyle name="Standaard 23 2 2 2 4" xfId="24679"/>
    <cellStyle name="Standaard 23 2 2 2 4 2" xfId="24680"/>
    <cellStyle name="Standaard 23 2 2 2 4 2 2" xfId="24681"/>
    <cellStyle name="Standaard 23 2 2 2 4 2 2 2" xfId="24682"/>
    <cellStyle name="Standaard 23 2 2 2 4 2 2 2 2" xfId="24683"/>
    <cellStyle name="Standaard 23 2 2 2 4 2 2 3" xfId="24684"/>
    <cellStyle name="Standaard 23 2 2 2 4 2 3" xfId="24685"/>
    <cellStyle name="Standaard 23 2 2 2 4 2 3 2" xfId="24686"/>
    <cellStyle name="Standaard 23 2 2 2 4 2 4" xfId="24687"/>
    <cellStyle name="Standaard 23 2 2 2 4 3" xfId="24688"/>
    <cellStyle name="Standaard 23 2 2 2 4 3 2" xfId="24689"/>
    <cellStyle name="Standaard 23 2 2 2 4 3 2 2" xfId="24690"/>
    <cellStyle name="Standaard 23 2 2 2 4 3 3" xfId="24691"/>
    <cellStyle name="Standaard 23 2 2 2 4 4" xfId="24692"/>
    <cellStyle name="Standaard 23 2 2 2 4 4 2" xfId="24693"/>
    <cellStyle name="Standaard 23 2 2 2 4 5" xfId="24694"/>
    <cellStyle name="Standaard 23 2 2 2 4 6" xfId="24695"/>
    <cellStyle name="Standaard 23 2 2 2 5" xfId="24696"/>
    <cellStyle name="Standaard 23 2 2 2 5 2" xfId="24697"/>
    <cellStyle name="Standaard 23 2 2 2 5 2 2" xfId="24698"/>
    <cellStyle name="Standaard 23 2 2 2 5 2 2 2" xfId="24699"/>
    <cellStyle name="Standaard 23 2 2 2 5 2 3" xfId="24700"/>
    <cellStyle name="Standaard 23 2 2 2 5 3" xfId="24701"/>
    <cellStyle name="Standaard 23 2 2 2 5 3 2" xfId="24702"/>
    <cellStyle name="Standaard 23 2 2 2 5 4" xfId="24703"/>
    <cellStyle name="Standaard 23 2 2 2 6" xfId="24704"/>
    <cellStyle name="Standaard 23 2 2 2 6 2" xfId="24705"/>
    <cellStyle name="Standaard 23 2 2 2 6 2 2" xfId="24706"/>
    <cellStyle name="Standaard 23 2 2 2 6 3" xfId="24707"/>
    <cellStyle name="Standaard 23 2 2 2 7" xfId="24708"/>
    <cellStyle name="Standaard 23 2 2 2 7 2" xfId="24709"/>
    <cellStyle name="Standaard 23 2 2 2 8" xfId="24710"/>
    <cellStyle name="Standaard 23 2 2 2 9" xfId="24711"/>
    <cellStyle name="Standaard 23 2 2 3" xfId="24712"/>
    <cellStyle name="Standaard 23 2 2 3 2" xfId="24713"/>
    <cellStyle name="Standaard 23 2 2 3 2 2" xfId="24714"/>
    <cellStyle name="Standaard 23 2 2 3 2 2 2" xfId="24715"/>
    <cellStyle name="Standaard 23 2 2 3 2 2 2 2" xfId="24716"/>
    <cellStyle name="Standaard 23 2 2 3 2 2 2 2 2" xfId="24717"/>
    <cellStyle name="Standaard 23 2 2 3 2 2 2 2 2 2" xfId="24718"/>
    <cellStyle name="Standaard 23 2 2 3 2 2 2 2 3" xfId="24719"/>
    <cellStyle name="Standaard 23 2 2 3 2 2 2 3" xfId="24720"/>
    <cellStyle name="Standaard 23 2 2 3 2 2 2 3 2" xfId="24721"/>
    <cellStyle name="Standaard 23 2 2 3 2 2 2 4" xfId="24722"/>
    <cellStyle name="Standaard 23 2 2 3 2 2 3" xfId="24723"/>
    <cellStyle name="Standaard 23 2 2 3 2 2 3 2" xfId="24724"/>
    <cellStyle name="Standaard 23 2 2 3 2 2 3 2 2" xfId="24725"/>
    <cellStyle name="Standaard 23 2 2 3 2 2 3 3" xfId="24726"/>
    <cellStyle name="Standaard 23 2 2 3 2 2 4" xfId="24727"/>
    <cellStyle name="Standaard 23 2 2 3 2 2 4 2" xfId="24728"/>
    <cellStyle name="Standaard 23 2 2 3 2 2 5" xfId="24729"/>
    <cellStyle name="Standaard 23 2 2 3 2 2 6" xfId="24730"/>
    <cellStyle name="Standaard 23 2 2 3 2 3" xfId="24731"/>
    <cellStyle name="Standaard 23 2 2 3 2 3 2" xfId="24732"/>
    <cellStyle name="Standaard 23 2 2 3 2 3 2 2" xfId="24733"/>
    <cellStyle name="Standaard 23 2 2 3 2 3 2 2 2" xfId="24734"/>
    <cellStyle name="Standaard 23 2 2 3 2 3 2 3" xfId="24735"/>
    <cellStyle name="Standaard 23 2 2 3 2 3 3" xfId="24736"/>
    <cellStyle name="Standaard 23 2 2 3 2 3 3 2" xfId="24737"/>
    <cellStyle name="Standaard 23 2 2 3 2 3 4" xfId="24738"/>
    <cellStyle name="Standaard 23 2 2 3 2 4" xfId="24739"/>
    <cellStyle name="Standaard 23 2 2 3 2 4 2" xfId="24740"/>
    <cellStyle name="Standaard 23 2 2 3 2 4 2 2" xfId="24741"/>
    <cellStyle name="Standaard 23 2 2 3 2 4 3" xfId="24742"/>
    <cellStyle name="Standaard 23 2 2 3 2 5" xfId="24743"/>
    <cellStyle name="Standaard 23 2 2 3 2 5 2" xfId="24744"/>
    <cellStyle name="Standaard 23 2 2 3 2 6" xfId="24745"/>
    <cellStyle name="Standaard 23 2 2 3 2 7" xfId="24746"/>
    <cellStyle name="Standaard 23 2 2 3 3" xfId="24747"/>
    <cellStyle name="Standaard 23 2 2 3 3 2" xfId="24748"/>
    <cellStyle name="Standaard 23 2 2 3 3 2 2" xfId="24749"/>
    <cellStyle name="Standaard 23 2 2 3 3 2 2 2" xfId="24750"/>
    <cellStyle name="Standaard 23 2 2 3 3 2 2 2 2" xfId="24751"/>
    <cellStyle name="Standaard 23 2 2 3 3 2 2 3" xfId="24752"/>
    <cellStyle name="Standaard 23 2 2 3 3 2 3" xfId="24753"/>
    <cellStyle name="Standaard 23 2 2 3 3 2 3 2" xfId="24754"/>
    <cellStyle name="Standaard 23 2 2 3 3 2 4" xfId="24755"/>
    <cellStyle name="Standaard 23 2 2 3 3 3" xfId="24756"/>
    <cellStyle name="Standaard 23 2 2 3 3 3 2" xfId="24757"/>
    <cellStyle name="Standaard 23 2 2 3 3 3 2 2" xfId="24758"/>
    <cellStyle name="Standaard 23 2 2 3 3 3 3" xfId="24759"/>
    <cellStyle name="Standaard 23 2 2 3 3 4" xfId="24760"/>
    <cellStyle name="Standaard 23 2 2 3 3 4 2" xfId="24761"/>
    <cellStyle name="Standaard 23 2 2 3 3 5" xfId="24762"/>
    <cellStyle name="Standaard 23 2 2 3 3 6" xfId="24763"/>
    <cellStyle name="Standaard 23 2 2 3 4" xfId="24764"/>
    <cellStyle name="Standaard 23 2 2 3 4 2" xfId="24765"/>
    <cellStyle name="Standaard 23 2 2 3 4 2 2" xfId="24766"/>
    <cellStyle name="Standaard 23 2 2 3 4 2 2 2" xfId="24767"/>
    <cellStyle name="Standaard 23 2 2 3 4 2 3" xfId="24768"/>
    <cellStyle name="Standaard 23 2 2 3 4 3" xfId="24769"/>
    <cellStyle name="Standaard 23 2 2 3 4 3 2" xfId="24770"/>
    <cellStyle name="Standaard 23 2 2 3 4 4" xfId="24771"/>
    <cellStyle name="Standaard 23 2 2 3 5" xfId="24772"/>
    <cellStyle name="Standaard 23 2 2 3 5 2" xfId="24773"/>
    <cellStyle name="Standaard 23 2 2 3 5 2 2" xfId="24774"/>
    <cellStyle name="Standaard 23 2 2 3 5 3" xfId="24775"/>
    <cellStyle name="Standaard 23 2 2 3 6" xfId="24776"/>
    <cellStyle name="Standaard 23 2 2 3 6 2" xfId="24777"/>
    <cellStyle name="Standaard 23 2 2 3 7" xfId="24778"/>
    <cellStyle name="Standaard 23 2 2 3 8" xfId="24779"/>
    <cellStyle name="Standaard 23 2 2 4" xfId="24780"/>
    <cellStyle name="Standaard 23 2 2 4 2" xfId="24781"/>
    <cellStyle name="Standaard 23 2 2 4 2 2" xfId="24782"/>
    <cellStyle name="Standaard 23 2 2 4 2 2 2" xfId="24783"/>
    <cellStyle name="Standaard 23 2 2 4 2 2 2 2" xfId="24784"/>
    <cellStyle name="Standaard 23 2 2 4 2 2 2 2 2" xfId="24785"/>
    <cellStyle name="Standaard 23 2 2 4 2 2 2 2 2 2" xfId="24786"/>
    <cellStyle name="Standaard 23 2 2 4 2 2 2 2 3" xfId="24787"/>
    <cellStyle name="Standaard 23 2 2 4 2 2 2 3" xfId="24788"/>
    <cellStyle name="Standaard 23 2 2 4 2 2 2 3 2" xfId="24789"/>
    <cellStyle name="Standaard 23 2 2 4 2 2 2 4" xfId="24790"/>
    <cellStyle name="Standaard 23 2 2 4 2 2 3" xfId="24791"/>
    <cellStyle name="Standaard 23 2 2 4 2 2 3 2" xfId="24792"/>
    <cellStyle name="Standaard 23 2 2 4 2 2 3 2 2" xfId="24793"/>
    <cellStyle name="Standaard 23 2 2 4 2 2 3 3" xfId="24794"/>
    <cellStyle name="Standaard 23 2 2 4 2 2 4" xfId="24795"/>
    <cellStyle name="Standaard 23 2 2 4 2 2 4 2" xfId="24796"/>
    <cellStyle name="Standaard 23 2 2 4 2 2 5" xfId="24797"/>
    <cellStyle name="Standaard 23 2 2 4 2 2 6" xfId="24798"/>
    <cellStyle name="Standaard 23 2 2 4 2 3" xfId="24799"/>
    <cellStyle name="Standaard 23 2 2 4 2 3 2" xfId="24800"/>
    <cellStyle name="Standaard 23 2 2 4 2 3 2 2" xfId="24801"/>
    <cellStyle name="Standaard 23 2 2 4 2 3 2 2 2" xfId="24802"/>
    <cellStyle name="Standaard 23 2 2 4 2 3 2 3" xfId="24803"/>
    <cellStyle name="Standaard 23 2 2 4 2 3 3" xfId="24804"/>
    <cellStyle name="Standaard 23 2 2 4 2 3 3 2" xfId="24805"/>
    <cellStyle name="Standaard 23 2 2 4 2 3 4" xfId="24806"/>
    <cellStyle name="Standaard 23 2 2 4 2 4" xfId="24807"/>
    <cellStyle name="Standaard 23 2 2 4 2 4 2" xfId="24808"/>
    <cellStyle name="Standaard 23 2 2 4 2 4 2 2" xfId="24809"/>
    <cellStyle name="Standaard 23 2 2 4 2 4 3" xfId="24810"/>
    <cellStyle name="Standaard 23 2 2 4 2 5" xfId="24811"/>
    <cellStyle name="Standaard 23 2 2 4 2 5 2" xfId="24812"/>
    <cellStyle name="Standaard 23 2 2 4 2 6" xfId="24813"/>
    <cellStyle name="Standaard 23 2 2 4 2 7" xfId="24814"/>
    <cellStyle name="Standaard 23 2 2 4 3" xfId="24815"/>
    <cellStyle name="Standaard 23 2 2 4 3 2" xfId="24816"/>
    <cellStyle name="Standaard 23 2 2 4 3 2 2" xfId="24817"/>
    <cellStyle name="Standaard 23 2 2 4 3 2 2 2" xfId="24818"/>
    <cellStyle name="Standaard 23 2 2 4 3 2 2 2 2" xfId="24819"/>
    <cellStyle name="Standaard 23 2 2 4 3 2 2 3" xfId="24820"/>
    <cellStyle name="Standaard 23 2 2 4 3 2 3" xfId="24821"/>
    <cellStyle name="Standaard 23 2 2 4 3 2 3 2" xfId="24822"/>
    <cellStyle name="Standaard 23 2 2 4 3 2 4" xfId="24823"/>
    <cellStyle name="Standaard 23 2 2 4 3 3" xfId="24824"/>
    <cellStyle name="Standaard 23 2 2 4 3 3 2" xfId="24825"/>
    <cellStyle name="Standaard 23 2 2 4 3 3 2 2" xfId="24826"/>
    <cellStyle name="Standaard 23 2 2 4 3 3 3" xfId="24827"/>
    <cellStyle name="Standaard 23 2 2 4 3 4" xfId="24828"/>
    <cellStyle name="Standaard 23 2 2 4 3 4 2" xfId="24829"/>
    <cellStyle name="Standaard 23 2 2 4 3 5" xfId="24830"/>
    <cellStyle name="Standaard 23 2 2 4 3 6" xfId="24831"/>
    <cellStyle name="Standaard 23 2 2 4 4" xfId="24832"/>
    <cellStyle name="Standaard 23 2 2 4 4 2" xfId="24833"/>
    <cellStyle name="Standaard 23 2 2 4 4 2 2" xfId="24834"/>
    <cellStyle name="Standaard 23 2 2 4 4 2 2 2" xfId="24835"/>
    <cellStyle name="Standaard 23 2 2 4 4 2 3" xfId="24836"/>
    <cellStyle name="Standaard 23 2 2 4 4 3" xfId="24837"/>
    <cellStyle name="Standaard 23 2 2 4 4 3 2" xfId="24838"/>
    <cellStyle name="Standaard 23 2 2 4 4 4" xfId="24839"/>
    <cellStyle name="Standaard 23 2 2 4 5" xfId="24840"/>
    <cellStyle name="Standaard 23 2 2 4 5 2" xfId="24841"/>
    <cellStyle name="Standaard 23 2 2 4 5 2 2" xfId="24842"/>
    <cellStyle name="Standaard 23 2 2 4 5 3" xfId="24843"/>
    <cellStyle name="Standaard 23 2 2 4 6" xfId="24844"/>
    <cellStyle name="Standaard 23 2 2 4 6 2" xfId="24845"/>
    <cellStyle name="Standaard 23 2 2 4 7" xfId="24846"/>
    <cellStyle name="Standaard 23 2 2 4 8" xfId="24847"/>
    <cellStyle name="Standaard 23 2 2 5" xfId="24848"/>
    <cellStyle name="Standaard 23 2 2 5 2" xfId="24849"/>
    <cellStyle name="Standaard 23 2 2 5 2 2" xfId="24850"/>
    <cellStyle name="Standaard 23 2 2 5 2 2 2" xfId="24851"/>
    <cellStyle name="Standaard 23 2 2 5 2 2 2 2" xfId="24852"/>
    <cellStyle name="Standaard 23 2 2 5 2 2 2 2 2" xfId="24853"/>
    <cellStyle name="Standaard 23 2 2 5 2 2 2 3" xfId="24854"/>
    <cellStyle name="Standaard 23 2 2 5 2 2 3" xfId="24855"/>
    <cellStyle name="Standaard 23 2 2 5 2 2 3 2" xfId="24856"/>
    <cellStyle name="Standaard 23 2 2 5 2 2 4" xfId="24857"/>
    <cellStyle name="Standaard 23 2 2 5 2 3" xfId="24858"/>
    <cellStyle name="Standaard 23 2 2 5 2 3 2" xfId="24859"/>
    <cellStyle name="Standaard 23 2 2 5 2 3 2 2" xfId="24860"/>
    <cellStyle name="Standaard 23 2 2 5 2 3 3" xfId="24861"/>
    <cellStyle name="Standaard 23 2 2 5 2 4" xfId="24862"/>
    <cellStyle name="Standaard 23 2 2 5 2 4 2" xfId="24863"/>
    <cellStyle name="Standaard 23 2 2 5 2 5" xfId="24864"/>
    <cellStyle name="Standaard 23 2 2 5 2 6" xfId="24865"/>
    <cellStyle name="Standaard 23 2 2 5 3" xfId="24866"/>
    <cellStyle name="Standaard 23 2 2 5 3 2" xfId="24867"/>
    <cellStyle name="Standaard 23 2 2 5 3 2 2" xfId="24868"/>
    <cellStyle name="Standaard 23 2 2 5 3 2 2 2" xfId="24869"/>
    <cellStyle name="Standaard 23 2 2 5 3 2 3" xfId="24870"/>
    <cellStyle name="Standaard 23 2 2 5 3 3" xfId="24871"/>
    <cellStyle name="Standaard 23 2 2 5 3 3 2" xfId="24872"/>
    <cellStyle name="Standaard 23 2 2 5 3 4" xfId="24873"/>
    <cellStyle name="Standaard 23 2 2 5 4" xfId="24874"/>
    <cellStyle name="Standaard 23 2 2 5 4 2" xfId="24875"/>
    <cellStyle name="Standaard 23 2 2 5 4 2 2" xfId="24876"/>
    <cellStyle name="Standaard 23 2 2 5 4 3" xfId="24877"/>
    <cellStyle name="Standaard 23 2 2 5 5" xfId="24878"/>
    <cellStyle name="Standaard 23 2 2 5 5 2" xfId="24879"/>
    <cellStyle name="Standaard 23 2 2 5 6" xfId="24880"/>
    <cellStyle name="Standaard 23 2 2 5 7" xfId="24881"/>
    <cellStyle name="Standaard 23 2 2 6" xfId="24882"/>
    <cellStyle name="Standaard 23 2 2 6 2" xfId="24883"/>
    <cellStyle name="Standaard 23 2 2 6 2 2" xfId="24884"/>
    <cellStyle name="Standaard 23 2 2 6 2 2 2" xfId="24885"/>
    <cellStyle name="Standaard 23 2 2 6 2 2 2 2" xfId="24886"/>
    <cellStyle name="Standaard 23 2 2 6 2 2 3" xfId="24887"/>
    <cellStyle name="Standaard 23 2 2 6 2 3" xfId="24888"/>
    <cellStyle name="Standaard 23 2 2 6 2 3 2" xfId="24889"/>
    <cellStyle name="Standaard 23 2 2 6 2 4" xfId="24890"/>
    <cellStyle name="Standaard 23 2 2 6 3" xfId="24891"/>
    <cellStyle name="Standaard 23 2 2 6 3 2" xfId="24892"/>
    <cellStyle name="Standaard 23 2 2 6 3 2 2" xfId="24893"/>
    <cellStyle name="Standaard 23 2 2 6 3 3" xfId="24894"/>
    <cellStyle name="Standaard 23 2 2 6 4" xfId="24895"/>
    <cellStyle name="Standaard 23 2 2 6 4 2" xfId="24896"/>
    <cellStyle name="Standaard 23 2 2 6 5" xfId="24897"/>
    <cellStyle name="Standaard 23 2 2 6 6" xfId="24898"/>
    <cellStyle name="Standaard 23 2 2 7" xfId="24899"/>
    <cellStyle name="Standaard 23 2 2 7 2" xfId="24900"/>
    <cellStyle name="Standaard 23 2 2 7 2 2" xfId="24901"/>
    <cellStyle name="Standaard 23 2 2 7 2 2 2" xfId="24902"/>
    <cellStyle name="Standaard 23 2 2 7 2 3" xfId="24903"/>
    <cellStyle name="Standaard 23 2 2 7 3" xfId="24904"/>
    <cellStyle name="Standaard 23 2 2 7 3 2" xfId="24905"/>
    <cellStyle name="Standaard 23 2 2 7 4" xfId="24906"/>
    <cellStyle name="Standaard 23 2 2 8" xfId="24907"/>
    <cellStyle name="Standaard 23 2 2 8 2" xfId="24908"/>
    <cellStyle name="Standaard 23 2 2 8 2 2" xfId="24909"/>
    <cellStyle name="Standaard 23 2 2 8 3" xfId="24910"/>
    <cellStyle name="Standaard 23 2 2 9" xfId="24911"/>
    <cellStyle name="Standaard 23 2 2 9 2" xfId="24912"/>
    <cellStyle name="Standaard 23 2 3" xfId="24913"/>
    <cellStyle name="Standaard 23 2 3 2" xfId="24914"/>
    <cellStyle name="Standaard 23 2 3 2 2" xfId="24915"/>
    <cellStyle name="Standaard 23 2 3 2 2 2" xfId="24916"/>
    <cellStyle name="Standaard 23 2 3 2 2 2 2" xfId="24917"/>
    <cellStyle name="Standaard 23 2 3 2 2 2 2 2" xfId="24918"/>
    <cellStyle name="Standaard 23 2 3 2 2 2 2 2 2" xfId="24919"/>
    <cellStyle name="Standaard 23 2 3 2 2 2 2 2 2 2" xfId="24920"/>
    <cellStyle name="Standaard 23 2 3 2 2 2 2 2 3" xfId="24921"/>
    <cellStyle name="Standaard 23 2 3 2 2 2 2 3" xfId="24922"/>
    <cellStyle name="Standaard 23 2 3 2 2 2 2 3 2" xfId="24923"/>
    <cellStyle name="Standaard 23 2 3 2 2 2 2 4" xfId="24924"/>
    <cellStyle name="Standaard 23 2 3 2 2 2 3" xfId="24925"/>
    <cellStyle name="Standaard 23 2 3 2 2 2 3 2" xfId="24926"/>
    <cellStyle name="Standaard 23 2 3 2 2 2 3 2 2" xfId="24927"/>
    <cellStyle name="Standaard 23 2 3 2 2 2 3 3" xfId="24928"/>
    <cellStyle name="Standaard 23 2 3 2 2 2 4" xfId="24929"/>
    <cellStyle name="Standaard 23 2 3 2 2 2 4 2" xfId="24930"/>
    <cellStyle name="Standaard 23 2 3 2 2 2 5" xfId="24931"/>
    <cellStyle name="Standaard 23 2 3 2 2 2 6" xfId="24932"/>
    <cellStyle name="Standaard 23 2 3 2 2 3" xfId="24933"/>
    <cellStyle name="Standaard 23 2 3 2 2 3 2" xfId="24934"/>
    <cellStyle name="Standaard 23 2 3 2 2 3 2 2" xfId="24935"/>
    <cellStyle name="Standaard 23 2 3 2 2 3 2 2 2" xfId="24936"/>
    <cellStyle name="Standaard 23 2 3 2 2 3 2 3" xfId="24937"/>
    <cellStyle name="Standaard 23 2 3 2 2 3 3" xfId="24938"/>
    <cellStyle name="Standaard 23 2 3 2 2 3 3 2" xfId="24939"/>
    <cellStyle name="Standaard 23 2 3 2 2 3 4" xfId="24940"/>
    <cellStyle name="Standaard 23 2 3 2 2 4" xfId="24941"/>
    <cellStyle name="Standaard 23 2 3 2 2 4 2" xfId="24942"/>
    <cellStyle name="Standaard 23 2 3 2 2 4 2 2" xfId="24943"/>
    <cellStyle name="Standaard 23 2 3 2 2 4 3" xfId="24944"/>
    <cellStyle name="Standaard 23 2 3 2 2 5" xfId="24945"/>
    <cellStyle name="Standaard 23 2 3 2 2 5 2" xfId="24946"/>
    <cellStyle name="Standaard 23 2 3 2 2 6" xfId="24947"/>
    <cellStyle name="Standaard 23 2 3 2 2 7" xfId="24948"/>
    <cellStyle name="Standaard 23 2 3 2 3" xfId="24949"/>
    <cellStyle name="Standaard 23 2 3 2 3 2" xfId="24950"/>
    <cellStyle name="Standaard 23 2 3 2 3 2 2" xfId="24951"/>
    <cellStyle name="Standaard 23 2 3 2 3 2 2 2" xfId="24952"/>
    <cellStyle name="Standaard 23 2 3 2 3 2 2 2 2" xfId="24953"/>
    <cellStyle name="Standaard 23 2 3 2 3 2 2 3" xfId="24954"/>
    <cellStyle name="Standaard 23 2 3 2 3 2 3" xfId="24955"/>
    <cellStyle name="Standaard 23 2 3 2 3 2 3 2" xfId="24956"/>
    <cellStyle name="Standaard 23 2 3 2 3 2 4" xfId="24957"/>
    <cellStyle name="Standaard 23 2 3 2 3 3" xfId="24958"/>
    <cellStyle name="Standaard 23 2 3 2 3 3 2" xfId="24959"/>
    <cellStyle name="Standaard 23 2 3 2 3 3 2 2" xfId="24960"/>
    <cellStyle name="Standaard 23 2 3 2 3 3 3" xfId="24961"/>
    <cellStyle name="Standaard 23 2 3 2 3 4" xfId="24962"/>
    <cellStyle name="Standaard 23 2 3 2 3 4 2" xfId="24963"/>
    <cellStyle name="Standaard 23 2 3 2 3 5" xfId="24964"/>
    <cellStyle name="Standaard 23 2 3 2 3 6" xfId="24965"/>
    <cellStyle name="Standaard 23 2 3 2 4" xfId="24966"/>
    <cellStyle name="Standaard 23 2 3 2 4 2" xfId="24967"/>
    <cellStyle name="Standaard 23 2 3 2 4 2 2" xfId="24968"/>
    <cellStyle name="Standaard 23 2 3 2 4 2 2 2" xfId="24969"/>
    <cellStyle name="Standaard 23 2 3 2 4 2 3" xfId="24970"/>
    <cellStyle name="Standaard 23 2 3 2 4 3" xfId="24971"/>
    <cellStyle name="Standaard 23 2 3 2 4 3 2" xfId="24972"/>
    <cellStyle name="Standaard 23 2 3 2 4 4" xfId="24973"/>
    <cellStyle name="Standaard 23 2 3 2 5" xfId="24974"/>
    <cellStyle name="Standaard 23 2 3 2 5 2" xfId="24975"/>
    <cellStyle name="Standaard 23 2 3 2 5 2 2" xfId="24976"/>
    <cellStyle name="Standaard 23 2 3 2 5 3" xfId="24977"/>
    <cellStyle name="Standaard 23 2 3 2 6" xfId="24978"/>
    <cellStyle name="Standaard 23 2 3 2 6 2" xfId="24979"/>
    <cellStyle name="Standaard 23 2 3 2 7" xfId="24980"/>
    <cellStyle name="Standaard 23 2 3 2 8" xfId="24981"/>
    <cellStyle name="Standaard 23 2 3 3" xfId="24982"/>
    <cellStyle name="Standaard 23 2 3 3 2" xfId="24983"/>
    <cellStyle name="Standaard 23 2 3 3 2 2" xfId="24984"/>
    <cellStyle name="Standaard 23 2 3 3 2 2 2" xfId="24985"/>
    <cellStyle name="Standaard 23 2 3 3 2 2 2 2" xfId="24986"/>
    <cellStyle name="Standaard 23 2 3 3 2 2 2 2 2" xfId="24987"/>
    <cellStyle name="Standaard 23 2 3 3 2 2 2 3" xfId="24988"/>
    <cellStyle name="Standaard 23 2 3 3 2 2 3" xfId="24989"/>
    <cellStyle name="Standaard 23 2 3 3 2 2 3 2" xfId="24990"/>
    <cellStyle name="Standaard 23 2 3 3 2 2 4" xfId="24991"/>
    <cellStyle name="Standaard 23 2 3 3 2 3" xfId="24992"/>
    <cellStyle name="Standaard 23 2 3 3 2 3 2" xfId="24993"/>
    <cellStyle name="Standaard 23 2 3 3 2 3 2 2" xfId="24994"/>
    <cellStyle name="Standaard 23 2 3 3 2 3 3" xfId="24995"/>
    <cellStyle name="Standaard 23 2 3 3 2 4" xfId="24996"/>
    <cellStyle name="Standaard 23 2 3 3 2 4 2" xfId="24997"/>
    <cellStyle name="Standaard 23 2 3 3 2 5" xfId="24998"/>
    <cellStyle name="Standaard 23 2 3 3 2 6" xfId="24999"/>
    <cellStyle name="Standaard 23 2 3 3 3" xfId="25000"/>
    <cellStyle name="Standaard 23 2 3 3 3 2" xfId="25001"/>
    <cellStyle name="Standaard 23 2 3 3 3 2 2" xfId="25002"/>
    <cellStyle name="Standaard 23 2 3 3 3 2 2 2" xfId="25003"/>
    <cellStyle name="Standaard 23 2 3 3 3 2 3" xfId="25004"/>
    <cellStyle name="Standaard 23 2 3 3 3 3" xfId="25005"/>
    <cellStyle name="Standaard 23 2 3 3 3 3 2" xfId="25006"/>
    <cellStyle name="Standaard 23 2 3 3 3 4" xfId="25007"/>
    <cellStyle name="Standaard 23 2 3 3 4" xfId="25008"/>
    <cellStyle name="Standaard 23 2 3 3 4 2" xfId="25009"/>
    <cellStyle name="Standaard 23 2 3 3 4 2 2" xfId="25010"/>
    <cellStyle name="Standaard 23 2 3 3 4 3" xfId="25011"/>
    <cellStyle name="Standaard 23 2 3 3 5" xfId="25012"/>
    <cellStyle name="Standaard 23 2 3 3 5 2" xfId="25013"/>
    <cellStyle name="Standaard 23 2 3 3 6" xfId="25014"/>
    <cellStyle name="Standaard 23 2 3 3 7" xfId="25015"/>
    <cellStyle name="Standaard 23 2 3 4" xfId="25016"/>
    <cellStyle name="Standaard 23 2 3 4 2" xfId="25017"/>
    <cellStyle name="Standaard 23 2 3 4 2 2" xfId="25018"/>
    <cellStyle name="Standaard 23 2 3 4 2 2 2" xfId="25019"/>
    <cellStyle name="Standaard 23 2 3 4 2 2 2 2" xfId="25020"/>
    <cellStyle name="Standaard 23 2 3 4 2 2 3" xfId="25021"/>
    <cellStyle name="Standaard 23 2 3 4 2 3" xfId="25022"/>
    <cellStyle name="Standaard 23 2 3 4 2 3 2" xfId="25023"/>
    <cellStyle name="Standaard 23 2 3 4 2 4" xfId="25024"/>
    <cellStyle name="Standaard 23 2 3 4 3" xfId="25025"/>
    <cellStyle name="Standaard 23 2 3 4 3 2" xfId="25026"/>
    <cellStyle name="Standaard 23 2 3 4 3 2 2" xfId="25027"/>
    <cellStyle name="Standaard 23 2 3 4 3 3" xfId="25028"/>
    <cellStyle name="Standaard 23 2 3 4 4" xfId="25029"/>
    <cellStyle name="Standaard 23 2 3 4 4 2" xfId="25030"/>
    <cellStyle name="Standaard 23 2 3 4 5" xfId="25031"/>
    <cellStyle name="Standaard 23 2 3 4 6" xfId="25032"/>
    <cellStyle name="Standaard 23 2 3 5" xfId="25033"/>
    <cellStyle name="Standaard 23 2 3 5 2" xfId="25034"/>
    <cellStyle name="Standaard 23 2 3 5 2 2" xfId="25035"/>
    <cellStyle name="Standaard 23 2 3 5 2 2 2" xfId="25036"/>
    <cellStyle name="Standaard 23 2 3 5 2 3" xfId="25037"/>
    <cellStyle name="Standaard 23 2 3 5 3" xfId="25038"/>
    <cellStyle name="Standaard 23 2 3 5 3 2" xfId="25039"/>
    <cellStyle name="Standaard 23 2 3 5 4" xfId="25040"/>
    <cellStyle name="Standaard 23 2 3 6" xfId="25041"/>
    <cellStyle name="Standaard 23 2 3 6 2" xfId="25042"/>
    <cellStyle name="Standaard 23 2 3 6 2 2" xfId="25043"/>
    <cellStyle name="Standaard 23 2 3 6 3" xfId="25044"/>
    <cellStyle name="Standaard 23 2 3 7" xfId="25045"/>
    <cellStyle name="Standaard 23 2 3 7 2" xfId="25046"/>
    <cellStyle name="Standaard 23 2 3 8" xfId="25047"/>
    <cellStyle name="Standaard 23 2 3 9" xfId="25048"/>
    <cellStyle name="Standaard 23 2 4" xfId="25049"/>
    <cellStyle name="Standaard 23 2 4 2" xfId="25050"/>
    <cellStyle name="Standaard 23 2 4 2 2" xfId="25051"/>
    <cellStyle name="Standaard 23 2 4 2 2 2" xfId="25052"/>
    <cellStyle name="Standaard 23 2 4 2 2 2 2" xfId="25053"/>
    <cellStyle name="Standaard 23 2 4 2 2 2 2 2" xfId="25054"/>
    <cellStyle name="Standaard 23 2 4 2 2 2 2 2 2" xfId="25055"/>
    <cellStyle name="Standaard 23 2 4 2 2 2 2 3" xfId="25056"/>
    <cellStyle name="Standaard 23 2 4 2 2 2 3" xfId="25057"/>
    <cellStyle name="Standaard 23 2 4 2 2 2 3 2" xfId="25058"/>
    <cellStyle name="Standaard 23 2 4 2 2 2 4" xfId="25059"/>
    <cellStyle name="Standaard 23 2 4 2 2 3" xfId="25060"/>
    <cellStyle name="Standaard 23 2 4 2 2 3 2" xfId="25061"/>
    <cellStyle name="Standaard 23 2 4 2 2 3 2 2" xfId="25062"/>
    <cellStyle name="Standaard 23 2 4 2 2 3 3" xfId="25063"/>
    <cellStyle name="Standaard 23 2 4 2 2 4" xfId="25064"/>
    <cellStyle name="Standaard 23 2 4 2 2 4 2" xfId="25065"/>
    <cellStyle name="Standaard 23 2 4 2 2 5" xfId="25066"/>
    <cellStyle name="Standaard 23 2 4 2 2 6" xfId="25067"/>
    <cellStyle name="Standaard 23 2 4 2 3" xfId="25068"/>
    <cellStyle name="Standaard 23 2 4 2 3 2" xfId="25069"/>
    <cellStyle name="Standaard 23 2 4 2 3 2 2" xfId="25070"/>
    <cellStyle name="Standaard 23 2 4 2 3 2 2 2" xfId="25071"/>
    <cellStyle name="Standaard 23 2 4 2 3 2 3" xfId="25072"/>
    <cellStyle name="Standaard 23 2 4 2 3 3" xfId="25073"/>
    <cellStyle name="Standaard 23 2 4 2 3 3 2" xfId="25074"/>
    <cellStyle name="Standaard 23 2 4 2 3 4" xfId="25075"/>
    <cellStyle name="Standaard 23 2 4 2 4" xfId="25076"/>
    <cellStyle name="Standaard 23 2 4 2 4 2" xfId="25077"/>
    <cellStyle name="Standaard 23 2 4 2 4 2 2" xfId="25078"/>
    <cellStyle name="Standaard 23 2 4 2 4 3" xfId="25079"/>
    <cellStyle name="Standaard 23 2 4 2 5" xfId="25080"/>
    <cellStyle name="Standaard 23 2 4 2 5 2" xfId="25081"/>
    <cellStyle name="Standaard 23 2 4 2 6" xfId="25082"/>
    <cellStyle name="Standaard 23 2 4 2 7" xfId="25083"/>
    <cellStyle name="Standaard 23 2 4 3" xfId="25084"/>
    <cellStyle name="Standaard 23 2 4 3 2" xfId="25085"/>
    <cellStyle name="Standaard 23 2 4 3 2 2" xfId="25086"/>
    <cellStyle name="Standaard 23 2 4 3 2 2 2" xfId="25087"/>
    <cellStyle name="Standaard 23 2 4 3 2 2 2 2" xfId="25088"/>
    <cellStyle name="Standaard 23 2 4 3 2 2 3" xfId="25089"/>
    <cellStyle name="Standaard 23 2 4 3 2 3" xfId="25090"/>
    <cellStyle name="Standaard 23 2 4 3 2 3 2" xfId="25091"/>
    <cellStyle name="Standaard 23 2 4 3 2 4" xfId="25092"/>
    <cellStyle name="Standaard 23 2 4 3 3" xfId="25093"/>
    <cellStyle name="Standaard 23 2 4 3 3 2" xfId="25094"/>
    <cellStyle name="Standaard 23 2 4 3 3 2 2" xfId="25095"/>
    <cellStyle name="Standaard 23 2 4 3 3 3" xfId="25096"/>
    <cellStyle name="Standaard 23 2 4 3 4" xfId="25097"/>
    <cellStyle name="Standaard 23 2 4 3 4 2" xfId="25098"/>
    <cellStyle name="Standaard 23 2 4 3 5" xfId="25099"/>
    <cellStyle name="Standaard 23 2 4 3 6" xfId="25100"/>
    <cellStyle name="Standaard 23 2 4 4" xfId="25101"/>
    <cellStyle name="Standaard 23 2 4 4 2" xfId="25102"/>
    <cellStyle name="Standaard 23 2 4 4 2 2" xfId="25103"/>
    <cellStyle name="Standaard 23 2 4 4 2 2 2" xfId="25104"/>
    <cellStyle name="Standaard 23 2 4 4 2 3" xfId="25105"/>
    <cellStyle name="Standaard 23 2 4 4 3" xfId="25106"/>
    <cellStyle name="Standaard 23 2 4 4 3 2" xfId="25107"/>
    <cellStyle name="Standaard 23 2 4 4 4" xfId="25108"/>
    <cellStyle name="Standaard 23 2 4 5" xfId="25109"/>
    <cellStyle name="Standaard 23 2 4 5 2" xfId="25110"/>
    <cellStyle name="Standaard 23 2 4 5 2 2" xfId="25111"/>
    <cellStyle name="Standaard 23 2 4 5 3" xfId="25112"/>
    <cellStyle name="Standaard 23 2 4 6" xfId="25113"/>
    <cellStyle name="Standaard 23 2 4 6 2" xfId="25114"/>
    <cellStyle name="Standaard 23 2 4 7" xfId="25115"/>
    <cellStyle name="Standaard 23 2 4 8" xfId="25116"/>
    <cellStyle name="Standaard 23 2 5" xfId="25117"/>
    <cellStyle name="Standaard 23 2 5 2" xfId="25118"/>
    <cellStyle name="Standaard 23 2 5 2 2" xfId="25119"/>
    <cellStyle name="Standaard 23 2 5 2 2 2" xfId="25120"/>
    <cellStyle name="Standaard 23 2 5 2 2 2 2" xfId="25121"/>
    <cellStyle name="Standaard 23 2 5 2 2 2 2 2" xfId="25122"/>
    <cellStyle name="Standaard 23 2 5 2 2 2 2 2 2" xfId="25123"/>
    <cellStyle name="Standaard 23 2 5 2 2 2 2 3" xfId="25124"/>
    <cellStyle name="Standaard 23 2 5 2 2 2 3" xfId="25125"/>
    <cellStyle name="Standaard 23 2 5 2 2 2 3 2" xfId="25126"/>
    <cellStyle name="Standaard 23 2 5 2 2 2 4" xfId="25127"/>
    <cellStyle name="Standaard 23 2 5 2 2 3" xfId="25128"/>
    <cellStyle name="Standaard 23 2 5 2 2 3 2" xfId="25129"/>
    <cellStyle name="Standaard 23 2 5 2 2 3 2 2" xfId="25130"/>
    <cellStyle name="Standaard 23 2 5 2 2 3 3" xfId="25131"/>
    <cellStyle name="Standaard 23 2 5 2 2 4" xfId="25132"/>
    <cellStyle name="Standaard 23 2 5 2 2 4 2" xfId="25133"/>
    <cellStyle name="Standaard 23 2 5 2 2 5" xfId="25134"/>
    <cellStyle name="Standaard 23 2 5 2 2 6" xfId="25135"/>
    <cellStyle name="Standaard 23 2 5 2 3" xfId="25136"/>
    <cellStyle name="Standaard 23 2 5 2 3 2" xfId="25137"/>
    <cellStyle name="Standaard 23 2 5 2 3 2 2" xfId="25138"/>
    <cellStyle name="Standaard 23 2 5 2 3 2 2 2" xfId="25139"/>
    <cellStyle name="Standaard 23 2 5 2 3 2 3" xfId="25140"/>
    <cellStyle name="Standaard 23 2 5 2 3 3" xfId="25141"/>
    <cellStyle name="Standaard 23 2 5 2 3 3 2" xfId="25142"/>
    <cellStyle name="Standaard 23 2 5 2 3 4" xfId="25143"/>
    <cellStyle name="Standaard 23 2 5 2 4" xfId="25144"/>
    <cellStyle name="Standaard 23 2 5 2 4 2" xfId="25145"/>
    <cellStyle name="Standaard 23 2 5 2 4 2 2" xfId="25146"/>
    <cellStyle name="Standaard 23 2 5 2 4 3" xfId="25147"/>
    <cellStyle name="Standaard 23 2 5 2 5" xfId="25148"/>
    <cellStyle name="Standaard 23 2 5 2 5 2" xfId="25149"/>
    <cellStyle name="Standaard 23 2 5 2 6" xfId="25150"/>
    <cellStyle name="Standaard 23 2 5 2 7" xfId="25151"/>
    <cellStyle name="Standaard 23 2 5 3" xfId="25152"/>
    <cellStyle name="Standaard 23 2 5 3 2" xfId="25153"/>
    <cellStyle name="Standaard 23 2 5 3 2 2" xfId="25154"/>
    <cellStyle name="Standaard 23 2 5 3 2 2 2" xfId="25155"/>
    <cellStyle name="Standaard 23 2 5 3 2 2 2 2" xfId="25156"/>
    <cellStyle name="Standaard 23 2 5 3 2 2 3" xfId="25157"/>
    <cellStyle name="Standaard 23 2 5 3 2 3" xfId="25158"/>
    <cellStyle name="Standaard 23 2 5 3 2 3 2" xfId="25159"/>
    <cellStyle name="Standaard 23 2 5 3 2 4" xfId="25160"/>
    <cellStyle name="Standaard 23 2 5 3 3" xfId="25161"/>
    <cellStyle name="Standaard 23 2 5 3 3 2" xfId="25162"/>
    <cellStyle name="Standaard 23 2 5 3 3 2 2" xfId="25163"/>
    <cellStyle name="Standaard 23 2 5 3 3 3" xfId="25164"/>
    <cellStyle name="Standaard 23 2 5 3 4" xfId="25165"/>
    <cellStyle name="Standaard 23 2 5 3 4 2" xfId="25166"/>
    <cellStyle name="Standaard 23 2 5 3 5" xfId="25167"/>
    <cellStyle name="Standaard 23 2 5 3 6" xfId="25168"/>
    <cellStyle name="Standaard 23 2 5 4" xfId="25169"/>
    <cellStyle name="Standaard 23 2 5 4 2" xfId="25170"/>
    <cellStyle name="Standaard 23 2 5 4 2 2" xfId="25171"/>
    <cellStyle name="Standaard 23 2 5 4 2 2 2" xfId="25172"/>
    <cellStyle name="Standaard 23 2 5 4 2 3" xfId="25173"/>
    <cellStyle name="Standaard 23 2 5 4 3" xfId="25174"/>
    <cellStyle name="Standaard 23 2 5 4 3 2" xfId="25175"/>
    <cellStyle name="Standaard 23 2 5 4 4" xfId="25176"/>
    <cellStyle name="Standaard 23 2 5 5" xfId="25177"/>
    <cellStyle name="Standaard 23 2 5 5 2" xfId="25178"/>
    <cellStyle name="Standaard 23 2 5 5 2 2" xfId="25179"/>
    <cellStyle name="Standaard 23 2 5 5 3" xfId="25180"/>
    <cellStyle name="Standaard 23 2 5 6" xfId="25181"/>
    <cellStyle name="Standaard 23 2 5 6 2" xfId="25182"/>
    <cellStyle name="Standaard 23 2 5 7" xfId="25183"/>
    <cellStyle name="Standaard 23 2 5 8" xfId="25184"/>
    <cellStyle name="Standaard 23 2 6" xfId="25185"/>
    <cellStyle name="Standaard 23 2 6 2" xfId="25186"/>
    <cellStyle name="Standaard 23 2 6 2 2" xfId="25187"/>
    <cellStyle name="Standaard 23 2 6 2 2 2" xfId="25188"/>
    <cellStyle name="Standaard 23 2 6 2 2 2 2" xfId="25189"/>
    <cellStyle name="Standaard 23 2 6 2 2 2 2 2" xfId="25190"/>
    <cellStyle name="Standaard 23 2 6 2 2 2 3" xfId="25191"/>
    <cellStyle name="Standaard 23 2 6 2 2 3" xfId="25192"/>
    <cellStyle name="Standaard 23 2 6 2 2 3 2" xfId="25193"/>
    <cellStyle name="Standaard 23 2 6 2 2 4" xfId="25194"/>
    <cellStyle name="Standaard 23 2 6 2 3" xfId="25195"/>
    <cellStyle name="Standaard 23 2 6 2 3 2" xfId="25196"/>
    <cellStyle name="Standaard 23 2 6 2 3 2 2" xfId="25197"/>
    <cellStyle name="Standaard 23 2 6 2 3 3" xfId="25198"/>
    <cellStyle name="Standaard 23 2 6 2 4" xfId="25199"/>
    <cellStyle name="Standaard 23 2 6 2 4 2" xfId="25200"/>
    <cellStyle name="Standaard 23 2 6 2 5" xfId="25201"/>
    <cellStyle name="Standaard 23 2 6 2 6" xfId="25202"/>
    <cellStyle name="Standaard 23 2 6 3" xfId="25203"/>
    <cellStyle name="Standaard 23 2 6 3 2" xfId="25204"/>
    <cellStyle name="Standaard 23 2 6 3 2 2" xfId="25205"/>
    <cellStyle name="Standaard 23 2 6 3 2 2 2" xfId="25206"/>
    <cellStyle name="Standaard 23 2 6 3 2 3" xfId="25207"/>
    <cellStyle name="Standaard 23 2 6 3 3" xfId="25208"/>
    <cellStyle name="Standaard 23 2 6 3 3 2" xfId="25209"/>
    <cellStyle name="Standaard 23 2 6 3 4" xfId="25210"/>
    <cellStyle name="Standaard 23 2 6 4" xfId="25211"/>
    <cellStyle name="Standaard 23 2 6 4 2" xfId="25212"/>
    <cellStyle name="Standaard 23 2 6 4 2 2" xfId="25213"/>
    <cellStyle name="Standaard 23 2 6 4 3" xfId="25214"/>
    <cellStyle name="Standaard 23 2 6 5" xfId="25215"/>
    <cellStyle name="Standaard 23 2 6 5 2" xfId="25216"/>
    <cellStyle name="Standaard 23 2 6 6" xfId="25217"/>
    <cellStyle name="Standaard 23 2 6 7" xfId="25218"/>
    <cellStyle name="Standaard 23 2 7" xfId="25219"/>
    <cellStyle name="Standaard 23 2 7 2" xfId="25220"/>
    <cellStyle name="Standaard 23 2 7 2 2" xfId="25221"/>
    <cellStyle name="Standaard 23 2 7 2 2 2" xfId="25222"/>
    <cellStyle name="Standaard 23 2 7 2 2 2 2" xfId="25223"/>
    <cellStyle name="Standaard 23 2 7 2 2 3" xfId="25224"/>
    <cellStyle name="Standaard 23 2 7 2 3" xfId="25225"/>
    <cellStyle name="Standaard 23 2 7 2 3 2" xfId="25226"/>
    <cellStyle name="Standaard 23 2 7 2 4" xfId="25227"/>
    <cellStyle name="Standaard 23 2 7 3" xfId="25228"/>
    <cellStyle name="Standaard 23 2 7 3 2" xfId="25229"/>
    <cellStyle name="Standaard 23 2 7 3 2 2" xfId="25230"/>
    <cellStyle name="Standaard 23 2 7 3 3" xfId="25231"/>
    <cellStyle name="Standaard 23 2 7 4" xfId="25232"/>
    <cellStyle name="Standaard 23 2 7 4 2" xfId="25233"/>
    <cellStyle name="Standaard 23 2 7 5" xfId="25234"/>
    <cellStyle name="Standaard 23 2 7 6" xfId="25235"/>
    <cellStyle name="Standaard 23 2 8" xfId="25236"/>
    <cellStyle name="Standaard 23 2 8 2" xfId="25237"/>
    <cellStyle name="Standaard 23 2 8 2 2" xfId="25238"/>
    <cellStyle name="Standaard 23 2 8 2 2 2" xfId="25239"/>
    <cellStyle name="Standaard 23 2 8 2 3" xfId="25240"/>
    <cellStyle name="Standaard 23 2 8 3" xfId="25241"/>
    <cellStyle name="Standaard 23 2 8 3 2" xfId="25242"/>
    <cellStyle name="Standaard 23 2 8 4" xfId="25243"/>
    <cellStyle name="Standaard 23 2 9" xfId="25244"/>
    <cellStyle name="Standaard 23 2 9 2" xfId="25245"/>
    <cellStyle name="Standaard 23 2 9 2 2" xfId="25246"/>
    <cellStyle name="Standaard 23 2 9 3" xfId="25247"/>
    <cellStyle name="Standaard 23 3" xfId="25248"/>
    <cellStyle name="Standaard 23 3 10" xfId="25249"/>
    <cellStyle name="Standaard 23 3 11" xfId="25250"/>
    <cellStyle name="Standaard 23 3 2" xfId="25251"/>
    <cellStyle name="Standaard 23 3 2 2" xfId="25252"/>
    <cellStyle name="Standaard 23 3 2 2 2" xfId="25253"/>
    <cellStyle name="Standaard 23 3 2 2 2 2" xfId="25254"/>
    <cellStyle name="Standaard 23 3 2 2 2 2 2" xfId="25255"/>
    <cellStyle name="Standaard 23 3 2 2 2 2 2 2" xfId="25256"/>
    <cellStyle name="Standaard 23 3 2 2 2 2 2 2 2" xfId="25257"/>
    <cellStyle name="Standaard 23 3 2 2 2 2 2 2 2 2" xfId="25258"/>
    <cellStyle name="Standaard 23 3 2 2 2 2 2 2 3" xfId="25259"/>
    <cellStyle name="Standaard 23 3 2 2 2 2 2 3" xfId="25260"/>
    <cellStyle name="Standaard 23 3 2 2 2 2 2 3 2" xfId="25261"/>
    <cellStyle name="Standaard 23 3 2 2 2 2 2 4" xfId="25262"/>
    <cellStyle name="Standaard 23 3 2 2 2 2 3" xfId="25263"/>
    <cellStyle name="Standaard 23 3 2 2 2 2 3 2" xfId="25264"/>
    <cellStyle name="Standaard 23 3 2 2 2 2 3 2 2" xfId="25265"/>
    <cellStyle name="Standaard 23 3 2 2 2 2 3 3" xfId="25266"/>
    <cellStyle name="Standaard 23 3 2 2 2 2 4" xfId="25267"/>
    <cellStyle name="Standaard 23 3 2 2 2 2 4 2" xfId="25268"/>
    <cellStyle name="Standaard 23 3 2 2 2 2 5" xfId="25269"/>
    <cellStyle name="Standaard 23 3 2 2 2 2 6" xfId="25270"/>
    <cellStyle name="Standaard 23 3 2 2 2 3" xfId="25271"/>
    <cellStyle name="Standaard 23 3 2 2 2 3 2" xfId="25272"/>
    <cellStyle name="Standaard 23 3 2 2 2 3 2 2" xfId="25273"/>
    <cellStyle name="Standaard 23 3 2 2 2 3 2 2 2" xfId="25274"/>
    <cellStyle name="Standaard 23 3 2 2 2 3 2 3" xfId="25275"/>
    <cellStyle name="Standaard 23 3 2 2 2 3 3" xfId="25276"/>
    <cellStyle name="Standaard 23 3 2 2 2 3 3 2" xfId="25277"/>
    <cellStyle name="Standaard 23 3 2 2 2 3 4" xfId="25278"/>
    <cellStyle name="Standaard 23 3 2 2 2 4" xfId="25279"/>
    <cellStyle name="Standaard 23 3 2 2 2 4 2" xfId="25280"/>
    <cellStyle name="Standaard 23 3 2 2 2 4 2 2" xfId="25281"/>
    <cellStyle name="Standaard 23 3 2 2 2 4 3" xfId="25282"/>
    <cellStyle name="Standaard 23 3 2 2 2 5" xfId="25283"/>
    <cellStyle name="Standaard 23 3 2 2 2 5 2" xfId="25284"/>
    <cellStyle name="Standaard 23 3 2 2 2 6" xfId="25285"/>
    <cellStyle name="Standaard 23 3 2 2 2 7" xfId="25286"/>
    <cellStyle name="Standaard 23 3 2 2 3" xfId="25287"/>
    <cellStyle name="Standaard 23 3 2 2 3 2" xfId="25288"/>
    <cellStyle name="Standaard 23 3 2 2 3 2 2" xfId="25289"/>
    <cellStyle name="Standaard 23 3 2 2 3 2 2 2" xfId="25290"/>
    <cellStyle name="Standaard 23 3 2 2 3 2 2 2 2" xfId="25291"/>
    <cellStyle name="Standaard 23 3 2 2 3 2 2 3" xfId="25292"/>
    <cellStyle name="Standaard 23 3 2 2 3 2 3" xfId="25293"/>
    <cellStyle name="Standaard 23 3 2 2 3 2 3 2" xfId="25294"/>
    <cellStyle name="Standaard 23 3 2 2 3 2 4" xfId="25295"/>
    <cellStyle name="Standaard 23 3 2 2 3 3" xfId="25296"/>
    <cellStyle name="Standaard 23 3 2 2 3 3 2" xfId="25297"/>
    <cellStyle name="Standaard 23 3 2 2 3 3 2 2" xfId="25298"/>
    <cellStyle name="Standaard 23 3 2 2 3 3 3" xfId="25299"/>
    <cellStyle name="Standaard 23 3 2 2 3 4" xfId="25300"/>
    <cellStyle name="Standaard 23 3 2 2 3 4 2" xfId="25301"/>
    <cellStyle name="Standaard 23 3 2 2 3 5" xfId="25302"/>
    <cellStyle name="Standaard 23 3 2 2 3 6" xfId="25303"/>
    <cellStyle name="Standaard 23 3 2 2 4" xfId="25304"/>
    <cellStyle name="Standaard 23 3 2 2 4 2" xfId="25305"/>
    <cellStyle name="Standaard 23 3 2 2 4 2 2" xfId="25306"/>
    <cellStyle name="Standaard 23 3 2 2 4 2 2 2" xfId="25307"/>
    <cellStyle name="Standaard 23 3 2 2 4 2 3" xfId="25308"/>
    <cellStyle name="Standaard 23 3 2 2 4 3" xfId="25309"/>
    <cellStyle name="Standaard 23 3 2 2 4 3 2" xfId="25310"/>
    <cellStyle name="Standaard 23 3 2 2 4 4" xfId="25311"/>
    <cellStyle name="Standaard 23 3 2 2 5" xfId="25312"/>
    <cellStyle name="Standaard 23 3 2 2 5 2" xfId="25313"/>
    <cellStyle name="Standaard 23 3 2 2 5 2 2" xfId="25314"/>
    <cellStyle name="Standaard 23 3 2 2 5 3" xfId="25315"/>
    <cellStyle name="Standaard 23 3 2 2 6" xfId="25316"/>
    <cellStyle name="Standaard 23 3 2 2 6 2" xfId="25317"/>
    <cellStyle name="Standaard 23 3 2 2 7" xfId="25318"/>
    <cellStyle name="Standaard 23 3 2 2 8" xfId="25319"/>
    <cellStyle name="Standaard 23 3 2 3" xfId="25320"/>
    <cellStyle name="Standaard 23 3 2 3 2" xfId="25321"/>
    <cellStyle name="Standaard 23 3 2 3 2 2" xfId="25322"/>
    <cellStyle name="Standaard 23 3 2 3 2 2 2" xfId="25323"/>
    <cellStyle name="Standaard 23 3 2 3 2 2 2 2" xfId="25324"/>
    <cellStyle name="Standaard 23 3 2 3 2 2 2 2 2" xfId="25325"/>
    <cellStyle name="Standaard 23 3 2 3 2 2 2 3" xfId="25326"/>
    <cellStyle name="Standaard 23 3 2 3 2 2 3" xfId="25327"/>
    <cellStyle name="Standaard 23 3 2 3 2 2 3 2" xfId="25328"/>
    <cellStyle name="Standaard 23 3 2 3 2 2 4" xfId="25329"/>
    <cellStyle name="Standaard 23 3 2 3 2 3" xfId="25330"/>
    <cellStyle name="Standaard 23 3 2 3 2 3 2" xfId="25331"/>
    <cellStyle name="Standaard 23 3 2 3 2 3 2 2" xfId="25332"/>
    <cellStyle name="Standaard 23 3 2 3 2 3 3" xfId="25333"/>
    <cellStyle name="Standaard 23 3 2 3 2 4" xfId="25334"/>
    <cellStyle name="Standaard 23 3 2 3 2 4 2" xfId="25335"/>
    <cellStyle name="Standaard 23 3 2 3 2 5" xfId="25336"/>
    <cellStyle name="Standaard 23 3 2 3 2 6" xfId="25337"/>
    <cellStyle name="Standaard 23 3 2 3 3" xfId="25338"/>
    <cellStyle name="Standaard 23 3 2 3 3 2" xfId="25339"/>
    <cellStyle name="Standaard 23 3 2 3 3 2 2" xfId="25340"/>
    <cellStyle name="Standaard 23 3 2 3 3 2 2 2" xfId="25341"/>
    <cellStyle name="Standaard 23 3 2 3 3 2 3" xfId="25342"/>
    <cellStyle name="Standaard 23 3 2 3 3 3" xfId="25343"/>
    <cellStyle name="Standaard 23 3 2 3 3 3 2" xfId="25344"/>
    <cellStyle name="Standaard 23 3 2 3 3 4" xfId="25345"/>
    <cellStyle name="Standaard 23 3 2 3 4" xfId="25346"/>
    <cellStyle name="Standaard 23 3 2 3 4 2" xfId="25347"/>
    <cellStyle name="Standaard 23 3 2 3 4 2 2" xfId="25348"/>
    <cellStyle name="Standaard 23 3 2 3 4 3" xfId="25349"/>
    <cellStyle name="Standaard 23 3 2 3 5" xfId="25350"/>
    <cellStyle name="Standaard 23 3 2 3 5 2" xfId="25351"/>
    <cellStyle name="Standaard 23 3 2 3 6" xfId="25352"/>
    <cellStyle name="Standaard 23 3 2 3 7" xfId="25353"/>
    <cellStyle name="Standaard 23 3 2 4" xfId="25354"/>
    <cellStyle name="Standaard 23 3 2 4 2" xfId="25355"/>
    <cellStyle name="Standaard 23 3 2 4 2 2" xfId="25356"/>
    <cellStyle name="Standaard 23 3 2 4 2 2 2" xfId="25357"/>
    <cellStyle name="Standaard 23 3 2 4 2 2 2 2" xfId="25358"/>
    <cellStyle name="Standaard 23 3 2 4 2 2 3" xfId="25359"/>
    <cellStyle name="Standaard 23 3 2 4 2 3" xfId="25360"/>
    <cellStyle name="Standaard 23 3 2 4 2 3 2" xfId="25361"/>
    <cellStyle name="Standaard 23 3 2 4 2 4" xfId="25362"/>
    <cellStyle name="Standaard 23 3 2 4 3" xfId="25363"/>
    <cellStyle name="Standaard 23 3 2 4 3 2" xfId="25364"/>
    <cellStyle name="Standaard 23 3 2 4 3 2 2" xfId="25365"/>
    <cellStyle name="Standaard 23 3 2 4 3 3" xfId="25366"/>
    <cellStyle name="Standaard 23 3 2 4 4" xfId="25367"/>
    <cellStyle name="Standaard 23 3 2 4 4 2" xfId="25368"/>
    <cellStyle name="Standaard 23 3 2 4 5" xfId="25369"/>
    <cellStyle name="Standaard 23 3 2 4 6" xfId="25370"/>
    <cellStyle name="Standaard 23 3 2 5" xfId="25371"/>
    <cellStyle name="Standaard 23 3 2 5 2" xfId="25372"/>
    <cellStyle name="Standaard 23 3 2 5 2 2" xfId="25373"/>
    <cellStyle name="Standaard 23 3 2 5 2 2 2" xfId="25374"/>
    <cellStyle name="Standaard 23 3 2 5 2 3" xfId="25375"/>
    <cellStyle name="Standaard 23 3 2 5 3" xfId="25376"/>
    <cellStyle name="Standaard 23 3 2 5 3 2" xfId="25377"/>
    <cellStyle name="Standaard 23 3 2 5 4" xfId="25378"/>
    <cellStyle name="Standaard 23 3 2 6" xfId="25379"/>
    <cellStyle name="Standaard 23 3 2 6 2" xfId="25380"/>
    <cellStyle name="Standaard 23 3 2 6 2 2" xfId="25381"/>
    <cellStyle name="Standaard 23 3 2 6 3" xfId="25382"/>
    <cellStyle name="Standaard 23 3 2 7" xfId="25383"/>
    <cellStyle name="Standaard 23 3 2 7 2" xfId="25384"/>
    <cellStyle name="Standaard 23 3 2 8" xfId="25385"/>
    <cellStyle name="Standaard 23 3 2 9" xfId="25386"/>
    <cellStyle name="Standaard 23 3 3" xfId="25387"/>
    <cellStyle name="Standaard 23 3 3 2" xfId="25388"/>
    <cellStyle name="Standaard 23 3 3 2 2" xfId="25389"/>
    <cellStyle name="Standaard 23 3 3 2 2 2" xfId="25390"/>
    <cellStyle name="Standaard 23 3 3 2 2 2 2" xfId="25391"/>
    <cellStyle name="Standaard 23 3 3 2 2 2 2 2" xfId="25392"/>
    <cellStyle name="Standaard 23 3 3 2 2 2 2 2 2" xfId="25393"/>
    <cellStyle name="Standaard 23 3 3 2 2 2 2 3" xfId="25394"/>
    <cellStyle name="Standaard 23 3 3 2 2 2 3" xfId="25395"/>
    <cellStyle name="Standaard 23 3 3 2 2 2 3 2" xfId="25396"/>
    <cellStyle name="Standaard 23 3 3 2 2 2 4" xfId="25397"/>
    <cellStyle name="Standaard 23 3 3 2 2 3" xfId="25398"/>
    <cellStyle name="Standaard 23 3 3 2 2 3 2" xfId="25399"/>
    <cellStyle name="Standaard 23 3 3 2 2 3 2 2" xfId="25400"/>
    <cellStyle name="Standaard 23 3 3 2 2 3 3" xfId="25401"/>
    <cellStyle name="Standaard 23 3 3 2 2 4" xfId="25402"/>
    <cellStyle name="Standaard 23 3 3 2 2 4 2" xfId="25403"/>
    <cellStyle name="Standaard 23 3 3 2 2 5" xfId="25404"/>
    <cellStyle name="Standaard 23 3 3 2 2 6" xfId="25405"/>
    <cellStyle name="Standaard 23 3 3 2 3" xfId="25406"/>
    <cellStyle name="Standaard 23 3 3 2 3 2" xfId="25407"/>
    <cellStyle name="Standaard 23 3 3 2 3 2 2" xfId="25408"/>
    <cellStyle name="Standaard 23 3 3 2 3 2 2 2" xfId="25409"/>
    <cellStyle name="Standaard 23 3 3 2 3 2 3" xfId="25410"/>
    <cellStyle name="Standaard 23 3 3 2 3 3" xfId="25411"/>
    <cellStyle name="Standaard 23 3 3 2 3 3 2" xfId="25412"/>
    <cellStyle name="Standaard 23 3 3 2 3 4" xfId="25413"/>
    <cellStyle name="Standaard 23 3 3 2 4" xfId="25414"/>
    <cellStyle name="Standaard 23 3 3 2 4 2" xfId="25415"/>
    <cellStyle name="Standaard 23 3 3 2 4 2 2" xfId="25416"/>
    <cellStyle name="Standaard 23 3 3 2 4 3" xfId="25417"/>
    <cellStyle name="Standaard 23 3 3 2 5" xfId="25418"/>
    <cellStyle name="Standaard 23 3 3 2 5 2" xfId="25419"/>
    <cellStyle name="Standaard 23 3 3 2 6" xfId="25420"/>
    <cellStyle name="Standaard 23 3 3 2 7" xfId="25421"/>
    <cellStyle name="Standaard 23 3 3 3" xfId="25422"/>
    <cellStyle name="Standaard 23 3 3 3 2" xfId="25423"/>
    <cellStyle name="Standaard 23 3 3 3 2 2" xfId="25424"/>
    <cellStyle name="Standaard 23 3 3 3 2 2 2" xfId="25425"/>
    <cellStyle name="Standaard 23 3 3 3 2 2 2 2" xfId="25426"/>
    <cellStyle name="Standaard 23 3 3 3 2 2 3" xfId="25427"/>
    <cellStyle name="Standaard 23 3 3 3 2 3" xfId="25428"/>
    <cellStyle name="Standaard 23 3 3 3 2 3 2" xfId="25429"/>
    <cellStyle name="Standaard 23 3 3 3 2 4" xfId="25430"/>
    <cellStyle name="Standaard 23 3 3 3 3" xfId="25431"/>
    <cellStyle name="Standaard 23 3 3 3 3 2" xfId="25432"/>
    <cellStyle name="Standaard 23 3 3 3 3 2 2" xfId="25433"/>
    <cellStyle name="Standaard 23 3 3 3 3 3" xfId="25434"/>
    <cellStyle name="Standaard 23 3 3 3 4" xfId="25435"/>
    <cellStyle name="Standaard 23 3 3 3 4 2" xfId="25436"/>
    <cellStyle name="Standaard 23 3 3 3 5" xfId="25437"/>
    <cellStyle name="Standaard 23 3 3 3 6" xfId="25438"/>
    <cellStyle name="Standaard 23 3 3 4" xfId="25439"/>
    <cellStyle name="Standaard 23 3 3 4 2" xfId="25440"/>
    <cellStyle name="Standaard 23 3 3 4 2 2" xfId="25441"/>
    <cellStyle name="Standaard 23 3 3 4 2 2 2" xfId="25442"/>
    <cellStyle name="Standaard 23 3 3 4 2 3" xfId="25443"/>
    <cellStyle name="Standaard 23 3 3 4 3" xfId="25444"/>
    <cellStyle name="Standaard 23 3 3 4 3 2" xfId="25445"/>
    <cellStyle name="Standaard 23 3 3 4 4" xfId="25446"/>
    <cellStyle name="Standaard 23 3 3 5" xfId="25447"/>
    <cellStyle name="Standaard 23 3 3 5 2" xfId="25448"/>
    <cellStyle name="Standaard 23 3 3 5 2 2" xfId="25449"/>
    <cellStyle name="Standaard 23 3 3 5 3" xfId="25450"/>
    <cellStyle name="Standaard 23 3 3 6" xfId="25451"/>
    <cellStyle name="Standaard 23 3 3 6 2" xfId="25452"/>
    <cellStyle name="Standaard 23 3 3 7" xfId="25453"/>
    <cellStyle name="Standaard 23 3 3 8" xfId="25454"/>
    <cellStyle name="Standaard 23 3 4" xfId="25455"/>
    <cellStyle name="Standaard 23 3 4 2" xfId="25456"/>
    <cellStyle name="Standaard 23 3 4 2 2" xfId="25457"/>
    <cellStyle name="Standaard 23 3 4 2 2 2" xfId="25458"/>
    <cellStyle name="Standaard 23 3 4 2 2 2 2" xfId="25459"/>
    <cellStyle name="Standaard 23 3 4 2 2 2 2 2" xfId="25460"/>
    <cellStyle name="Standaard 23 3 4 2 2 2 2 2 2" xfId="25461"/>
    <cellStyle name="Standaard 23 3 4 2 2 2 2 3" xfId="25462"/>
    <cellStyle name="Standaard 23 3 4 2 2 2 3" xfId="25463"/>
    <cellStyle name="Standaard 23 3 4 2 2 2 3 2" xfId="25464"/>
    <cellStyle name="Standaard 23 3 4 2 2 2 4" xfId="25465"/>
    <cellStyle name="Standaard 23 3 4 2 2 3" xfId="25466"/>
    <cellStyle name="Standaard 23 3 4 2 2 3 2" xfId="25467"/>
    <cellStyle name="Standaard 23 3 4 2 2 3 2 2" xfId="25468"/>
    <cellStyle name="Standaard 23 3 4 2 2 3 3" xfId="25469"/>
    <cellStyle name="Standaard 23 3 4 2 2 4" xfId="25470"/>
    <cellStyle name="Standaard 23 3 4 2 2 4 2" xfId="25471"/>
    <cellStyle name="Standaard 23 3 4 2 2 5" xfId="25472"/>
    <cellStyle name="Standaard 23 3 4 2 2 6" xfId="25473"/>
    <cellStyle name="Standaard 23 3 4 2 3" xfId="25474"/>
    <cellStyle name="Standaard 23 3 4 2 3 2" xfId="25475"/>
    <cellStyle name="Standaard 23 3 4 2 3 2 2" xfId="25476"/>
    <cellStyle name="Standaard 23 3 4 2 3 2 2 2" xfId="25477"/>
    <cellStyle name="Standaard 23 3 4 2 3 2 3" xfId="25478"/>
    <cellStyle name="Standaard 23 3 4 2 3 3" xfId="25479"/>
    <cellStyle name="Standaard 23 3 4 2 3 3 2" xfId="25480"/>
    <cellStyle name="Standaard 23 3 4 2 3 4" xfId="25481"/>
    <cellStyle name="Standaard 23 3 4 2 4" xfId="25482"/>
    <cellStyle name="Standaard 23 3 4 2 4 2" xfId="25483"/>
    <cellStyle name="Standaard 23 3 4 2 4 2 2" xfId="25484"/>
    <cellStyle name="Standaard 23 3 4 2 4 3" xfId="25485"/>
    <cellStyle name="Standaard 23 3 4 2 5" xfId="25486"/>
    <cellStyle name="Standaard 23 3 4 2 5 2" xfId="25487"/>
    <cellStyle name="Standaard 23 3 4 2 6" xfId="25488"/>
    <cellStyle name="Standaard 23 3 4 2 7" xfId="25489"/>
    <cellStyle name="Standaard 23 3 4 3" xfId="25490"/>
    <cellStyle name="Standaard 23 3 4 3 2" xfId="25491"/>
    <cellStyle name="Standaard 23 3 4 3 2 2" xfId="25492"/>
    <cellStyle name="Standaard 23 3 4 3 2 2 2" xfId="25493"/>
    <cellStyle name="Standaard 23 3 4 3 2 2 2 2" xfId="25494"/>
    <cellStyle name="Standaard 23 3 4 3 2 2 3" xfId="25495"/>
    <cellStyle name="Standaard 23 3 4 3 2 3" xfId="25496"/>
    <cellStyle name="Standaard 23 3 4 3 2 3 2" xfId="25497"/>
    <cellStyle name="Standaard 23 3 4 3 2 4" xfId="25498"/>
    <cellStyle name="Standaard 23 3 4 3 3" xfId="25499"/>
    <cellStyle name="Standaard 23 3 4 3 3 2" xfId="25500"/>
    <cellStyle name="Standaard 23 3 4 3 3 2 2" xfId="25501"/>
    <cellStyle name="Standaard 23 3 4 3 3 3" xfId="25502"/>
    <cellStyle name="Standaard 23 3 4 3 4" xfId="25503"/>
    <cellStyle name="Standaard 23 3 4 3 4 2" xfId="25504"/>
    <cellStyle name="Standaard 23 3 4 3 5" xfId="25505"/>
    <cellStyle name="Standaard 23 3 4 3 6" xfId="25506"/>
    <cellStyle name="Standaard 23 3 4 4" xfId="25507"/>
    <cellStyle name="Standaard 23 3 4 4 2" xfId="25508"/>
    <cellStyle name="Standaard 23 3 4 4 2 2" xfId="25509"/>
    <cellStyle name="Standaard 23 3 4 4 2 2 2" xfId="25510"/>
    <cellStyle name="Standaard 23 3 4 4 2 3" xfId="25511"/>
    <cellStyle name="Standaard 23 3 4 4 3" xfId="25512"/>
    <cellStyle name="Standaard 23 3 4 4 3 2" xfId="25513"/>
    <cellStyle name="Standaard 23 3 4 4 4" xfId="25514"/>
    <cellStyle name="Standaard 23 3 4 5" xfId="25515"/>
    <cellStyle name="Standaard 23 3 4 5 2" xfId="25516"/>
    <cellStyle name="Standaard 23 3 4 5 2 2" xfId="25517"/>
    <cellStyle name="Standaard 23 3 4 5 3" xfId="25518"/>
    <cellStyle name="Standaard 23 3 4 6" xfId="25519"/>
    <cellStyle name="Standaard 23 3 4 6 2" xfId="25520"/>
    <cellStyle name="Standaard 23 3 4 7" xfId="25521"/>
    <cellStyle name="Standaard 23 3 4 8" xfId="25522"/>
    <cellStyle name="Standaard 23 3 5" xfId="25523"/>
    <cellStyle name="Standaard 23 3 5 2" xfId="25524"/>
    <cellStyle name="Standaard 23 3 5 2 2" xfId="25525"/>
    <cellStyle name="Standaard 23 3 5 2 2 2" xfId="25526"/>
    <cellStyle name="Standaard 23 3 5 2 2 2 2" xfId="25527"/>
    <cellStyle name="Standaard 23 3 5 2 2 2 2 2" xfId="25528"/>
    <cellStyle name="Standaard 23 3 5 2 2 2 3" xfId="25529"/>
    <cellStyle name="Standaard 23 3 5 2 2 3" xfId="25530"/>
    <cellStyle name="Standaard 23 3 5 2 2 3 2" xfId="25531"/>
    <cellStyle name="Standaard 23 3 5 2 2 4" xfId="25532"/>
    <cellStyle name="Standaard 23 3 5 2 3" xfId="25533"/>
    <cellStyle name="Standaard 23 3 5 2 3 2" xfId="25534"/>
    <cellStyle name="Standaard 23 3 5 2 3 2 2" xfId="25535"/>
    <cellStyle name="Standaard 23 3 5 2 3 3" xfId="25536"/>
    <cellStyle name="Standaard 23 3 5 2 4" xfId="25537"/>
    <cellStyle name="Standaard 23 3 5 2 4 2" xfId="25538"/>
    <cellStyle name="Standaard 23 3 5 2 5" xfId="25539"/>
    <cellStyle name="Standaard 23 3 5 2 6" xfId="25540"/>
    <cellStyle name="Standaard 23 3 5 3" xfId="25541"/>
    <cellStyle name="Standaard 23 3 5 3 2" xfId="25542"/>
    <cellStyle name="Standaard 23 3 5 3 2 2" xfId="25543"/>
    <cellStyle name="Standaard 23 3 5 3 2 2 2" xfId="25544"/>
    <cellStyle name="Standaard 23 3 5 3 2 3" xfId="25545"/>
    <cellStyle name="Standaard 23 3 5 3 3" xfId="25546"/>
    <cellStyle name="Standaard 23 3 5 3 3 2" xfId="25547"/>
    <cellStyle name="Standaard 23 3 5 3 4" xfId="25548"/>
    <cellStyle name="Standaard 23 3 5 4" xfId="25549"/>
    <cellStyle name="Standaard 23 3 5 4 2" xfId="25550"/>
    <cellStyle name="Standaard 23 3 5 4 2 2" xfId="25551"/>
    <cellStyle name="Standaard 23 3 5 4 3" xfId="25552"/>
    <cellStyle name="Standaard 23 3 5 5" xfId="25553"/>
    <cellStyle name="Standaard 23 3 5 5 2" xfId="25554"/>
    <cellStyle name="Standaard 23 3 5 6" xfId="25555"/>
    <cellStyle name="Standaard 23 3 5 7" xfId="25556"/>
    <cellStyle name="Standaard 23 3 6" xfId="25557"/>
    <cellStyle name="Standaard 23 3 6 2" xfId="25558"/>
    <cellStyle name="Standaard 23 3 6 2 2" xfId="25559"/>
    <cellStyle name="Standaard 23 3 6 2 2 2" xfId="25560"/>
    <cellStyle name="Standaard 23 3 6 2 2 2 2" xfId="25561"/>
    <cellStyle name="Standaard 23 3 6 2 2 3" xfId="25562"/>
    <cellStyle name="Standaard 23 3 6 2 3" xfId="25563"/>
    <cellStyle name="Standaard 23 3 6 2 3 2" xfId="25564"/>
    <cellStyle name="Standaard 23 3 6 2 4" xfId="25565"/>
    <cellStyle name="Standaard 23 3 6 3" xfId="25566"/>
    <cellStyle name="Standaard 23 3 6 3 2" xfId="25567"/>
    <cellStyle name="Standaard 23 3 6 3 2 2" xfId="25568"/>
    <cellStyle name="Standaard 23 3 6 3 3" xfId="25569"/>
    <cellStyle name="Standaard 23 3 6 4" xfId="25570"/>
    <cellStyle name="Standaard 23 3 6 4 2" xfId="25571"/>
    <cellStyle name="Standaard 23 3 6 5" xfId="25572"/>
    <cellStyle name="Standaard 23 3 6 6" xfId="25573"/>
    <cellStyle name="Standaard 23 3 7" xfId="25574"/>
    <cellStyle name="Standaard 23 3 7 2" xfId="25575"/>
    <cellStyle name="Standaard 23 3 7 2 2" xfId="25576"/>
    <cellStyle name="Standaard 23 3 7 2 2 2" xfId="25577"/>
    <cellStyle name="Standaard 23 3 7 2 3" xfId="25578"/>
    <cellStyle name="Standaard 23 3 7 3" xfId="25579"/>
    <cellStyle name="Standaard 23 3 7 3 2" xfId="25580"/>
    <cellStyle name="Standaard 23 3 7 4" xfId="25581"/>
    <cellStyle name="Standaard 23 3 8" xfId="25582"/>
    <cellStyle name="Standaard 23 3 8 2" xfId="25583"/>
    <cellStyle name="Standaard 23 3 8 2 2" xfId="25584"/>
    <cellStyle name="Standaard 23 3 8 3" xfId="25585"/>
    <cellStyle name="Standaard 23 3 9" xfId="25586"/>
    <cellStyle name="Standaard 23 3 9 2" xfId="25587"/>
    <cellStyle name="Standaard 23 4" xfId="25588"/>
    <cellStyle name="Standaard 23 4 2" xfId="25589"/>
    <cellStyle name="Standaard 23 4 2 2" xfId="25590"/>
    <cellStyle name="Standaard 23 4 2 2 2" xfId="25591"/>
    <cellStyle name="Standaard 23 4 2 2 2 2" xfId="25592"/>
    <cellStyle name="Standaard 23 4 2 2 2 2 2" xfId="25593"/>
    <cellStyle name="Standaard 23 4 2 2 2 2 2 2" xfId="25594"/>
    <cellStyle name="Standaard 23 4 2 2 2 2 2 2 2" xfId="25595"/>
    <cellStyle name="Standaard 23 4 2 2 2 2 2 3" xfId="25596"/>
    <cellStyle name="Standaard 23 4 2 2 2 2 3" xfId="25597"/>
    <cellStyle name="Standaard 23 4 2 2 2 2 3 2" xfId="25598"/>
    <cellStyle name="Standaard 23 4 2 2 2 2 4" xfId="25599"/>
    <cellStyle name="Standaard 23 4 2 2 2 3" xfId="25600"/>
    <cellStyle name="Standaard 23 4 2 2 2 3 2" xfId="25601"/>
    <cellStyle name="Standaard 23 4 2 2 2 3 2 2" xfId="25602"/>
    <cellStyle name="Standaard 23 4 2 2 2 3 3" xfId="25603"/>
    <cellStyle name="Standaard 23 4 2 2 2 4" xfId="25604"/>
    <cellStyle name="Standaard 23 4 2 2 2 4 2" xfId="25605"/>
    <cellStyle name="Standaard 23 4 2 2 2 5" xfId="25606"/>
    <cellStyle name="Standaard 23 4 2 2 2 6" xfId="25607"/>
    <cellStyle name="Standaard 23 4 2 2 3" xfId="25608"/>
    <cellStyle name="Standaard 23 4 2 2 3 2" xfId="25609"/>
    <cellStyle name="Standaard 23 4 2 2 3 2 2" xfId="25610"/>
    <cellStyle name="Standaard 23 4 2 2 3 2 2 2" xfId="25611"/>
    <cellStyle name="Standaard 23 4 2 2 3 2 3" xfId="25612"/>
    <cellStyle name="Standaard 23 4 2 2 3 3" xfId="25613"/>
    <cellStyle name="Standaard 23 4 2 2 3 3 2" xfId="25614"/>
    <cellStyle name="Standaard 23 4 2 2 3 4" xfId="25615"/>
    <cellStyle name="Standaard 23 4 2 2 4" xfId="25616"/>
    <cellStyle name="Standaard 23 4 2 2 4 2" xfId="25617"/>
    <cellStyle name="Standaard 23 4 2 2 4 2 2" xfId="25618"/>
    <cellStyle name="Standaard 23 4 2 2 4 3" xfId="25619"/>
    <cellStyle name="Standaard 23 4 2 2 5" xfId="25620"/>
    <cellStyle name="Standaard 23 4 2 2 5 2" xfId="25621"/>
    <cellStyle name="Standaard 23 4 2 2 6" xfId="25622"/>
    <cellStyle name="Standaard 23 4 2 2 7" xfId="25623"/>
    <cellStyle name="Standaard 23 4 2 3" xfId="25624"/>
    <cellStyle name="Standaard 23 4 2 3 2" xfId="25625"/>
    <cellStyle name="Standaard 23 4 2 3 2 2" xfId="25626"/>
    <cellStyle name="Standaard 23 4 2 3 2 2 2" xfId="25627"/>
    <cellStyle name="Standaard 23 4 2 3 2 2 2 2" xfId="25628"/>
    <cellStyle name="Standaard 23 4 2 3 2 2 3" xfId="25629"/>
    <cellStyle name="Standaard 23 4 2 3 2 3" xfId="25630"/>
    <cellStyle name="Standaard 23 4 2 3 2 3 2" xfId="25631"/>
    <cellStyle name="Standaard 23 4 2 3 2 4" xfId="25632"/>
    <cellStyle name="Standaard 23 4 2 3 3" xfId="25633"/>
    <cellStyle name="Standaard 23 4 2 3 3 2" xfId="25634"/>
    <cellStyle name="Standaard 23 4 2 3 3 2 2" xfId="25635"/>
    <cellStyle name="Standaard 23 4 2 3 3 3" xfId="25636"/>
    <cellStyle name="Standaard 23 4 2 3 4" xfId="25637"/>
    <cellStyle name="Standaard 23 4 2 3 4 2" xfId="25638"/>
    <cellStyle name="Standaard 23 4 2 3 5" xfId="25639"/>
    <cellStyle name="Standaard 23 4 2 3 6" xfId="25640"/>
    <cellStyle name="Standaard 23 4 2 4" xfId="25641"/>
    <cellStyle name="Standaard 23 4 2 4 2" xfId="25642"/>
    <cellStyle name="Standaard 23 4 2 4 2 2" xfId="25643"/>
    <cellStyle name="Standaard 23 4 2 4 2 2 2" xfId="25644"/>
    <cellStyle name="Standaard 23 4 2 4 2 3" xfId="25645"/>
    <cellStyle name="Standaard 23 4 2 4 3" xfId="25646"/>
    <cellStyle name="Standaard 23 4 2 4 3 2" xfId="25647"/>
    <cellStyle name="Standaard 23 4 2 4 4" xfId="25648"/>
    <cellStyle name="Standaard 23 4 2 5" xfId="25649"/>
    <cellStyle name="Standaard 23 4 2 5 2" xfId="25650"/>
    <cellStyle name="Standaard 23 4 2 5 2 2" xfId="25651"/>
    <cellStyle name="Standaard 23 4 2 5 3" xfId="25652"/>
    <cellStyle name="Standaard 23 4 2 6" xfId="25653"/>
    <cellStyle name="Standaard 23 4 2 6 2" xfId="25654"/>
    <cellStyle name="Standaard 23 4 2 7" xfId="25655"/>
    <cellStyle name="Standaard 23 4 2 8" xfId="25656"/>
    <cellStyle name="Standaard 23 4 3" xfId="25657"/>
    <cellStyle name="Standaard 23 4 3 2" xfId="25658"/>
    <cellStyle name="Standaard 23 4 3 2 2" xfId="25659"/>
    <cellStyle name="Standaard 23 4 3 2 2 2" xfId="25660"/>
    <cellStyle name="Standaard 23 4 3 2 2 2 2" xfId="25661"/>
    <cellStyle name="Standaard 23 4 3 2 2 2 2 2" xfId="25662"/>
    <cellStyle name="Standaard 23 4 3 2 2 2 3" xfId="25663"/>
    <cellStyle name="Standaard 23 4 3 2 2 3" xfId="25664"/>
    <cellStyle name="Standaard 23 4 3 2 2 3 2" xfId="25665"/>
    <cellStyle name="Standaard 23 4 3 2 2 4" xfId="25666"/>
    <cellStyle name="Standaard 23 4 3 2 3" xfId="25667"/>
    <cellStyle name="Standaard 23 4 3 2 3 2" xfId="25668"/>
    <cellStyle name="Standaard 23 4 3 2 3 2 2" xfId="25669"/>
    <cellStyle name="Standaard 23 4 3 2 3 3" xfId="25670"/>
    <cellStyle name="Standaard 23 4 3 2 4" xfId="25671"/>
    <cellStyle name="Standaard 23 4 3 2 4 2" xfId="25672"/>
    <cellStyle name="Standaard 23 4 3 2 5" xfId="25673"/>
    <cellStyle name="Standaard 23 4 3 2 6" xfId="25674"/>
    <cellStyle name="Standaard 23 4 3 3" xfId="25675"/>
    <cellStyle name="Standaard 23 4 3 3 2" xfId="25676"/>
    <cellStyle name="Standaard 23 4 3 3 2 2" xfId="25677"/>
    <cellStyle name="Standaard 23 4 3 3 2 2 2" xfId="25678"/>
    <cellStyle name="Standaard 23 4 3 3 2 3" xfId="25679"/>
    <cellStyle name="Standaard 23 4 3 3 3" xfId="25680"/>
    <cellStyle name="Standaard 23 4 3 3 3 2" xfId="25681"/>
    <cellStyle name="Standaard 23 4 3 3 4" xfId="25682"/>
    <cellStyle name="Standaard 23 4 3 4" xfId="25683"/>
    <cellStyle name="Standaard 23 4 3 4 2" xfId="25684"/>
    <cellStyle name="Standaard 23 4 3 4 2 2" xfId="25685"/>
    <cellStyle name="Standaard 23 4 3 4 3" xfId="25686"/>
    <cellStyle name="Standaard 23 4 3 5" xfId="25687"/>
    <cellStyle name="Standaard 23 4 3 5 2" xfId="25688"/>
    <cellStyle name="Standaard 23 4 3 6" xfId="25689"/>
    <cellStyle name="Standaard 23 4 3 7" xfId="25690"/>
    <cellStyle name="Standaard 23 4 4" xfId="25691"/>
    <cellStyle name="Standaard 23 4 4 2" xfId="25692"/>
    <cellStyle name="Standaard 23 4 4 2 2" xfId="25693"/>
    <cellStyle name="Standaard 23 4 4 2 2 2" xfId="25694"/>
    <cellStyle name="Standaard 23 4 4 2 2 2 2" xfId="25695"/>
    <cellStyle name="Standaard 23 4 4 2 2 3" xfId="25696"/>
    <cellStyle name="Standaard 23 4 4 2 3" xfId="25697"/>
    <cellStyle name="Standaard 23 4 4 2 3 2" xfId="25698"/>
    <cellStyle name="Standaard 23 4 4 2 4" xfId="25699"/>
    <cellStyle name="Standaard 23 4 4 3" xfId="25700"/>
    <cellStyle name="Standaard 23 4 4 3 2" xfId="25701"/>
    <cellStyle name="Standaard 23 4 4 3 2 2" xfId="25702"/>
    <cellStyle name="Standaard 23 4 4 3 3" xfId="25703"/>
    <cellStyle name="Standaard 23 4 4 4" xfId="25704"/>
    <cellStyle name="Standaard 23 4 4 4 2" xfId="25705"/>
    <cellStyle name="Standaard 23 4 4 5" xfId="25706"/>
    <cellStyle name="Standaard 23 4 4 6" xfId="25707"/>
    <cellStyle name="Standaard 23 4 5" xfId="25708"/>
    <cellStyle name="Standaard 23 4 5 2" xfId="25709"/>
    <cellStyle name="Standaard 23 4 5 2 2" xfId="25710"/>
    <cellStyle name="Standaard 23 4 5 2 2 2" xfId="25711"/>
    <cellStyle name="Standaard 23 4 5 2 3" xfId="25712"/>
    <cellStyle name="Standaard 23 4 5 3" xfId="25713"/>
    <cellStyle name="Standaard 23 4 5 3 2" xfId="25714"/>
    <cellStyle name="Standaard 23 4 5 4" xfId="25715"/>
    <cellStyle name="Standaard 23 4 6" xfId="25716"/>
    <cellStyle name="Standaard 23 4 6 2" xfId="25717"/>
    <cellStyle name="Standaard 23 4 6 2 2" xfId="25718"/>
    <cellStyle name="Standaard 23 4 6 3" xfId="25719"/>
    <cellStyle name="Standaard 23 4 7" xfId="25720"/>
    <cellStyle name="Standaard 23 4 7 2" xfId="25721"/>
    <cellStyle name="Standaard 23 4 8" xfId="25722"/>
    <cellStyle name="Standaard 23 4 9" xfId="25723"/>
    <cellStyle name="Standaard 23 5" xfId="25724"/>
    <cellStyle name="Standaard 23 5 2" xfId="25725"/>
    <cellStyle name="Standaard 23 5 2 2" xfId="25726"/>
    <cellStyle name="Standaard 23 5 2 2 2" xfId="25727"/>
    <cellStyle name="Standaard 23 5 2 2 2 2" xfId="25728"/>
    <cellStyle name="Standaard 23 5 2 2 2 2 2" xfId="25729"/>
    <cellStyle name="Standaard 23 5 2 2 2 2 2 2" xfId="25730"/>
    <cellStyle name="Standaard 23 5 2 2 2 2 3" xfId="25731"/>
    <cellStyle name="Standaard 23 5 2 2 2 3" xfId="25732"/>
    <cellStyle name="Standaard 23 5 2 2 2 3 2" xfId="25733"/>
    <cellStyle name="Standaard 23 5 2 2 2 4" xfId="25734"/>
    <cellStyle name="Standaard 23 5 2 2 3" xfId="25735"/>
    <cellStyle name="Standaard 23 5 2 2 3 2" xfId="25736"/>
    <cellStyle name="Standaard 23 5 2 2 3 2 2" xfId="25737"/>
    <cellStyle name="Standaard 23 5 2 2 3 3" xfId="25738"/>
    <cellStyle name="Standaard 23 5 2 2 4" xfId="25739"/>
    <cellStyle name="Standaard 23 5 2 2 4 2" xfId="25740"/>
    <cellStyle name="Standaard 23 5 2 2 5" xfId="25741"/>
    <cellStyle name="Standaard 23 5 2 2 6" xfId="25742"/>
    <cellStyle name="Standaard 23 5 2 3" xfId="25743"/>
    <cellStyle name="Standaard 23 5 2 3 2" xfId="25744"/>
    <cellStyle name="Standaard 23 5 2 3 2 2" xfId="25745"/>
    <cellStyle name="Standaard 23 5 2 3 2 2 2" xfId="25746"/>
    <cellStyle name="Standaard 23 5 2 3 2 3" xfId="25747"/>
    <cellStyle name="Standaard 23 5 2 3 3" xfId="25748"/>
    <cellStyle name="Standaard 23 5 2 3 3 2" xfId="25749"/>
    <cellStyle name="Standaard 23 5 2 3 4" xfId="25750"/>
    <cellStyle name="Standaard 23 5 2 4" xfId="25751"/>
    <cellStyle name="Standaard 23 5 2 4 2" xfId="25752"/>
    <cellStyle name="Standaard 23 5 2 4 2 2" xfId="25753"/>
    <cellStyle name="Standaard 23 5 2 4 3" xfId="25754"/>
    <cellStyle name="Standaard 23 5 2 5" xfId="25755"/>
    <cellStyle name="Standaard 23 5 2 5 2" xfId="25756"/>
    <cellStyle name="Standaard 23 5 2 6" xfId="25757"/>
    <cellStyle name="Standaard 23 5 2 7" xfId="25758"/>
    <cellStyle name="Standaard 23 5 3" xfId="25759"/>
    <cellStyle name="Standaard 23 5 3 2" xfId="25760"/>
    <cellStyle name="Standaard 23 5 3 2 2" xfId="25761"/>
    <cellStyle name="Standaard 23 5 3 2 2 2" xfId="25762"/>
    <cellStyle name="Standaard 23 5 3 2 2 2 2" xfId="25763"/>
    <cellStyle name="Standaard 23 5 3 2 2 3" xfId="25764"/>
    <cellStyle name="Standaard 23 5 3 2 3" xfId="25765"/>
    <cellStyle name="Standaard 23 5 3 2 3 2" xfId="25766"/>
    <cellStyle name="Standaard 23 5 3 2 4" xfId="25767"/>
    <cellStyle name="Standaard 23 5 3 3" xfId="25768"/>
    <cellStyle name="Standaard 23 5 3 3 2" xfId="25769"/>
    <cellStyle name="Standaard 23 5 3 3 2 2" xfId="25770"/>
    <cellStyle name="Standaard 23 5 3 3 3" xfId="25771"/>
    <cellStyle name="Standaard 23 5 3 4" xfId="25772"/>
    <cellStyle name="Standaard 23 5 3 4 2" xfId="25773"/>
    <cellStyle name="Standaard 23 5 3 5" xfId="25774"/>
    <cellStyle name="Standaard 23 5 3 6" xfId="25775"/>
    <cellStyle name="Standaard 23 5 4" xfId="25776"/>
    <cellStyle name="Standaard 23 5 4 2" xfId="25777"/>
    <cellStyle name="Standaard 23 5 4 2 2" xfId="25778"/>
    <cellStyle name="Standaard 23 5 4 2 2 2" xfId="25779"/>
    <cellStyle name="Standaard 23 5 4 2 3" xfId="25780"/>
    <cellStyle name="Standaard 23 5 4 3" xfId="25781"/>
    <cellStyle name="Standaard 23 5 4 3 2" xfId="25782"/>
    <cellStyle name="Standaard 23 5 4 4" xfId="25783"/>
    <cellStyle name="Standaard 23 5 5" xfId="25784"/>
    <cellStyle name="Standaard 23 5 5 2" xfId="25785"/>
    <cellStyle name="Standaard 23 5 5 2 2" xfId="25786"/>
    <cellStyle name="Standaard 23 5 5 3" xfId="25787"/>
    <cellStyle name="Standaard 23 5 6" xfId="25788"/>
    <cellStyle name="Standaard 23 5 6 2" xfId="25789"/>
    <cellStyle name="Standaard 23 5 7" xfId="25790"/>
    <cellStyle name="Standaard 23 5 8" xfId="25791"/>
    <cellStyle name="Standaard 23 6" xfId="25792"/>
    <cellStyle name="Standaard 23 6 2" xfId="25793"/>
    <cellStyle name="Standaard 23 6 2 2" xfId="25794"/>
    <cellStyle name="Standaard 23 6 2 2 2" xfId="25795"/>
    <cellStyle name="Standaard 23 6 2 2 2 2" xfId="25796"/>
    <cellStyle name="Standaard 23 6 2 2 2 2 2" xfId="25797"/>
    <cellStyle name="Standaard 23 6 2 2 2 2 2 2" xfId="25798"/>
    <cellStyle name="Standaard 23 6 2 2 2 2 3" xfId="25799"/>
    <cellStyle name="Standaard 23 6 2 2 2 3" xfId="25800"/>
    <cellStyle name="Standaard 23 6 2 2 2 3 2" xfId="25801"/>
    <cellStyle name="Standaard 23 6 2 2 2 4" xfId="25802"/>
    <cellStyle name="Standaard 23 6 2 2 3" xfId="25803"/>
    <cellStyle name="Standaard 23 6 2 2 3 2" xfId="25804"/>
    <cellStyle name="Standaard 23 6 2 2 3 2 2" xfId="25805"/>
    <cellStyle name="Standaard 23 6 2 2 3 3" xfId="25806"/>
    <cellStyle name="Standaard 23 6 2 2 4" xfId="25807"/>
    <cellStyle name="Standaard 23 6 2 2 4 2" xfId="25808"/>
    <cellStyle name="Standaard 23 6 2 2 5" xfId="25809"/>
    <cellStyle name="Standaard 23 6 2 2 6" xfId="25810"/>
    <cellStyle name="Standaard 23 6 2 3" xfId="25811"/>
    <cellStyle name="Standaard 23 6 2 3 2" xfId="25812"/>
    <cellStyle name="Standaard 23 6 2 3 2 2" xfId="25813"/>
    <cellStyle name="Standaard 23 6 2 3 2 2 2" xfId="25814"/>
    <cellStyle name="Standaard 23 6 2 3 2 3" xfId="25815"/>
    <cellStyle name="Standaard 23 6 2 3 3" xfId="25816"/>
    <cellStyle name="Standaard 23 6 2 3 3 2" xfId="25817"/>
    <cellStyle name="Standaard 23 6 2 3 4" xfId="25818"/>
    <cellStyle name="Standaard 23 6 2 4" xfId="25819"/>
    <cellStyle name="Standaard 23 6 2 4 2" xfId="25820"/>
    <cellStyle name="Standaard 23 6 2 4 2 2" xfId="25821"/>
    <cellStyle name="Standaard 23 6 2 4 3" xfId="25822"/>
    <cellStyle name="Standaard 23 6 2 5" xfId="25823"/>
    <cellStyle name="Standaard 23 6 2 5 2" xfId="25824"/>
    <cellStyle name="Standaard 23 6 2 6" xfId="25825"/>
    <cellStyle name="Standaard 23 6 2 7" xfId="25826"/>
    <cellStyle name="Standaard 23 6 3" xfId="25827"/>
    <cellStyle name="Standaard 23 6 3 2" xfId="25828"/>
    <cellStyle name="Standaard 23 6 3 2 2" xfId="25829"/>
    <cellStyle name="Standaard 23 6 3 2 2 2" xfId="25830"/>
    <cellStyle name="Standaard 23 6 3 2 2 2 2" xfId="25831"/>
    <cellStyle name="Standaard 23 6 3 2 2 3" xfId="25832"/>
    <cellStyle name="Standaard 23 6 3 2 3" xfId="25833"/>
    <cellStyle name="Standaard 23 6 3 2 3 2" xfId="25834"/>
    <cellStyle name="Standaard 23 6 3 2 4" xfId="25835"/>
    <cellStyle name="Standaard 23 6 3 3" xfId="25836"/>
    <cellStyle name="Standaard 23 6 3 3 2" xfId="25837"/>
    <cellStyle name="Standaard 23 6 3 3 2 2" xfId="25838"/>
    <cellStyle name="Standaard 23 6 3 3 3" xfId="25839"/>
    <cellStyle name="Standaard 23 6 3 4" xfId="25840"/>
    <cellStyle name="Standaard 23 6 3 4 2" xfId="25841"/>
    <cellStyle name="Standaard 23 6 3 5" xfId="25842"/>
    <cellStyle name="Standaard 23 6 3 6" xfId="25843"/>
    <cellStyle name="Standaard 23 6 4" xfId="25844"/>
    <cellStyle name="Standaard 23 6 4 2" xfId="25845"/>
    <cellStyle name="Standaard 23 6 4 2 2" xfId="25846"/>
    <cellStyle name="Standaard 23 6 4 2 2 2" xfId="25847"/>
    <cellStyle name="Standaard 23 6 4 2 3" xfId="25848"/>
    <cellStyle name="Standaard 23 6 4 3" xfId="25849"/>
    <cellStyle name="Standaard 23 6 4 3 2" xfId="25850"/>
    <cellStyle name="Standaard 23 6 4 4" xfId="25851"/>
    <cellStyle name="Standaard 23 6 5" xfId="25852"/>
    <cellStyle name="Standaard 23 6 5 2" xfId="25853"/>
    <cellStyle name="Standaard 23 6 5 2 2" xfId="25854"/>
    <cellStyle name="Standaard 23 6 5 3" xfId="25855"/>
    <cellStyle name="Standaard 23 6 6" xfId="25856"/>
    <cellStyle name="Standaard 23 6 6 2" xfId="25857"/>
    <cellStyle name="Standaard 23 6 7" xfId="25858"/>
    <cellStyle name="Standaard 23 6 8" xfId="25859"/>
    <cellStyle name="Standaard 23 7" xfId="25860"/>
    <cellStyle name="Standaard 23 7 2" xfId="25861"/>
    <cellStyle name="Standaard 23 7 2 2" xfId="25862"/>
    <cellStyle name="Standaard 23 7 2 2 2" xfId="25863"/>
    <cellStyle name="Standaard 23 7 2 2 2 2" xfId="25864"/>
    <cellStyle name="Standaard 23 7 2 2 2 2 2" xfId="25865"/>
    <cellStyle name="Standaard 23 7 2 2 2 3" xfId="25866"/>
    <cellStyle name="Standaard 23 7 2 2 3" xfId="25867"/>
    <cellStyle name="Standaard 23 7 2 2 3 2" xfId="25868"/>
    <cellStyle name="Standaard 23 7 2 2 4" xfId="25869"/>
    <cellStyle name="Standaard 23 7 2 3" xfId="25870"/>
    <cellStyle name="Standaard 23 7 2 3 2" xfId="25871"/>
    <cellStyle name="Standaard 23 7 2 3 2 2" xfId="25872"/>
    <cellStyle name="Standaard 23 7 2 3 3" xfId="25873"/>
    <cellStyle name="Standaard 23 7 2 4" xfId="25874"/>
    <cellStyle name="Standaard 23 7 2 4 2" xfId="25875"/>
    <cellStyle name="Standaard 23 7 2 5" xfId="25876"/>
    <cellStyle name="Standaard 23 7 2 6" xfId="25877"/>
    <cellStyle name="Standaard 23 7 3" xfId="25878"/>
    <cellStyle name="Standaard 23 7 3 2" xfId="25879"/>
    <cellStyle name="Standaard 23 7 3 2 2" xfId="25880"/>
    <cellStyle name="Standaard 23 7 3 2 2 2" xfId="25881"/>
    <cellStyle name="Standaard 23 7 3 2 3" xfId="25882"/>
    <cellStyle name="Standaard 23 7 3 3" xfId="25883"/>
    <cellStyle name="Standaard 23 7 3 3 2" xfId="25884"/>
    <cellStyle name="Standaard 23 7 3 4" xfId="25885"/>
    <cellStyle name="Standaard 23 7 4" xfId="25886"/>
    <cellStyle name="Standaard 23 7 4 2" xfId="25887"/>
    <cellStyle name="Standaard 23 7 4 2 2" xfId="25888"/>
    <cellStyle name="Standaard 23 7 4 3" xfId="25889"/>
    <cellStyle name="Standaard 23 7 5" xfId="25890"/>
    <cellStyle name="Standaard 23 7 5 2" xfId="25891"/>
    <cellStyle name="Standaard 23 7 6" xfId="25892"/>
    <cellStyle name="Standaard 23 7 7" xfId="25893"/>
    <cellStyle name="Standaard 23 8" xfId="25894"/>
    <cellStyle name="Standaard 23 8 2" xfId="25895"/>
    <cellStyle name="Standaard 23 8 2 2" xfId="25896"/>
    <cellStyle name="Standaard 23 8 2 2 2" xfId="25897"/>
    <cellStyle name="Standaard 23 8 2 2 2 2" xfId="25898"/>
    <cellStyle name="Standaard 23 8 2 2 3" xfId="25899"/>
    <cellStyle name="Standaard 23 8 2 3" xfId="25900"/>
    <cellStyle name="Standaard 23 8 2 3 2" xfId="25901"/>
    <cellStyle name="Standaard 23 8 2 4" xfId="25902"/>
    <cellStyle name="Standaard 23 8 3" xfId="25903"/>
    <cellStyle name="Standaard 23 8 3 2" xfId="25904"/>
    <cellStyle name="Standaard 23 8 3 2 2" xfId="25905"/>
    <cellStyle name="Standaard 23 8 3 3" xfId="25906"/>
    <cellStyle name="Standaard 23 8 4" xfId="25907"/>
    <cellStyle name="Standaard 23 8 4 2" xfId="25908"/>
    <cellStyle name="Standaard 23 8 5" xfId="25909"/>
    <cellStyle name="Standaard 23 8 6" xfId="25910"/>
    <cellStyle name="Standaard 23 9" xfId="25911"/>
    <cellStyle name="Standaard 23 9 2" xfId="25912"/>
    <cellStyle name="Standaard 23 9 2 2" xfId="25913"/>
    <cellStyle name="Standaard 23 9 2 2 2" xfId="25914"/>
    <cellStyle name="Standaard 23 9 2 3" xfId="25915"/>
    <cellStyle name="Standaard 23 9 3" xfId="25916"/>
    <cellStyle name="Standaard 23 9 3 2" xfId="25917"/>
    <cellStyle name="Standaard 23 9 4" xfId="25918"/>
    <cellStyle name="Standaard 24" xfId="25919"/>
    <cellStyle name="Standaard 24 10" xfId="25920"/>
    <cellStyle name="Standaard 24 10 2" xfId="25921"/>
    <cellStyle name="Standaard 24 10 2 2" xfId="25922"/>
    <cellStyle name="Standaard 24 10 3" xfId="25923"/>
    <cellStyle name="Standaard 24 11" xfId="25924"/>
    <cellStyle name="Standaard 24 11 2" xfId="25925"/>
    <cellStyle name="Standaard 24 12" xfId="25926"/>
    <cellStyle name="Standaard 24 13" xfId="25927"/>
    <cellStyle name="Standaard 24 2" xfId="25928"/>
    <cellStyle name="Standaard 24 2 10" xfId="25929"/>
    <cellStyle name="Standaard 24 2 10 2" xfId="25930"/>
    <cellStyle name="Standaard 24 2 11" xfId="25931"/>
    <cellStyle name="Standaard 24 2 12" xfId="25932"/>
    <cellStyle name="Standaard 24 2 2" xfId="25933"/>
    <cellStyle name="Standaard 24 2 2 10" xfId="25934"/>
    <cellStyle name="Standaard 24 2 2 11" xfId="25935"/>
    <cellStyle name="Standaard 24 2 2 2" xfId="25936"/>
    <cellStyle name="Standaard 24 2 2 2 2" xfId="25937"/>
    <cellStyle name="Standaard 24 2 2 2 2 2" xfId="25938"/>
    <cellStyle name="Standaard 24 2 2 2 2 2 2" xfId="25939"/>
    <cellStyle name="Standaard 24 2 2 2 2 2 2 2" xfId="25940"/>
    <cellStyle name="Standaard 24 2 2 2 2 2 2 2 2" xfId="25941"/>
    <cellStyle name="Standaard 24 2 2 2 2 2 2 2 2 2" xfId="25942"/>
    <cellStyle name="Standaard 24 2 2 2 2 2 2 2 2 2 2" xfId="25943"/>
    <cellStyle name="Standaard 24 2 2 2 2 2 2 2 2 3" xfId="25944"/>
    <cellStyle name="Standaard 24 2 2 2 2 2 2 2 3" xfId="25945"/>
    <cellStyle name="Standaard 24 2 2 2 2 2 2 2 3 2" xfId="25946"/>
    <cellStyle name="Standaard 24 2 2 2 2 2 2 2 4" xfId="25947"/>
    <cellStyle name="Standaard 24 2 2 2 2 2 2 3" xfId="25948"/>
    <cellStyle name="Standaard 24 2 2 2 2 2 2 3 2" xfId="25949"/>
    <cellStyle name="Standaard 24 2 2 2 2 2 2 3 2 2" xfId="25950"/>
    <cellStyle name="Standaard 24 2 2 2 2 2 2 3 3" xfId="25951"/>
    <cellStyle name="Standaard 24 2 2 2 2 2 2 4" xfId="25952"/>
    <cellStyle name="Standaard 24 2 2 2 2 2 2 4 2" xfId="25953"/>
    <cellStyle name="Standaard 24 2 2 2 2 2 2 5" xfId="25954"/>
    <cellStyle name="Standaard 24 2 2 2 2 2 2 6" xfId="25955"/>
    <cellStyle name="Standaard 24 2 2 2 2 2 3" xfId="25956"/>
    <cellStyle name="Standaard 24 2 2 2 2 2 3 2" xfId="25957"/>
    <cellStyle name="Standaard 24 2 2 2 2 2 3 2 2" xfId="25958"/>
    <cellStyle name="Standaard 24 2 2 2 2 2 3 2 2 2" xfId="25959"/>
    <cellStyle name="Standaard 24 2 2 2 2 2 3 2 3" xfId="25960"/>
    <cellStyle name="Standaard 24 2 2 2 2 2 3 3" xfId="25961"/>
    <cellStyle name="Standaard 24 2 2 2 2 2 3 3 2" xfId="25962"/>
    <cellStyle name="Standaard 24 2 2 2 2 2 3 4" xfId="25963"/>
    <cellStyle name="Standaard 24 2 2 2 2 2 4" xfId="25964"/>
    <cellStyle name="Standaard 24 2 2 2 2 2 4 2" xfId="25965"/>
    <cellStyle name="Standaard 24 2 2 2 2 2 4 2 2" xfId="25966"/>
    <cellStyle name="Standaard 24 2 2 2 2 2 4 3" xfId="25967"/>
    <cellStyle name="Standaard 24 2 2 2 2 2 5" xfId="25968"/>
    <cellStyle name="Standaard 24 2 2 2 2 2 5 2" xfId="25969"/>
    <cellStyle name="Standaard 24 2 2 2 2 2 6" xfId="25970"/>
    <cellStyle name="Standaard 24 2 2 2 2 2 7" xfId="25971"/>
    <cellStyle name="Standaard 24 2 2 2 2 3" xfId="25972"/>
    <cellStyle name="Standaard 24 2 2 2 2 3 2" xfId="25973"/>
    <cellStyle name="Standaard 24 2 2 2 2 3 2 2" xfId="25974"/>
    <cellStyle name="Standaard 24 2 2 2 2 3 2 2 2" xfId="25975"/>
    <cellStyle name="Standaard 24 2 2 2 2 3 2 2 2 2" xfId="25976"/>
    <cellStyle name="Standaard 24 2 2 2 2 3 2 2 3" xfId="25977"/>
    <cellStyle name="Standaard 24 2 2 2 2 3 2 3" xfId="25978"/>
    <cellStyle name="Standaard 24 2 2 2 2 3 2 3 2" xfId="25979"/>
    <cellStyle name="Standaard 24 2 2 2 2 3 2 4" xfId="25980"/>
    <cellStyle name="Standaard 24 2 2 2 2 3 3" xfId="25981"/>
    <cellStyle name="Standaard 24 2 2 2 2 3 3 2" xfId="25982"/>
    <cellStyle name="Standaard 24 2 2 2 2 3 3 2 2" xfId="25983"/>
    <cellStyle name="Standaard 24 2 2 2 2 3 3 3" xfId="25984"/>
    <cellStyle name="Standaard 24 2 2 2 2 3 4" xfId="25985"/>
    <cellStyle name="Standaard 24 2 2 2 2 3 4 2" xfId="25986"/>
    <cellStyle name="Standaard 24 2 2 2 2 3 5" xfId="25987"/>
    <cellStyle name="Standaard 24 2 2 2 2 3 6" xfId="25988"/>
    <cellStyle name="Standaard 24 2 2 2 2 4" xfId="25989"/>
    <cellStyle name="Standaard 24 2 2 2 2 4 2" xfId="25990"/>
    <cellStyle name="Standaard 24 2 2 2 2 4 2 2" xfId="25991"/>
    <cellStyle name="Standaard 24 2 2 2 2 4 2 2 2" xfId="25992"/>
    <cellStyle name="Standaard 24 2 2 2 2 4 2 3" xfId="25993"/>
    <cellStyle name="Standaard 24 2 2 2 2 4 3" xfId="25994"/>
    <cellStyle name="Standaard 24 2 2 2 2 4 3 2" xfId="25995"/>
    <cellStyle name="Standaard 24 2 2 2 2 4 4" xfId="25996"/>
    <cellStyle name="Standaard 24 2 2 2 2 5" xfId="25997"/>
    <cellStyle name="Standaard 24 2 2 2 2 5 2" xfId="25998"/>
    <cellStyle name="Standaard 24 2 2 2 2 5 2 2" xfId="25999"/>
    <cellStyle name="Standaard 24 2 2 2 2 5 3" xfId="26000"/>
    <cellStyle name="Standaard 24 2 2 2 2 6" xfId="26001"/>
    <cellStyle name="Standaard 24 2 2 2 2 6 2" xfId="26002"/>
    <cellStyle name="Standaard 24 2 2 2 2 7" xfId="26003"/>
    <cellStyle name="Standaard 24 2 2 2 2 8" xfId="26004"/>
    <cellStyle name="Standaard 24 2 2 2 3" xfId="26005"/>
    <cellStyle name="Standaard 24 2 2 2 3 2" xfId="26006"/>
    <cellStyle name="Standaard 24 2 2 2 3 2 2" xfId="26007"/>
    <cellStyle name="Standaard 24 2 2 2 3 2 2 2" xfId="26008"/>
    <cellStyle name="Standaard 24 2 2 2 3 2 2 2 2" xfId="26009"/>
    <cellStyle name="Standaard 24 2 2 2 3 2 2 2 2 2" xfId="26010"/>
    <cellStyle name="Standaard 24 2 2 2 3 2 2 2 3" xfId="26011"/>
    <cellStyle name="Standaard 24 2 2 2 3 2 2 3" xfId="26012"/>
    <cellStyle name="Standaard 24 2 2 2 3 2 2 3 2" xfId="26013"/>
    <cellStyle name="Standaard 24 2 2 2 3 2 2 4" xfId="26014"/>
    <cellStyle name="Standaard 24 2 2 2 3 2 3" xfId="26015"/>
    <cellStyle name="Standaard 24 2 2 2 3 2 3 2" xfId="26016"/>
    <cellStyle name="Standaard 24 2 2 2 3 2 3 2 2" xfId="26017"/>
    <cellStyle name="Standaard 24 2 2 2 3 2 3 3" xfId="26018"/>
    <cellStyle name="Standaard 24 2 2 2 3 2 4" xfId="26019"/>
    <cellStyle name="Standaard 24 2 2 2 3 2 4 2" xfId="26020"/>
    <cellStyle name="Standaard 24 2 2 2 3 2 5" xfId="26021"/>
    <cellStyle name="Standaard 24 2 2 2 3 2 6" xfId="26022"/>
    <cellStyle name="Standaard 24 2 2 2 3 3" xfId="26023"/>
    <cellStyle name="Standaard 24 2 2 2 3 3 2" xfId="26024"/>
    <cellStyle name="Standaard 24 2 2 2 3 3 2 2" xfId="26025"/>
    <cellStyle name="Standaard 24 2 2 2 3 3 2 2 2" xfId="26026"/>
    <cellStyle name="Standaard 24 2 2 2 3 3 2 3" xfId="26027"/>
    <cellStyle name="Standaard 24 2 2 2 3 3 3" xfId="26028"/>
    <cellStyle name="Standaard 24 2 2 2 3 3 3 2" xfId="26029"/>
    <cellStyle name="Standaard 24 2 2 2 3 3 4" xfId="26030"/>
    <cellStyle name="Standaard 24 2 2 2 3 4" xfId="26031"/>
    <cellStyle name="Standaard 24 2 2 2 3 4 2" xfId="26032"/>
    <cellStyle name="Standaard 24 2 2 2 3 4 2 2" xfId="26033"/>
    <cellStyle name="Standaard 24 2 2 2 3 4 3" xfId="26034"/>
    <cellStyle name="Standaard 24 2 2 2 3 5" xfId="26035"/>
    <cellStyle name="Standaard 24 2 2 2 3 5 2" xfId="26036"/>
    <cellStyle name="Standaard 24 2 2 2 3 6" xfId="26037"/>
    <cellStyle name="Standaard 24 2 2 2 3 7" xfId="26038"/>
    <cellStyle name="Standaard 24 2 2 2 4" xfId="26039"/>
    <cellStyle name="Standaard 24 2 2 2 4 2" xfId="26040"/>
    <cellStyle name="Standaard 24 2 2 2 4 2 2" xfId="26041"/>
    <cellStyle name="Standaard 24 2 2 2 4 2 2 2" xfId="26042"/>
    <cellStyle name="Standaard 24 2 2 2 4 2 2 2 2" xfId="26043"/>
    <cellStyle name="Standaard 24 2 2 2 4 2 2 3" xfId="26044"/>
    <cellStyle name="Standaard 24 2 2 2 4 2 3" xfId="26045"/>
    <cellStyle name="Standaard 24 2 2 2 4 2 3 2" xfId="26046"/>
    <cellStyle name="Standaard 24 2 2 2 4 2 4" xfId="26047"/>
    <cellStyle name="Standaard 24 2 2 2 4 3" xfId="26048"/>
    <cellStyle name="Standaard 24 2 2 2 4 3 2" xfId="26049"/>
    <cellStyle name="Standaard 24 2 2 2 4 3 2 2" xfId="26050"/>
    <cellStyle name="Standaard 24 2 2 2 4 3 3" xfId="26051"/>
    <cellStyle name="Standaard 24 2 2 2 4 4" xfId="26052"/>
    <cellStyle name="Standaard 24 2 2 2 4 4 2" xfId="26053"/>
    <cellStyle name="Standaard 24 2 2 2 4 5" xfId="26054"/>
    <cellStyle name="Standaard 24 2 2 2 4 6" xfId="26055"/>
    <cellStyle name="Standaard 24 2 2 2 5" xfId="26056"/>
    <cellStyle name="Standaard 24 2 2 2 5 2" xfId="26057"/>
    <cellStyle name="Standaard 24 2 2 2 5 2 2" xfId="26058"/>
    <cellStyle name="Standaard 24 2 2 2 5 2 2 2" xfId="26059"/>
    <cellStyle name="Standaard 24 2 2 2 5 2 3" xfId="26060"/>
    <cellStyle name="Standaard 24 2 2 2 5 3" xfId="26061"/>
    <cellStyle name="Standaard 24 2 2 2 5 3 2" xfId="26062"/>
    <cellStyle name="Standaard 24 2 2 2 5 4" xfId="26063"/>
    <cellStyle name="Standaard 24 2 2 2 6" xfId="26064"/>
    <cellStyle name="Standaard 24 2 2 2 6 2" xfId="26065"/>
    <cellStyle name="Standaard 24 2 2 2 6 2 2" xfId="26066"/>
    <cellStyle name="Standaard 24 2 2 2 6 3" xfId="26067"/>
    <cellStyle name="Standaard 24 2 2 2 7" xfId="26068"/>
    <cellStyle name="Standaard 24 2 2 2 7 2" xfId="26069"/>
    <cellStyle name="Standaard 24 2 2 2 8" xfId="26070"/>
    <cellStyle name="Standaard 24 2 2 2 9" xfId="26071"/>
    <cellStyle name="Standaard 24 2 2 3" xfId="26072"/>
    <cellStyle name="Standaard 24 2 2 3 2" xfId="26073"/>
    <cellStyle name="Standaard 24 2 2 3 2 2" xfId="26074"/>
    <cellStyle name="Standaard 24 2 2 3 2 2 2" xfId="26075"/>
    <cellStyle name="Standaard 24 2 2 3 2 2 2 2" xfId="26076"/>
    <cellStyle name="Standaard 24 2 2 3 2 2 2 2 2" xfId="26077"/>
    <cellStyle name="Standaard 24 2 2 3 2 2 2 2 2 2" xfId="26078"/>
    <cellStyle name="Standaard 24 2 2 3 2 2 2 2 3" xfId="26079"/>
    <cellStyle name="Standaard 24 2 2 3 2 2 2 3" xfId="26080"/>
    <cellStyle name="Standaard 24 2 2 3 2 2 2 3 2" xfId="26081"/>
    <cellStyle name="Standaard 24 2 2 3 2 2 2 4" xfId="26082"/>
    <cellStyle name="Standaard 24 2 2 3 2 2 3" xfId="26083"/>
    <cellStyle name="Standaard 24 2 2 3 2 2 3 2" xfId="26084"/>
    <cellStyle name="Standaard 24 2 2 3 2 2 3 2 2" xfId="26085"/>
    <cellStyle name="Standaard 24 2 2 3 2 2 3 3" xfId="26086"/>
    <cellStyle name="Standaard 24 2 2 3 2 2 4" xfId="26087"/>
    <cellStyle name="Standaard 24 2 2 3 2 2 4 2" xfId="26088"/>
    <cellStyle name="Standaard 24 2 2 3 2 2 5" xfId="26089"/>
    <cellStyle name="Standaard 24 2 2 3 2 2 6" xfId="26090"/>
    <cellStyle name="Standaard 24 2 2 3 2 3" xfId="26091"/>
    <cellStyle name="Standaard 24 2 2 3 2 3 2" xfId="26092"/>
    <cellStyle name="Standaard 24 2 2 3 2 3 2 2" xfId="26093"/>
    <cellStyle name="Standaard 24 2 2 3 2 3 2 2 2" xfId="26094"/>
    <cellStyle name="Standaard 24 2 2 3 2 3 2 3" xfId="26095"/>
    <cellStyle name="Standaard 24 2 2 3 2 3 3" xfId="26096"/>
    <cellStyle name="Standaard 24 2 2 3 2 3 3 2" xfId="26097"/>
    <cellStyle name="Standaard 24 2 2 3 2 3 4" xfId="26098"/>
    <cellStyle name="Standaard 24 2 2 3 2 4" xfId="26099"/>
    <cellStyle name="Standaard 24 2 2 3 2 4 2" xfId="26100"/>
    <cellStyle name="Standaard 24 2 2 3 2 4 2 2" xfId="26101"/>
    <cellStyle name="Standaard 24 2 2 3 2 4 3" xfId="26102"/>
    <cellStyle name="Standaard 24 2 2 3 2 5" xfId="26103"/>
    <cellStyle name="Standaard 24 2 2 3 2 5 2" xfId="26104"/>
    <cellStyle name="Standaard 24 2 2 3 2 6" xfId="26105"/>
    <cellStyle name="Standaard 24 2 2 3 2 7" xfId="26106"/>
    <cellStyle name="Standaard 24 2 2 3 3" xfId="26107"/>
    <cellStyle name="Standaard 24 2 2 3 3 2" xfId="26108"/>
    <cellStyle name="Standaard 24 2 2 3 3 2 2" xfId="26109"/>
    <cellStyle name="Standaard 24 2 2 3 3 2 2 2" xfId="26110"/>
    <cellStyle name="Standaard 24 2 2 3 3 2 2 2 2" xfId="26111"/>
    <cellStyle name="Standaard 24 2 2 3 3 2 2 3" xfId="26112"/>
    <cellStyle name="Standaard 24 2 2 3 3 2 3" xfId="26113"/>
    <cellStyle name="Standaard 24 2 2 3 3 2 3 2" xfId="26114"/>
    <cellStyle name="Standaard 24 2 2 3 3 2 4" xfId="26115"/>
    <cellStyle name="Standaard 24 2 2 3 3 3" xfId="26116"/>
    <cellStyle name="Standaard 24 2 2 3 3 3 2" xfId="26117"/>
    <cellStyle name="Standaard 24 2 2 3 3 3 2 2" xfId="26118"/>
    <cellStyle name="Standaard 24 2 2 3 3 3 3" xfId="26119"/>
    <cellStyle name="Standaard 24 2 2 3 3 4" xfId="26120"/>
    <cellStyle name="Standaard 24 2 2 3 3 4 2" xfId="26121"/>
    <cellStyle name="Standaard 24 2 2 3 3 5" xfId="26122"/>
    <cellStyle name="Standaard 24 2 2 3 3 6" xfId="26123"/>
    <cellStyle name="Standaard 24 2 2 3 4" xfId="26124"/>
    <cellStyle name="Standaard 24 2 2 3 4 2" xfId="26125"/>
    <cellStyle name="Standaard 24 2 2 3 4 2 2" xfId="26126"/>
    <cellStyle name="Standaard 24 2 2 3 4 2 2 2" xfId="26127"/>
    <cellStyle name="Standaard 24 2 2 3 4 2 3" xfId="26128"/>
    <cellStyle name="Standaard 24 2 2 3 4 3" xfId="26129"/>
    <cellStyle name="Standaard 24 2 2 3 4 3 2" xfId="26130"/>
    <cellStyle name="Standaard 24 2 2 3 4 4" xfId="26131"/>
    <cellStyle name="Standaard 24 2 2 3 5" xfId="26132"/>
    <cellStyle name="Standaard 24 2 2 3 5 2" xfId="26133"/>
    <cellStyle name="Standaard 24 2 2 3 5 2 2" xfId="26134"/>
    <cellStyle name="Standaard 24 2 2 3 5 3" xfId="26135"/>
    <cellStyle name="Standaard 24 2 2 3 6" xfId="26136"/>
    <cellStyle name="Standaard 24 2 2 3 6 2" xfId="26137"/>
    <cellStyle name="Standaard 24 2 2 3 7" xfId="26138"/>
    <cellStyle name="Standaard 24 2 2 3 8" xfId="26139"/>
    <cellStyle name="Standaard 24 2 2 4" xfId="26140"/>
    <cellStyle name="Standaard 24 2 2 4 2" xfId="26141"/>
    <cellStyle name="Standaard 24 2 2 4 2 2" xfId="26142"/>
    <cellStyle name="Standaard 24 2 2 4 2 2 2" xfId="26143"/>
    <cellStyle name="Standaard 24 2 2 4 2 2 2 2" xfId="26144"/>
    <cellStyle name="Standaard 24 2 2 4 2 2 2 2 2" xfId="26145"/>
    <cellStyle name="Standaard 24 2 2 4 2 2 2 2 2 2" xfId="26146"/>
    <cellStyle name="Standaard 24 2 2 4 2 2 2 2 3" xfId="26147"/>
    <cellStyle name="Standaard 24 2 2 4 2 2 2 3" xfId="26148"/>
    <cellStyle name="Standaard 24 2 2 4 2 2 2 3 2" xfId="26149"/>
    <cellStyle name="Standaard 24 2 2 4 2 2 2 4" xfId="26150"/>
    <cellStyle name="Standaard 24 2 2 4 2 2 3" xfId="26151"/>
    <cellStyle name="Standaard 24 2 2 4 2 2 3 2" xfId="26152"/>
    <cellStyle name="Standaard 24 2 2 4 2 2 3 2 2" xfId="26153"/>
    <cellStyle name="Standaard 24 2 2 4 2 2 3 3" xfId="26154"/>
    <cellStyle name="Standaard 24 2 2 4 2 2 4" xfId="26155"/>
    <cellStyle name="Standaard 24 2 2 4 2 2 4 2" xfId="26156"/>
    <cellStyle name="Standaard 24 2 2 4 2 2 5" xfId="26157"/>
    <cellStyle name="Standaard 24 2 2 4 2 2 6" xfId="26158"/>
    <cellStyle name="Standaard 24 2 2 4 2 3" xfId="26159"/>
    <cellStyle name="Standaard 24 2 2 4 2 3 2" xfId="26160"/>
    <cellStyle name="Standaard 24 2 2 4 2 3 2 2" xfId="26161"/>
    <cellStyle name="Standaard 24 2 2 4 2 3 2 2 2" xfId="26162"/>
    <cellStyle name="Standaard 24 2 2 4 2 3 2 3" xfId="26163"/>
    <cellStyle name="Standaard 24 2 2 4 2 3 3" xfId="26164"/>
    <cellStyle name="Standaard 24 2 2 4 2 3 3 2" xfId="26165"/>
    <cellStyle name="Standaard 24 2 2 4 2 3 4" xfId="26166"/>
    <cellStyle name="Standaard 24 2 2 4 2 4" xfId="26167"/>
    <cellStyle name="Standaard 24 2 2 4 2 4 2" xfId="26168"/>
    <cellStyle name="Standaard 24 2 2 4 2 4 2 2" xfId="26169"/>
    <cellStyle name="Standaard 24 2 2 4 2 4 3" xfId="26170"/>
    <cellStyle name="Standaard 24 2 2 4 2 5" xfId="26171"/>
    <cellStyle name="Standaard 24 2 2 4 2 5 2" xfId="26172"/>
    <cellStyle name="Standaard 24 2 2 4 2 6" xfId="26173"/>
    <cellStyle name="Standaard 24 2 2 4 2 7" xfId="26174"/>
    <cellStyle name="Standaard 24 2 2 4 3" xfId="26175"/>
    <cellStyle name="Standaard 24 2 2 4 3 2" xfId="26176"/>
    <cellStyle name="Standaard 24 2 2 4 3 2 2" xfId="26177"/>
    <cellStyle name="Standaard 24 2 2 4 3 2 2 2" xfId="26178"/>
    <cellStyle name="Standaard 24 2 2 4 3 2 2 2 2" xfId="26179"/>
    <cellStyle name="Standaard 24 2 2 4 3 2 2 3" xfId="26180"/>
    <cellStyle name="Standaard 24 2 2 4 3 2 3" xfId="26181"/>
    <cellStyle name="Standaard 24 2 2 4 3 2 3 2" xfId="26182"/>
    <cellStyle name="Standaard 24 2 2 4 3 2 4" xfId="26183"/>
    <cellStyle name="Standaard 24 2 2 4 3 3" xfId="26184"/>
    <cellStyle name="Standaard 24 2 2 4 3 3 2" xfId="26185"/>
    <cellStyle name="Standaard 24 2 2 4 3 3 2 2" xfId="26186"/>
    <cellStyle name="Standaard 24 2 2 4 3 3 3" xfId="26187"/>
    <cellStyle name="Standaard 24 2 2 4 3 4" xfId="26188"/>
    <cellStyle name="Standaard 24 2 2 4 3 4 2" xfId="26189"/>
    <cellStyle name="Standaard 24 2 2 4 3 5" xfId="26190"/>
    <cellStyle name="Standaard 24 2 2 4 3 6" xfId="26191"/>
    <cellStyle name="Standaard 24 2 2 4 4" xfId="26192"/>
    <cellStyle name="Standaard 24 2 2 4 4 2" xfId="26193"/>
    <cellStyle name="Standaard 24 2 2 4 4 2 2" xfId="26194"/>
    <cellStyle name="Standaard 24 2 2 4 4 2 2 2" xfId="26195"/>
    <cellStyle name="Standaard 24 2 2 4 4 2 3" xfId="26196"/>
    <cellStyle name="Standaard 24 2 2 4 4 3" xfId="26197"/>
    <cellStyle name="Standaard 24 2 2 4 4 3 2" xfId="26198"/>
    <cellStyle name="Standaard 24 2 2 4 4 4" xfId="26199"/>
    <cellStyle name="Standaard 24 2 2 4 5" xfId="26200"/>
    <cellStyle name="Standaard 24 2 2 4 5 2" xfId="26201"/>
    <cellStyle name="Standaard 24 2 2 4 5 2 2" xfId="26202"/>
    <cellStyle name="Standaard 24 2 2 4 5 3" xfId="26203"/>
    <cellStyle name="Standaard 24 2 2 4 6" xfId="26204"/>
    <cellStyle name="Standaard 24 2 2 4 6 2" xfId="26205"/>
    <cellStyle name="Standaard 24 2 2 4 7" xfId="26206"/>
    <cellStyle name="Standaard 24 2 2 4 8" xfId="26207"/>
    <cellStyle name="Standaard 24 2 2 5" xfId="26208"/>
    <cellStyle name="Standaard 24 2 2 5 2" xfId="26209"/>
    <cellStyle name="Standaard 24 2 2 5 2 2" xfId="26210"/>
    <cellStyle name="Standaard 24 2 2 5 2 2 2" xfId="26211"/>
    <cellStyle name="Standaard 24 2 2 5 2 2 2 2" xfId="26212"/>
    <cellStyle name="Standaard 24 2 2 5 2 2 2 2 2" xfId="26213"/>
    <cellStyle name="Standaard 24 2 2 5 2 2 2 3" xfId="26214"/>
    <cellStyle name="Standaard 24 2 2 5 2 2 3" xfId="26215"/>
    <cellStyle name="Standaard 24 2 2 5 2 2 3 2" xfId="26216"/>
    <cellStyle name="Standaard 24 2 2 5 2 2 4" xfId="26217"/>
    <cellStyle name="Standaard 24 2 2 5 2 3" xfId="26218"/>
    <cellStyle name="Standaard 24 2 2 5 2 3 2" xfId="26219"/>
    <cellStyle name="Standaard 24 2 2 5 2 3 2 2" xfId="26220"/>
    <cellStyle name="Standaard 24 2 2 5 2 3 3" xfId="26221"/>
    <cellStyle name="Standaard 24 2 2 5 2 4" xfId="26222"/>
    <cellStyle name="Standaard 24 2 2 5 2 4 2" xfId="26223"/>
    <cellStyle name="Standaard 24 2 2 5 2 5" xfId="26224"/>
    <cellStyle name="Standaard 24 2 2 5 2 6" xfId="26225"/>
    <cellStyle name="Standaard 24 2 2 5 3" xfId="26226"/>
    <cellStyle name="Standaard 24 2 2 5 3 2" xfId="26227"/>
    <cellStyle name="Standaard 24 2 2 5 3 2 2" xfId="26228"/>
    <cellStyle name="Standaard 24 2 2 5 3 2 2 2" xfId="26229"/>
    <cellStyle name="Standaard 24 2 2 5 3 2 3" xfId="26230"/>
    <cellStyle name="Standaard 24 2 2 5 3 3" xfId="26231"/>
    <cellStyle name="Standaard 24 2 2 5 3 3 2" xfId="26232"/>
    <cellStyle name="Standaard 24 2 2 5 3 4" xfId="26233"/>
    <cellStyle name="Standaard 24 2 2 5 4" xfId="26234"/>
    <cellStyle name="Standaard 24 2 2 5 4 2" xfId="26235"/>
    <cellStyle name="Standaard 24 2 2 5 4 2 2" xfId="26236"/>
    <cellStyle name="Standaard 24 2 2 5 4 3" xfId="26237"/>
    <cellStyle name="Standaard 24 2 2 5 5" xfId="26238"/>
    <cellStyle name="Standaard 24 2 2 5 5 2" xfId="26239"/>
    <cellStyle name="Standaard 24 2 2 5 6" xfId="26240"/>
    <cellStyle name="Standaard 24 2 2 5 7" xfId="26241"/>
    <cellStyle name="Standaard 24 2 2 6" xfId="26242"/>
    <cellStyle name="Standaard 24 2 2 6 2" xfId="26243"/>
    <cellStyle name="Standaard 24 2 2 6 2 2" xfId="26244"/>
    <cellStyle name="Standaard 24 2 2 6 2 2 2" xfId="26245"/>
    <cellStyle name="Standaard 24 2 2 6 2 2 2 2" xfId="26246"/>
    <cellStyle name="Standaard 24 2 2 6 2 2 3" xfId="26247"/>
    <cellStyle name="Standaard 24 2 2 6 2 3" xfId="26248"/>
    <cellStyle name="Standaard 24 2 2 6 2 3 2" xfId="26249"/>
    <cellStyle name="Standaard 24 2 2 6 2 4" xfId="26250"/>
    <cellStyle name="Standaard 24 2 2 6 3" xfId="26251"/>
    <cellStyle name="Standaard 24 2 2 6 3 2" xfId="26252"/>
    <cellStyle name="Standaard 24 2 2 6 3 2 2" xfId="26253"/>
    <cellStyle name="Standaard 24 2 2 6 3 3" xfId="26254"/>
    <cellStyle name="Standaard 24 2 2 6 4" xfId="26255"/>
    <cellStyle name="Standaard 24 2 2 6 4 2" xfId="26256"/>
    <cellStyle name="Standaard 24 2 2 6 5" xfId="26257"/>
    <cellStyle name="Standaard 24 2 2 6 6" xfId="26258"/>
    <cellStyle name="Standaard 24 2 2 7" xfId="26259"/>
    <cellStyle name="Standaard 24 2 2 7 2" xfId="26260"/>
    <cellStyle name="Standaard 24 2 2 7 2 2" xfId="26261"/>
    <cellStyle name="Standaard 24 2 2 7 2 2 2" xfId="26262"/>
    <cellStyle name="Standaard 24 2 2 7 2 3" xfId="26263"/>
    <cellStyle name="Standaard 24 2 2 7 3" xfId="26264"/>
    <cellStyle name="Standaard 24 2 2 7 3 2" xfId="26265"/>
    <cellStyle name="Standaard 24 2 2 7 4" xfId="26266"/>
    <cellStyle name="Standaard 24 2 2 8" xfId="26267"/>
    <cellStyle name="Standaard 24 2 2 8 2" xfId="26268"/>
    <cellStyle name="Standaard 24 2 2 8 2 2" xfId="26269"/>
    <cellStyle name="Standaard 24 2 2 8 3" xfId="26270"/>
    <cellStyle name="Standaard 24 2 2 9" xfId="26271"/>
    <cellStyle name="Standaard 24 2 2 9 2" xfId="26272"/>
    <cellStyle name="Standaard 24 2 3" xfId="26273"/>
    <cellStyle name="Standaard 24 2 3 2" xfId="26274"/>
    <cellStyle name="Standaard 24 2 3 2 2" xfId="26275"/>
    <cellStyle name="Standaard 24 2 3 2 2 2" xfId="26276"/>
    <cellStyle name="Standaard 24 2 3 2 2 2 2" xfId="26277"/>
    <cellStyle name="Standaard 24 2 3 2 2 2 2 2" xfId="26278"/>
    <cellStyle name="Standaard 24 2 3 2 2 2 2 2 2" xfId="26279"/>
    <cellStyle name="Standaard 24 2 3 2 2 2 2 2 2 2" xfId="26280"/>
    <cellStyle name="Standaard 24 2 3 2 2 2 2 2 3" xfId="26281"/>
    <cellStyle name="Standaard 24 2 3 2 2 2 2 3" xfId="26282"/>
    <cellStyle name="Standaard 24 2 3 2 2 2 2 3 2" xfId="26283"/>
    <cellStyle name="Standaard 24 2 3 2 2 2 2 4" xfId="26284"/>
    <cellStyle name="Standaard 24 2 3 2 2 2 3" xfId="26285"/>
    <cellStyle name="Standaard 24 2 3 2 2 2 3 2" xfId="26286"/>
    <cellStyle name="Standaard 24 2 3 2 2 2 3 2 2" xfId="26287"/>
    <cellStyle name="Standaard 24 2 3 2 2 2 3 3" xfId="26288"/>
    <cellStyle name="Standaard 24 2 3 2 2 2 4" xfId="26289"/>
    <cellStyle name="Standaard 24 2 3 2 2 2 4 2" xfId="26290"/>
    <cellStyle name="Standaard 24 2 3 2 2 2 5" xfId="26291"/>
    <cellStyle name="Standaard 24 2 3 2 2 2 6" xfId="26292"/>
    <cellStyle name="Standaard 24 2 3 2 2 3" xfId="26293"/>
    <cellStyle name="Standaard 24 2 3 2 2 3 2" xfId="26294"/>
    <cellStyle name="Standaard 24 2 3 2 2 3 2 2" xfId="26295"/>
    <cellStyle name="Standaard 24 2 3 2 2 3 2 2 2" xfId="26296"/>
    <cellStyle name="Standaard 24 2 3 2 2 3 2 3" xfId="26297"/>
    <cellStyle name="Standaard 24 2 3 2 2 3 3" xfId="26298"/>
    <cellStyle name="Standaard 24 2 3 2 2 3 3 2" xfId="26299"/>
    <cellStyle name="Standaard 24 2 3 2 2 3 4" xfId="26300"/>
    <cellStyle name="Standaard 24 2 3 2 2 4" xfId="26301"/>
    <cellStyle name="Standaard 24 2 3 2 2 4 2" xfId="26302"/>
    <cellStyle name="Standaard 24 2 3 2 2 4 2 2" xfId="26303"/>
    <cellStyle name="Standaard 24 2 3 2 2 4 3" xfId="26304"/>
    <cellStyle name="Standaard 24 2 3 2 2 5" xfId="26305"/>
    <cellStyle name="Standaard 24 2 3 2 2 5 2" xfId="26306"/>
    <cellStyle name="Standaard 24 2 3 2 2 6" xfId="26307"/>
    <cellStyle name="Standaard 24 2 3 2 2 7" xfId="26308"/>
    <cellStyle name="Standaard 24 2 3 2 3" xfId="26309"/>
    <cellStyle name="Standaard 24 2 3 2 3 2" xfId="26310"/>
    <cellStyle name="Standaard 24 2 3 2 3 2 2" xfId="26311"/>
    <cellStyle name="Standaard 24 2 3 2 3 2 2 2" xfId="26312"/>
    <cellStyle name="Standaard 24 2 3 2 3 2 2 2 2" xfId="26313"/>
    <cellStyle name="Standaard 24 2 3 2 3 2 2 3" xfId="26314"/>
    <cellStyle name="Standaard 24 2 3 2 3 2 3" xfId="26315"/>
    <cellStyle name="Standaard 24 2 3 2 3 2 3 2" xfId="26316"/>
    <cellStyle name="Standaard 24 2 3 2 3 2 4" xfId="26317"/>
    <cellStyle name="Standaard 24 2 3 2 3 3" xfId="26318"/>
    <cellStyle name="Standaard 24 2 3 2 3 3 2" xfId="26319"/>
    <cellStyle name="Standaard 24 2 3 2 3 3 2 2" xfId="26320"/>
    <cellStyle name="Standaard 24 2 3 2 3 3 3" xfId="26321"/>
    <cellStyle name="Standaard 24 2 3 2 3 4" xfId="26322"/>
    <cellStyle name="Standaard 24 2 3 2 3 4 2" xfId="26323"/>
    <cellStyle name="Standaard 24 2 3 2 3 5" xfId="26324"/>
    <cellStyle name="Standaard 24 2 3 2 3 6" xfId="26325"/>
    <cellStyle name="Standaard 24 2 3 2 4" xfId="26326"/>
    <cellStyle name="Standaard 24 2 3 2 4 2" xfId="26327"/>
    <cellStyle name="Standaard 24 2 3 2 4 2 2" xfId="26328"/>
    <cellStyle name="Standaard 24 2 3 2 4 2 2 2" xfId="26329"/>
    <cellStyle name="Standaard 24 2 3 2 4 2 3" xfId="26330"/>
    <cellStyle name="Standaard 24 2 3 2 4 3" xfId="26331"/>
    <cellStyle name="Standaard 24 2 3 2 4 3 2" xfId="26332"/>
    <cellStyle name="Standaard 24 2 3 2 4 4" xfId="26333"/>
    <cellStyle name="Standaard 24 2 3 2 5" xfId="26334"/>
    <cellStyle name="Standaard 24 2 3 2 5 2" xfId="26335"/>
    <cellStyle name="Standaard 24 2 3 2 5 2 2" xfId="26336"/>
    <cellStyle name="Standaard 24 2 3 2 5 3" xfId="26337"/>
    <cellStyle name="Standaard 24 2 3 2 6" xfId="26338"/>
    <cellStyle name="Standaard 24 2 3 2 6 2" xfId="26339"/>
    <cellStyle name="Standaard 24 2 3 2 7" xfId="26340"/>
    <cellStyle name="Standaard 24 2 3 2 8" xfId="26341"/>
    <cellStyle name="Standaard 24 2 3 3" xfId="26342"/>
    <cellStyle name="Standaard 24 2 3 3 2" xfId="26343"/>
    <cellStyle name="Standaard 24 2 3 3 2 2" xfId="26344"/>
    <cellStyle name="Standaard 24 2 3 3 2 2 2" xfId="26345"/>
    <cellStyle name="Standaard 24 2 3 3 2 2 2 2" xfId="26346"/>
    <cellStyle name="Standaard 24 2 3 3 2 2 2 2 2" xfId="26347"/>
    <cellStyle name="Standaard 24 2 3 3 2 2 2 3" xfId="26348"/>
    <cellStyle name="Standaard 24 2 3 3 2 2 3" xfId="26349"/>
    <cellStyle name="Standaard 24 2 3 3 2 2 3 2" xfId="26350"/>
    <cellStyle name="Standaard 24 2 3 3 2 2 4" xfId="26351"/>
    <cellStyle name="Standaard 24 2 3 3 2 3" xfId="26352"/>
    <cellStyle name="Standaard 24 2 3 3 2 3 2" xfId="26353"/>
    <cellStyle name="Standaard 24 2 3 3 2 3 2 2" xfId="26354"/>
    <cellStyle name="Standaard 24 2 3 3 2 3 3" xfId="26355"/>
    <cellStyle name="Standaard 24 2 3 3 2 4" xfId="26356"/>
    <cellStyle name="Standaard 24 2 3 3 2 4 2" xfId="26357"/>
    <cellStyle name="Standaard 24 2 3 3 2 5" xfId="26358"/>
    <cellStyle name="Standaard 24 2 3 3 2 6" xfId="26359"/>
    <cellStyle name="Standaard 24 2 3 3 3" xfId="26360"/>
    <cellStyle name="Standaard 24 2 3 3 3 2" xfId="26361"/>
    <cellStyle name="Standaard 24 2 3 3 3 2 2" xfId="26362"/>
    <cellStyle name="Standaard 24 2 3 3 3 2 2 2" xfId="26363"/>
    <cellStyle name="Standaard 24 2 3 3 3 2 3" xfId="26364"/>
    <cellStyle name="Standaard 24 2 3 3 3 3" xfId="26365"/>
    <cellStyle name="Standaard 24 2 3 3 3 3 2" xfId="26366"/>
    <cellStyle name="Standaard 24 2 3 3 3 4" xfId="26367"/>
    <cellStyle name="Standaard 24 2 3 3 4" xfId="26368"/>
    <cellStyle name="Standaard 24 2 3 3 4 2" xfId="26369"/>
    <cellStyle name="Standaard 24 2 3 3 4 2 2" xfId="26370"/>
    <cellStyle name="Standaard 24 2 3 3 4 3" xfId="26371"/>
    <cellStyle name="Standaard 24 2 3 3 5" xfId="26372"/>
    <cellStyle name="Standaard 24 2 3 3 5 2" xfId="26373"/>
    <cellStyle name="Standaard 24 2 3 3 6" xfId="26374"/>
    <cellStyle name="Standaard 24 2 3 3 7" xfId="26375"/>
    <cellStyle name="Standaard 24 2 3 4" xfId="26376"/>
    <cellStyle name="Standaard 24 2 3 4 2" xfId="26377"/>
    <cellStyle name="Standaard 24 2 3 4 2 2" xfId="26378"/>
    <cellStyle name="Standaard 24 2 3 4 2 2 2" xfId="26379"/>
    <cellStyle name="Standaard 24 2 3 4 2 2 2 2" xfId="26380"/>
    <cellStyle name="Standaard 24 2 3 4 2 2 3" xfId="26381"/>
    <cellStyle name="Standaard 24 2 3 4 2 3" xfId="26382"/>
    <cellStyle name="Standaard 24 2 3 4 2 3 2" xfId="26383"/>
    <cellStyle name="Standaard 24 2 3 4 2 4" xfId="26384"/>
    <cellStyle name="Standaard 24 2 3 4 3" xfId="26385"/>
    <cellStyle name="Standaard 24 2 3 4 3 2" xfId="26386"/>
    <cellStyle name="Standaard 24 2 3 4 3 2 2" xfId="26387"/>
    <cellStyle name="Standaard 24 2 3 4 3 3" xfId="26388"/>
    <cellStyle name="Standaard 24 2 3 4 4" xfId="26389"/>
    <cellStyle name="Standaard 24 2 3 4 4 2" xfId="26390"/>
    <cellStyle name="Standaard 24 2 3 4 5" xfId="26391"/>
    <cellStyle name="Standaard 24 2 3 4 6" xfId="26392"/>
    <cellStyle name="Standaard 24 2 3 5" xfId="26393"/>
    <cellStyle name="Standaard 24 2 3 5 2" xfId="26394"/>
    <cellStyle name="Standaard 24 2 3 5 2 2" xfId="26395"/>
    <cellStyle name="Standaard 24 2 3 5 2 2 2" xfId="26396"/>
    <cellStyle name="Standaard 24 2 3 5 2 3" xfId="26397"/>
    <cellStyle name="Standaard 24 2 3 5 3" xfId="26398"/>
    <cellStyle name="Standaard 24 2 3 5 3 2" xfId="26399"/>
    <cellStyle name="Standaard 24 2 3 5 4" xfId="26400"/>
    <cellStyle name="Standaard 24 2 3 6" xfId="26401"/>
    <cellStyle name="Standaard 24 2 3 6 2" xfId="26402"/>
    <cellStyle name="Standaard 24 2 3 6 2 2" xfId="26403"/>
    <cellStyle name="Standaard 24 2 3 6 3" xfId="26404"/>
    <cellStyle name="Standaard 24 2 3 7" xfId="26405"/>
    <cellStyle name="Standaard 24 2 3 7 2" xfId="26406"/>
    <cellStyle name="Standaard 24 2 3 8" xfId="26407"/>
    <cellStyle name="Standaard 24 2 3 9" xfId="26408"/>
    <cellStyle name="Standaard 24 2 4" xfId="26409"/>
    <cellStyle name="Standaard 24 2 4 2" xfId="26410"/>
    <cellStyle name="Standaard 24 2 4 2 2" xfId="26411"/>
    <cellStyle name="Standaard 24 2 4 2 2 2" xfId="26412"/>
    <cellStyle name="Standaard 24 2 4 2 2 2 2" xfId="26413"/>
    <cellStyle name="Standaard 24 2 4 2 2 2 2 2" xfId="26414"/>
    <cellStyle name="Standaard 24 2 4 2 2 2 2 2 2" xfId="26415"/>
    <cellStyle name="Standaard 24 2 4 2 2 2 2 3" xfId="26416"/>
    <cellStyle name="Standaard 24 2 4 2 2 2 3" xfId="26417"/>
    <cellStyle name="Standaard 24 2 4 2 2 2 3 2" xfId="26418"/>
    <cellStyle name="Standaard 24 2 4 2 2 2 4" xfId="26419"/>
    <cellStyle name="Standaard 24 2 4 2 2 3" xfId="26420"/>
    <cellStyle name="Standaard 24 2 4 2 2 3 2" xfId="26421"/>
    <cellStyle name="Standaard 24 2 4 2 2 3 2 2" xfId="26422"/>
    <cellStyle name="Standaard 24 2 4 2 2 3 3" xfId="26423"/>
    <cellStyle name="Standaard 24 2 4 2 2 4" xfId="26424"/>
    <cellStyle name="Standaard 24 2 4 2 2 4 2" xfId="26425"/>
    <cellStyle name="Standaard 24 2 4 2 2 5" xfId="26426"/>
    <cellStyle name="Standaard 24 2 4 2 2 6" xfId="26427"/>
    <cellStyle name="Standaard 24 2 4 2 3" xfId="26428"/>
    <cellStyle name="Standaard 24 2 4 2 3 2" xfId="26429"/>
    <cellStyle name="Standaard 24 2 4 2 3 2 2" xfId="26430"/>
    <cellStyle name="Standaard 24 2 4 2 3 2 2 2" xfId="26431"/>
    <cellStyle name="Standaard 24 2 4 2 3 2 3" xfId="26432"/>
    <cellStyle name="Standaard 24 2 4 2 3 3" xfId="26433"/>
    <cellStyle name="Standaard 24 2 4 2 3 3 2" xfId="26434"/>
    <cellStyle name="Standaard 24 2 4 2 3 4" xfId="26435"/>
    <cellStyle name="Standaard 24 2 4 2 4" xfId="26436"/>
    <cellStyle name="Standaard 24 2 4 2 4 2" xfId="26437"/>
    <cellStyle name="Standaard 24 2 4 2 4 2 2" xfId="26438"/>
    <cellStyle name="Standaard 24 2 4 2 4 3" xfId="26439"/>
    <cellStyle name="Standaard 24 2 4 2 5" xfId="26440"/>
    <cellStyle name="Standaard 24 2 4 2 5 2" xfId="26441"/>
    <cellStyle name="Standaard 24 2 4 2 6" xfId="26442"/>
    <cellStyle name="Standaard 24 2 4 2 7" xfId="26443"/>
    <cellStyle name="Standaard 24 2 4 3" xfId="26444"/>
    <cellStyle name="Standaard 24 2 4 3 2" xfId="26445"/>
    <cellStyle name="Standaard 24 2 4 3 2 2" xfId="26446"/>
    <cellStyle name="Standaard 24 2 4 3 2 2 2" xfId="26447"/>
    <cellStyle name="Standaard 24 2 4 3 2 2 2 2" xfId="26448"/>
    <cellStyle name="Standaard 24 2 4 3 2 2 3" xfId="26449"/>
    <cellStyle name="Standaard 24 2 4 3 2 3" xfId="26450"/>
    <cellStyle name="Standaard 24 2 4 3 2 3 2" xfId="26451"/>
    <cellStyle name="Standaard 24 2 4 3 2 4" xfId="26452"/>
    <cellStyle name="Standaard 24 2 4 3 3" xfId="26453"/>
    <cellStyle name="Standaard 24 2 4 3 3 2" xfId="26454"/>
    <cellStyle name="Standaard 24 2 4 3 3 2 2" xfId="26455"/>
    <cellStyle name="Standaard 24 2 4 3 3 3" xfId="26456"/>
    <cellStyle name="Standaard 24 2 4 3 4" xfId="26457"/>
    <cellStyle name="Standaard 24 2 4 3 4 2" xfId="26458"/>
    <cellStyle name="Standaard 24 2 4 3 5" xfId="26459"/>
    <cellStyle name="Standaard 24 2 4 3 6" xfId="26460"/>
    <cellStyle name="Standaard 24 2 4 4" xfId="26461"/>
    <cellStyle name="Standaard 24 2 4 4 2" xfId="26462"/>
    <cellStyle name="Standaard 24 2 4 4 2 2" xfId="26463"/>
    <cellStyle name="Standaard 24 2 4 4 2 2 2" xfId="26464"/>
    <cellStyle name="Standaard 24 2 4 4 2 3" xfId="26465"/>
    <cellStyle name="Standaard 24 2 4 4 3" xfId="26466"/>
    <cellStyle name="Standaard 24 2 4 4 3 2" xfId="26467"/>
    <cellStyle name="Standaard 24 2 4 4 4" xfId="26468"/>
    <cellStyle name="Standaard 24 2 4 5" xfId="26469"/>
    <cellStyle name="Standaard 24 2 4 5 2" xfId="26470"/>
    <cellStyle name="Standaard 24 2 4 5 2 2" xfId="26471"/>
    <cellStyle name="Standaard 24 2 4 5 3" xfId="26472"/>
    <cellStyle name="Standaard 24 2 4 6" xfId="26473"/>
    <cellStyle name="Standaard 24 2 4 6 2" xfId="26474"/>
    <cellStyle name="Standaard 24 2 4 7" xfId="26475"/>
    <cellStyle name="Standaard 24 2 4 8" xfId="26476"/>
    <cellStyle name="Standaard 24 2 5" xfId="26477"/>
    <cellStyle name="Standaard 24 2 5 2" xfId="26478"/>
    <cellStyle name="Standaard 24 2 5 2 2" xfId="26479"/>
    <cellStyle name="Standaard 24 2 5 2 2 2" xfId="26480"/>
    <cellStyle name="Standaard 24 2 5 2 2 2 2" xfId="26481"/>
    <cellStyle name="Standaard 24 2 5 2 2 2 2 2" xfId="26482"/>
    <cellStyle name="Standaard 24 2 5 2 2 2 2 2 2" xfId="26483"/>
    <cellStyle name="Standaard 24 2 5 2 2 2 2 3" xfId="26484"/>
    <cellStyle name="Standaard 24 2 5 2 2 2 3" xfId="26485"/>
    <cellStyle name="Standaard 24 2 5 2 2 2 3 2" xfId="26486"/>
    <cellStyle name="Standaard 24 2 5 2 2 2 4" xfId="26487"/>
    <cellStyle name="Standaard 24 2 5 2 2 3" xfId="26488"/>
    <cellStyle name="Standaard 24 2 5 2 2 3 2" xfId="26489"/>
    <cellStyle name="Standaard 24 2 5 2 2 3 2 2" xfId="26490"/>
    <cellStyle name="Standaard 24 2 5 2 2 3 3" xfId="26491"/>
    <cellStyle name="Standaard 24 2 5 2 2 4" xfId="26492"/>
    <cellStyle name="Standaard 24 2 5 2 2 4 2" xfId="26493"/>
    <cellStyle name="Standaard 24 2 5 2 2 5" xfId="26494"/>
    <cellStyle name="Standaard 24 2 5 2 2 6" xfId="26495"/>
    <cellStyle name="Standaard 24 2 5 2 3" xfId="26496"/>
    <cellStyle name="Standaard 24 2 5 2 3 2" xfId="26497"/>
    <cellStyle name="Standaard 24 2 5 2 3 2 2" xfId="26498"/>
    <cellStyle name="Standaard 24 2 5 2 3 2 2 2" xfId="26499"/>
    <cellStyle name="Standaard 24 2 5 2 3 2 3" xfId="26500"/>
    <cellStyle name="Standaard 24 2 5 2 3 3" xfId="26501"/>
    <cellStyle name="Standaard 24 2 5 2 3 3 2" xfId="26502"/>
    <cellStyle name="Standaard 24 2 5 2 3 4" xfId="26503"/>
    <cellStyle name="Standaard 24 2 5 2 4" xfId="26504"/>
    <cellStyle name="Standaard 24 2 5 2 4 2" xfId="26505"/>
    <cellStyle name="Standaard 24 2 5 2 4 2 2" xfId="26506"/>
    <cellStyle name="Standaard 24 2 5 2 4 3" xfId="26507"/>
    <cellStyle name="Standaard 24 2 5 2 5" xfId="26508"/>
    <cellStyle name="Standaard 24 2 5 2 5 2" xfId="26509"/>
    <cellStyle name="Standaard 24 2 5 2 6" xfId="26510"/>
    <cellStyle name="Standaard 24 2 5 2 7" xfId="26511"/>
    <cellStyle name="Standaard 24 2 5 3" xfId="26512"/>
    <cellStyle name="Standaard 24 2 5 3 2" xfId="26513"/>
    <cellStyle name="Standaard 24 2 5 3 2 2" xfId="26514"/>
    <cellStyle name="Standaard 24 2 5 3 2 2 2" xfId="26515"/>
    <cellStyle name="Standaard 24 2 5 3 2 2 2 2" xfId="26516"/>
    <cellStyle name="Standaard 24 2 5 3 2 2 3" xfId="26517"/>
    <cellStyle name="Standaard 24 2 5 3 2 3" xfId="26518"/>
    <cellStyle name="Standaard 24 2 5 3 2 3 2" xfId="26519"/>
    <cellStyle name="Standaard 24 2 5 3 2 4" xfId="26520"/>
    <cellStyle name="Standaard 24 2 5 3 3" xfId="26521"/>
    <cellStyle name="Standaard 24 2 5 3 3 2" xfId="26522"/>
    <cellStyle name="Standaard 24 2 5 3 3 2 2" xfId="26523"/>
    <cellStyle name="Standaard 24 2 5 3 3 3" xfId="26524"/>
    <cellStyle name="Standaard 24 2 5 3 4" xfId="26525"/>
    <cellStyle name="Standaard 24 2 5 3 4 2" xfId="26526"/>
    <cellStyle name="Standaard 24 2 5 3 5" xfId="26527"/>
    <cellStyle name="Standaard 24 2 5 3 6" xfId="26528"/>
    <cellStyle name="Standaard 24 2 5 4" xfId="26529"/>
    <cellStyle name="Standaard 24 2 5 4 2" xfId="26530"/>
    <cellStyle name="Standaard 24 2 5 4 2 2" xfId="26531"/>
    <cellStyle name="Standaard 24 2 5 4 2 2 2" xfId="26532"/>
    <cellStyle name="Standaard 24 2 5 4 2 3" xfId="26533"/>
    <cellStyle name="Standaard 24 2 5 4 3" xfId="26534"/>
    <cellStyle name="Standaard 24 2 5 4 3 2" xfId="26535"/>
    <cellStyle name="Standaard 24 2 5 4 4" xfId="26536"/>
    <cellStyle name="Standaard 24 2 5 5" xfId="26537"/>
    <cellStyle name="Standaard 24 2 5 5 2" xfId="26538"/>
    <cellStyle name="Standaard 24 2 5 5 2 2" xfId="26539"/>
    <cellStyle name="Standaard 24 2 5 5 3" xfId="26540"/>
    <cellStyle name="Standaard 24 2 5 6" xfId="26541"/>
    <cellStyle name="Standaard 24 2 5 6 2" xfId="26542"/>
    <cellStyle name="Standaard 24 2 5 7" xfId="26543"/>
    <cellStyle name="Standaard 24 2 5 8" xfId="26544"/>
    <cellStyle name="Standaard 24 2 6" xfId="26545"/>
    <cellStyle name="Standaard 24 2 6 2" xfId="26546"/>
    <cellStyle name="Standaard 24 2 6 2 2" xfId="26547"/>
    <cellStyle name="Standaard 24 2 6 2 2 2" xfId="26548"/>
    <cellStyle name="Standaard 24 2 6 2 2 2 2" xfId="26549"/>
    <cellStyle name="Standaard 24 2 6 2 2 2 2 2" xfId="26550"/>
    <cellStyle name="Standaard 24 2 6 2 2 2 3" xfId="26551"/>
    <cellStyle name="Standaard 24 2 6 2 2 3" xfId="26552"/>
    <cellStyle name="Standaard 24 2 6 2 2 3 2" xfId="26553"/>
    <cellStyle name="Standaard 24 2 6 2 2 4" xfId="26554"/>
    <cellStyle name="Standaard 24 2 6 2 3" xfId="26555"/>
    <cellStyle name="Standaard 24 2 6 2 3 2" xfId="26556"/>
    <cellStyle name="Standaard 24 2 6 2 3 2 2" xfId="26557"/>
    <cellStyle name="Standaard 24 2 6 2 3 3" xfId="26558"/>
    <cellStyle name="Standaard 24 2 6 2 4" xfId="26559"/>
    <cellStyle name="Standaard 24 2 6 2 4 2" xfId="26560"/>
    <cellStyle name="Standaard 24 2 6 2 5" xfId="26561"/>
    <cellStyle name="Standaard 24 2 6 2 6" xfId="26562"/>
    <cellStyle name="Standaard 24 2 6 3" xfId="26563"/>
    <cellStyle name="Standaard 24 2 6 3 2" xfId="26564"/>
    <cellStyle name="Standaard 24 2 6 3 2 2" xfId="26565"/>
    <cellStyle name="Standaard 24 2 6 3 2 2 2" xfId="26566"/>
    <cellStyle name="Standaard 24 2 6 3 2 3" xfId="26567"/>
    <cellStyle name="Standaard 24 2 6 3 3" xfId="26568"/>
    <cellStyle name="Standaard 24 2 6 3 3 2" xfId="26569"/>
    <cellStyle name="Standaard 24 2 6 3 4" xfId="26570"/>
    <cellStyle name="Standaard 24 2 6 4" xfId="26571"/>
    <cellStyle name="Standaard 24 2 6 4 2" xfId="26572"/>
    <cellStyle name="Standaard 24 2 6 4 2 2" xfId="26573"/>
    <cellStyle name="Standaard 24 2 6 4 3" xfId="26574"/>
    <cellStyle name="Standaard 24 2 6 5" xfId="26575"/>
    <cellStyle name="Standaard 24 2 6 5 2" xfId="26576"/>
    <cellStyle name="Standaard 24 2 6 6" xfId="26577"/>
    <cellStyle name="Standaard 24 2 6 7" xfId="26578"/>
    <cellStyle name="Standaard 24 2 7" xfId="26579"/>
    <cellStyle name="Standaard 24 2 7 2" xfId="26580"/>
    <cellStyle name="Standaard 24 2 7 2 2" xfId="26581"/>
    <cellStyle name="Standaard 24 2 7 2 2 2" xfId="26582"/>
    <cellStyle name="Standaard 24 2 7 2 2 2 2" xfId="26583"/>
    <cellStyle name="Standaard 24 2 7 2 2 3" xfId="26584"/>
    <cellStyle name="Standaard 24 2 7 2 3" xfId="26585"/>
    <cellStyle name="Standaard 24 2 7 2 3 2" xfId="26586"/>
    <cellStyle name="Standaard 24 2 7 2 4" xfId="26587"/>
    <cellStyle name="Standaard 24 2 7 3" xfId="26588"/>
    <cellStyle name="Standaard 24 2 7 3 2" xfId="26589"/>
    <cellStyle name="Standaard 24 2 7 3 2 2" xfId="26590"/>
    <cellStyle name="Standaard 24 2 7 3 3" xfId="26591"/>
    <cellStyle name="Standaard 24 2 7 4" xfId="26592"/>
    <cellStyle name="Standaard 24 2 7 4 2" xfId="26593"/>
    <cellStyle name="Standaard 24 2 7 5" xfId="26594"/>
    <cellStyle name="Standaard 24 2 7 6" xfId="26595"/>
    <cellStyle name="Standaard 24 2 8" xfId="26596"/>
    <cellStyle name="Standaard 24 2 8 2" xfId="26597"/>
    <cellStyle name="Standaard 24 2 8 2 2" xfId="26598"/>
    <cellStyle name="Standaard 24 2 8 2 2 2" xfId="26599"/>
    <cellStyle name="Standaard 24 2 8 2 3" xfId="26600"/>
    <cellStyle name="Standaard 24 2 8 3" xfId="26601"/>
    <cellStyle name="Standaard 24 2 8 3 2" xfId="26602"/>
    <cellStyle name="Standaard 24 2 8 4" xfId="26603"/>
    <cellStyle name="Standaard 24 2 9" xfId="26604"/>
    <cellStyle name="Standaard 24 2 9 2" xfId="26605"/>
    <cellStyle name="Standaard 24 2 9 2 2" xfId="26606"/>
    <cellStyle name="Standaard 24 2 9 3" xfId="26607"/>
    <cellStyle name="Standaard 24 3" xfId="26608"/>
    <cellStyle name="Standaard 24 3 10" xfId="26609"/>
    <cellStyle name="Standaard 24 3 11" xfId="26610"/>
    <cellStyle name="Standaard 24 3 2" xfId="26611"/>
    <cellStyle name="Standaard 24 3 2 2" xfId="26612"/>
    <cellStyle name="Standaard 24 3 2 2 2" xfId="26613"/>
    <cellStyle name="Standaard 24 3 2 2 2 2" xfId="26614"/>
    <cellStyle name="Standaard 24 3 2 2 2 2 2" xfId="26615"/>
    <cellStyle name="Standaard 24 3 2 2 2 2 2 2" xfId="26616"/>
    <cellStyle name="Standaard 24 3 2 2 2 2 2 2 2" xfId="26617"/>
    <cellStyle name="Standaard 24 3 2 2 2 2 2 2 2 2" xfId="26618"/>
    <cellStyle name="Standaard 24 3 2 2 2 2 2 2 3" xfId="26619"/>
    <cellStyle name="Standaard 24 3 2 2 2 2 2 3" xfId="26620"/>
    <cellStyle name="Standaard 24 3 2 2 2 2 2 3 2" xfId="26621"/>
    <cellStyle name="Standaard 24 3 2 2 2 2 2 4" xfId="26622"/>
    <cellStyle name="Standaard 24 3 2 2 2 2 3" xfId="26623"/>
    <cellStyle name="Standaard 24 3 2 2 2 2 3 2" xfId="26624"/>
    <cellStyle name="Standaard 24 3 2 2 2 2 3 2 2" xfId="26625"/>
    <cellStyle name="Standaard 24 3 2 2 2 2 3 3" xfId="26626"/>
    <cellStyle name="Standaard 24 3 2 2 2 2 4" xfId="26627"/>
    <cellStyle name="Standaard 24 3 2 2 2 2 4 2" xfId="26628"/>
    <cellStyle name="Standaard 24 3 2 2 2 2 5" xfId="26629"/>
    <cellStyle name="Standaard 24 3 2 2 2 2 6" xfId="26630"/>
    <cellStyle name="Standaard 24 3 2 2 2 3" xfId="26631"/>
    <cellStyle name="Standaard 24 3 2 2 2 3 2" xfId="26632"/>
    <cellStyle name="Standaard 24 3 2 2 2 3 2 2" xfId="26633"/>
    <cellStyle name="Standaard 24 3 2 2 2 3 2 2 2" xfId="26634"/>
    <cellStyle name="Standaard 24 3 2 2 2 3 2 3" xfId="26635"/>
    <cellStyle name="Standaard 24 3 2 2 2 3 3" xfId="26636"/>
    <cellStyle name="Standaard 24 3 2 2 2 3 3 2" xfId="26637"/>
    <cellStyle name="Standaard 24 3 2 2 2 3 4" xfId="26638"/>
    <cellStyle name="Standaard 24 3 2 2 2 4" xfId="26639"/>
    <cellStyle name="Standaard 24 3 2 2 2 4 2" xfId="26640"/>
    <cellStyle name="Standaard 24 3 2 2 2 4 2 2" xfId="26641"/>
    <cellStyle name="Standaard 24 3 2 2 2 4 3" xfId="26642"/>
    <cellStyle name="Standaard 24 3 2 2 2 5" xfId="26643"/>
    <cellStyle name="Standaard 24 3 2 2 2 5 2" xfId="26644"/>
    <cellStyle name="Standaard 24 3 2 2 2 6" xfId="26645"/>
    <cellStyle name="Standaard 24 3 2 2 2 7" xfId="26646"/>
    <cellStyle name="Standaard 24 3 2 2 3" xfId="26647"/>
    <cellStyle name="Standaard 24 3 2 2 3 2" xfId="26648"/>
    <cellStyle name="Standaard 24 3 2 2 3 2 2" xfId="26649"/>
    <cellStyle name="Standaard 24 3 2 2 3 2 2 2" xfId="26650"/>
    <cellStyle name="Standaard 24 3 2 2 3 2 2 2 2" xfId="26651"/>
    <cellStyle name="Standaard 24 3 2 2 3 2 2 3" xfId="26652"/>
    <cellStyle name="Standaard 24 3 2 2 3 2 3" xfId="26653"/>
    <cellStyle name="Standaard 24 3 2 2 3 2 3 2" xfId="26654"/>
    <cellStyle name="Standaard 24 3 2 2 3 2 4" xfId="26655"/>
    <cellStyle name="Standaard 24 3 2 2 3 3" xfId="26656"/>
    <cellStyle name="Standaard 24 3 2 2 3 3 2" xfId="26657"/>
    <cellStyle name="Standaard 24 3 2 2 3 3 2 2" xfId="26658"/>
    <cellStyle name="Standaard 24 3 2 2 3 3 3" xfId="26659"/>
    <cellStyle name="Standaard 24 3 2 2 3 4" xfId="26660"/>
    <cellStyle name="Standaard 24 3 2 2 3 4 2" xfId="26661"/>
    <cellStyle name="Standaard 24 3 2 2 3 5" xfId="26662"/>
    <cellStyle name="Standaard 24 3 2 2 3 6" xfId="26663"/>
    <cellStyle name="Standaard 24 3 2 2 4" xfId="26664"/>
    <cellStyle name="Standaard 24 3 2 2 4 2" xfId="26665"/>
    <cellStyle name="Standaard 24 3 2 2 4 2 2" xfId="26666"/>
    <cellStyle name="Standaard 24 3 2 2 4 2 2 2" xfId="26667"/>
    <cellStyle name="Standaard 24 3 2 2 4 2 3" xfId="26668"/>
    <cellStyle name="Standaard 24 3 2 2 4 3" xfId="26669"/>
    <cellStyle name="Standaard 24 3 2 2 4 3 2" xfId="26670"/>
    <cellStyle name="Standaard 24 3 2 2 4 4" xfId="26671"/>
    <cellStyle name="Standaard 24 3 2 2 5" xfId="26672"/>
    <cellStyle name="Standaard 24 3 2 2 5 2" xfId="26673"/>
    <cellStyle name="Standaard 24 3 2 2 5 2 2" xfId="26674"/>
    <cellStyle name="Standaard 24 3 2 2 5 3" xfId="26675"/>
    <cellStyle name="Standaard 24 3 2 2 6" xfId="26676"/>
    <cellStyle name="Standaard 24 3 2 2 6 2" xfId="26677"/>
    <cellStyle name="Standaard 24 3 2 2 7" xfId="26678"/>
    <cellStyle name="Standaard 24 3 2 2 8" xfId="26679"/>
    <cellStyle name="Standaard 24 3 2 3" xfId="26680"/>
    <cellStyle name="Standaard 24 3 2 3 2" xfId="26681"/>
    <cellStyle name="Standaard 24 3 2 3 2 2" xfId="26682"/>
    <cellStyle name="Standaard 24 3 2 3 2 2 2" xfId="26683"/>
    <cellStyle name="Standaard 24 3 2 3 2 2 2 2" xfId="26684"/>
    <cellStyle name="Standaard 24 3 2 3 2 2 2 2 2" xfId="26685"/>
    <cellStyle name="Standaard 24 3 2 3 2 2 2 3" xfId="26686"/>
    <cellStyle name="Standaard 24 3 2 3 2 2 3" xfId="26687"/>
    <cellStyle name="Standaard 24 3 2 3 2 2 3 2" xfId="26688"/>
    <cellStyle name="Standaard 24 3 2 3 2 2 4" xfId="26689"/>
    <cellStyle name="Standaard 24 3 2 3 2 3" xfId="26690"/>
    <cellStyle name="Standaard 24 3 2 3 2 3 2" xfId="26691"/>
    <cellStyle name="Standaard 24 3 2 3 2 3 2 2" xfId="26692"/>
    <cellStyle name="Standaard 24 3 2 3 2 3 3" xfId="26693"/>
    <cellStyle name="Standaard 24 3 2 3 2 4" xfId="26694"/>
    <cellStyle name="Standaard 24 3 2 3 2 4 2" xfId="26695"/>
    <cellStyle name="Standaard 24 3 2 3 2 5" xfId="26696"/>
    <cellStyle name="Standaard 24 3 2 3 2 6" xfId="26697"/>
    <cellStyle name="Standaard 24 3 2 3 3" xfId="26698"/>
    <cellStyle name="Standaard 24 3 2 3 3 2" xfId="26699"/>
    <cellStyle name="Standaard 24 3 2 3 3 2 2" xfId="26700"/>
    <cellStyle name="Standaard 24 3 2 3 3 2 2 2" xfId="26701"/>
    <cellStyle name="Standaard 24 3 2 3 3 2 3" xfId="26702"/>
    <cellStyle name="Standaard 24 3 2 3 3 3" xfId="26703"/>
    <cellStyle name="Standaard 24 3 2 3 3 3 2" xfId="26704"/>
    <cellStyle name="Standaard 24 3 2 3 3 4" xfId="26705"/>
    <cellStyle name="Standaard 24 3 2 3 4" xfId="26706"/>
    <cellStyle name="Standaard 24 3 2 3 4 2" xfId="26707"/>
    <cellStyle name="Standaard 24 3 2 3 4 2 2" xfId="26708"/>
    <cellStyle name="Standaard 24 3 2 3 4 3" xfId="26709"/>
    <cellStyle name="Standaard 24 3 2 3 5" xfId="26710"/>
    <cellStyle name="Standaard 24 3 2 3 5 2" xfId="26711"/>
    <cellStyle name="Standaard 24 3 2 3 6" xfId="26712"/>
    <cellStyle name="Standaard 24 3 2 3 7" xfId="26713"/>
    <cellStyle name="Standaard 24 3 2 4" xfId="26714"/>
    <cellStyle name="Standaard 24 3 2 4 2" xfId="26715"/>
    <cellStyle name="Standaard 24 3 2 4 2 2" xfId="26716"/>
    <cellStyle name="Standaard 24 3 2 4 2 2 2" xfId="26717"/>
    <cellStyle name="Standaard 24 3 2 4 2 2 2 2" xfId="26718"/>
    <cellStyle name="Standaard 24 3 2 4 2 2 3" xfId="26719"/>
    <cellStyle name="Standaard 24 3 2 4 2 3" xfId="26720"/>
    <cellStyle name="Standaard 24 3 2 4 2 3 2" xfId="26721"/>
    <cellStyle name="Standaard 24 3 2 4 2 4" xfId="26722"/>
    <cellStyle name="Standaard 24 3 2 4 3" xfId="26723"/>
    <cellStyle name="Standaard 24 3 2 4 3 2" xfId="26724"/>
    <cellStyle name="Standaard 24 3 2 4 3 2 2" xfId="26725"/>
    <cellStyle name="Standaard 24 3 2 4 3 3" xfId="26726"/>
    <cellStyle name="Standaard 24 3 2 4 4" xfId="26727"/>
    <cellStyle name="Standaard 24 3 2 4 4 2" xfId="26728"/>
    <cellStyle name="Standaard 24 3 2 4 5" xfId="26729"/>
    <cellStyle name="Standaard 24 3 2 4 6" xfId="26730"/>
    <cellStyle name="Standaard 24 3 2 5" xfId="26731"/>
    <cellStyle name="Standaard 24 3 2 5 2" xfId="26732"/>
    <cellStyle name="Standaard 24 3 2 5 2 2" xfId="26733"/>
    <cellStyle name="Standaard 24 3 2 5 2 2 2" xfId="26734"/>
    <cellStyle name="Standaard 24 3 2 5 2 3" xfId="26735"/>
    <cellStyle name="Standaard 24 3 2 5 3" xfId="26736"/>
    <cellStyle name="Standaard 24 3 2 5 3 2" xfId="26737"/>
    <cellStyle name="Standaard 24 3 2 5 4" xfId="26738"/>
    <cellStyle name="Standaard 24 3 2 6" xfId="26739"/>
    <cellStyle name="Standaard 24 3 2 6 2" xfId="26740"/>
    <cellStyle name="Standaard 24 3 2 6 2 2" xfId="26741"/>
    <cellStyle name="Standaard 24 3 2 6 3" xfId="26742"/>
    <cellStyle name="Standaard 24 3 2 7" xfId="26743"/>
    <cellStyle name="Standaard 24 3 2 7 2" xfId="26744"/>
    <cellStyle name="Standaard 24 3 2 8" xfId="26745"/>
    <cellStyle name="Standaard 24 3 2 9" xfId="26746"/>
    <cellStyle name="Standaard 24 3 3" xfId="26747"/>
    <cellStyle name="Standaard 24 3 3 2" xfId="26748"/>
    <cellStyle name="Standaard 24 3 3 2 2" xfId="26749"/>
    <cellStyle name="Standaard 24 3 3 2 2 2" xfId="26750"/>
    <cellStyle name="Standaard 24 3 3 2 2 2 2" xfId="26751"/>
    <cellStyle name="Standaard 24 3 3 2 2 2 2 2" xfId="26752"/>
    <cellStyle name="Standaard 24 3 3 2 2 2 2 2 2" xfId="26753"/>
    <cellStyle name="Standaard 24 3 3 2 2 2 2 3" xfId="26754"/>
    <cellStyle name="Standaard 24 3 3 2 2 2 3" xfId="26755"/>
    <cellStyle name="Standaard 24 3 3 2 2 2 3 2" xfId="26756"/>
    <cellStyle name="Standaard 24 3 3 2 2 2 4" xfId="26757"/>
    <cellStyle name="Standaard 24 3 3 2 2 3" xfId="26758"/>
    <cellStyle name="Standaard 24 3 3 2 2 3 2" xfId="26759"/>
    <cellStyle name="Standaard 24 3 3 2 2 3 2 2" xfId="26760"/>
    <cellStyle name="Standaard 24 3 3 2 2 3 3" xfId="26761"/>
    <cellStyle name="Standaard 24 3 3 2 2 4" xfId="26762"/>
    <cellStyle name="Standaard 24 3 3 2 2 4 2" xfId="26763"/>
    <cellStyle name="Standaard 24 3 3 2 2 5" xfId="26764"/>
    <cellStyle name="Standaard 24 3 3 2 2 6" xfId="26765"/>
    <cellStyle name="Standaard 24 3 3 2 3" xfId="26766"/>
    <cellStyle name="Standaard 24 3 3 2 3 2" xfId="26767"/>
    <cellStyle name="Standaard 24 3 3 2 3 2 2" xfId="26768"/>
    <cellStyle name="Standaard 24 3 3 2 3 2 2 2" xfId="26769"/>
    <cellStyle name="Standaard 24 3 3 2 3 2 3" xfId="26770"/>
    <cellStyle name="Standaard 24 3 3 2 3 3" xfId="26771"/>
    <cellStyle name="Standaard 24 3 3 2 3 3 2" xfId="26772"/>
    <cellStyle name="Standaard 24 3 3 2 3 4" xfId="26773"/>
    <cellStyle name="Standaard 24 3 3 2 4" xfId="26774"/>
    <cellStyle name="Standaard 24 3 3 2 4 2" xfId="26775"/>
    <cellStyle name="Standaard 24 3 3 2 4 2 2" xfId="26776"/>
    <cellStyle name="Standaard 24 3 3 2 4 3" xfId="26777"/>
    <cellStyle name="Standaard 24 3 3 2 5" xfId="26778"/>
    <cellStyle name="Standaard 24 3 3 2 5 2" xfId="26779"/>
    <cellStyle name="Standaard 24 3 3 2 6" xfId="26780"/>
    <cellStyle name="Standaard 24 3 3 2 7" xfId="26781"/>
    <cellStyle name="Standaard 24 3 3 3" xfId="26782"/>
    <cellStyle name="Standaard 24 3 3 3 2" xfId="26783"/>
    <cellStyle name="Standaard 24 3 3 3 2 2" xfId="26784"/>
    <cellStyle name="Standaard 24 3 3 3 2 2 2" xfId="26785"/>
    <cellStyle name="Standaard 24 3 3 3 2 2 2 2" xfId="26786"/>
    <cellStyle name="Standaard 24 3 3 3 2 2 3" xfId="26787"/>
    <cellStyle name="Standaard 24 3 3 3 2 3" xfId="26788"/>
    <cellStyle name="Standaard 24 3 3 3 2 3 2" xfId="26789"/>
    <cellStyle name="Standaard 24 3 3 3 2 4" xfId="26790"/>
    <cellStyle name="Standaard 24 3 3 3 3" xfId="26791"/>
    <cellStyle name="Standaard 24 3 3 3 3 2" xfId="26792"/>
    <cellStyle name="Standaard 24 3 3 3 3 2 2" xfId="26793"/>
    <cellStyle name="Standaard 24 3 3 3 3 3" xfId="26794"/>
    <cellStyle name="Standaard 24 3 3 3 4" xfId="26795"/>
    <cellStyle name="Standaard 24 3 3 3 4 2" xfId="26796"/>
    <cellStyle name="Standaard 24 3 3 3 5" xfId="26797"/>
    <cellStyle name="Standaard 24 3 3 3 6" xfId="26798"/>
    <cellStyle name="Standaard 24 3 3 4" xfId="26799"/>
    <cellStyle name="Standaard 24 3 3 4 2" xfId="26800"/>
    <cellStyle name="Standaard 24 3 3 4 2 2" xfId="26801"/>
    <cellStyle name="Standaard 24 3 3 4 2 2 2" xfId="26802"/>
    <cellStyle name="Standaard 24 3 3 4 2 3" xfId="26803"/>
    <cellStyle name="Standaard 24 3 3 4 3" xfId="26804"/>
    <cellStyle name="Standaard 24 3 3 4 3 2" xfId="26805"/>
    <cellStyle name="Standaard 24 3 3 4 4" xfId="26806"/>
    <cellStyle name="Standaard 24 3 3 5" xfId="26807"/>
    <cellStyle name="Standaard 24 3 3 5 2" xfId="26808"/>
    <cellStyle name="Standaard 24 3 3 5 2 2" xfId="26809"/>
    <cellStyle name="Standaard 24 3 3 5 3" xfId="26810"/>
    <cellStyle name="Standaard 24 3 3 6" xfId="26811"/>
    <cellStyle name="Standaard 24 3 3 6 2" xfId="26812"/>
    <cellStyle name="Standaard 24 3 3 7" xfId="26813"/>
    <cellStyle name="Standaard 24 3 3 8" xfId="26814"/>
    <cellStyle name="Standaard 24 3 4" xfId="26815"/>
    <cellStyle name="Standaard 24 3 4 2" xfId="26816"/>
    <cellStyle name="Standaard 24 3 4 2 2" xfId="26817"/>
    <cellStyle name="Standaard 24 3 4 2 2 2" xfId="26818"/>
    <cellStyle name="Standaard 24 3 4 2 2 2 2" xfId="26819"/>
    <cellStyle name="Standaard 24 3 4 2 2 2 2 2" xfId="26820"/>
    <cellStyle name="Standaard 24 3 4 2 2 2 2 2 2" xfId="26821"/>
    <cellStyle name="Standaard 24 3 4 2 2 2 2 3" xfId="26822"/>
    <cellStyle name="Standaard 24 3 4 2 2 2 3" xfId="26823"/>
    <cellStyle name="Standaard 24 3 4 2 2 2 3 2" xfId="26824"/>
    <cellStyle name="Standaard 24 3 4 2 2 2 4" xfId="26825"/>
    <cellStyle name="Standaard 24 3 4 2 2 3" xfId="26826"/>
    <cellStyle name="Standaard 24 3 4 2 2 3 2" xfId="26827"/>
    <cellStyle name="Standaard 24 3 4 2 2 3 2 2" xfId="26828"/>
    <cellStyle name="Standaard 24 3 4 2 2 3 3" xfId="26829"/>
    <cellStyle name="Standaard 24 3 4 2 2 4" xfId="26830"/>
    <cellStyle name="Standaard 24 3 4 2 2 4 2" xfId="26831"/>
    <cellStyle name="Standaard 24 3 4 2 2 5" xfId="26832"/>
    <cellStyle name="Standaard 24 3 4 2 2 6" xfId="26833"/>
    <cellStyle name="Standaard 24 3 4 2 3" xfId="26834"/>
    <cellStyle name="Standaard 24 3 4 2 3 2" xfId="26835"/>
    <cellStyle name="Standaard 24 3 4 2 3 2 2" xfId="26836"/>
    <cellStyle name="Standaard 24 3 4 2 3 2 2 2" xfId="26837"/>
    <cellStyle name="Standaard 24 3 4 2 3 2 3" xfId="26838"/>
    <cellStyle name="Standaard 24 3 4 2 3 3" xfId="26839"/>
    <cellStyle name="Standaard 24 3 4 2 3 3 2" xfId="26840"/>
    <cellStyle name="Standaard 24 3 4 2 3 4" xfId="26841"/>
    <cellStyle name="Standaard 24 3 4 2 4" xfId="26842"/>
    <cellStyle name="Standaard 24 3 4 2 4 2" xfId="26843"/>
    <cellStyle name="Standaard 24 3 4 2 4 2 2" xfId="26844"/>
    <cellStyle name="Standaard 24 3 4 2 4 3" xfId="26845"/>
    <cellStyle name="Standaard 24 3 4 2 5" xfId="26846"/>
    <cellStyle name="Standaard 24 3 4 2 5 2" xfId="26847"/>
    <cellStyle name="Standaard 24 3 4 2 6" xfId="26848"/>
    <cellStyle name="Standaard 24 3 4 2 7" xfId="26849"/>
    <cellStyle name="Standaard 24 3 4 3" xfId="26850"/>
    <cellStyle name="Standaard 24 3 4 3 2" xfId="26851"/>
    <cellStyle name="Standaard 24 3 4 3 2 2" xfId="26852"/>
    <cellStyle name="Standaard 24 3 4 3 2 2 2" xfId="26853"/>
    <cellStyle name="Standaard 24 3 4 3 2 2 2 2" xfId="26854"/>
    <cellStyle name="Standaard 24 3 4 3 2 2 3" xfId="26855"/>
    <cellStyle name="Standaard 24 3 4 3 2 3" xfId="26856"/>
    <cellStyle name="Standaard 24 3 4 3 2 3 2" xfId="26857"/>
    <cellStyle name="Standaard 24 3 4 3 2 4" xfId="26858"/>
    <cellStyle name="Standaard 24 3 4 3 3" xfId="26859"/>
    <cellStyle name="Standaard 24 3 4 3 3 2" xfId="26860"/>
    <cellStyle name="Standaard 24 3 4 3 3 2 2" xfId="26861"/>
    <cellStyle name="Standaard 24 3 4 3 3 3" xfId="26862"/>
    <cellStyle name="Standaard 24 3 4 3 4" xfId="26863"/>
    <cellStyle name="Standaard 24 3 4 3 4 2" xfId="26864"/>
    <cellStyle name="Standaard 24 3 4 3 5" xfId="26865"/>
    <cellStyle name="Standaard 24 3 4 3 6" xfId="26866"/>
    <cellStyle name="Standaard 24 3 4 4" xfId="26867"/>
    <cellStyle name="Standaard 24 3 4 4 2" xfId="26868"/>
    <cellStyle name="Standaard 24 3 4 4 2 2" xfId="26869"/>
    <cellStyle name="Standaard 24 3 4 4 2 2 2" xfId="26870"/>
    <cellStyle name="Standaard 24 3 4 4 2 3" xfId="26871"/>
    <cellStyle name="Standaard 24 3 4 4 3" xfId="26872"/>
    <cellStyle name="Standaard 24 3 4 4 3 2" xfId="26873"/>
    <cellStyle name="Standaard 24 3 4 4 4" xfId="26874"/>
    <cellStyle name="Standaard 24 3 4 5" xfId="26875"/>
    <cellStyle name="Standaard 24 3 4 5 2" xfId="26876"/>
    <cellStyle name="Standaard 24 3 4 5 2 2" xfId="26877"/>
    <cellStyle name="Standaard 24 3 4 5 3" xfId="26878"/>
    <cellStyle name="Standaard 24 3 4 6" xfId="26879"/>
    <cellStyle name="Standaard 24 3 4 6 2" xfId="26880"/>
    <cellStyle name="Standaard 24 3 4 7" xfId="26881"/>
    <cellStyle name="Standaard 24 3 4 8" xfId="26882"/>
    <cellStyle name="Standaard 24 3 5" xfId="26883"/>
    <cellStyle name="Standaard 24 3 5 2" xfId="26884"/>
    <cellStyle name="Standaard 24 3 5 2 2" xfId="26885"/>
    <cellStyle name="Standaard 24 3 5 2 2 2" xfId="26886"/>
    <cellStyle name="Standaard 24 3 5 2 2 2 2" xfId="26887"/>
    <cellStyle name="Standaard 24 3 5 2 2 2 2 2" xfId="26888"/>
    <cellStyle name="Standaard 24 3 5 2 2 2 3" xfId="26889"/>
    <cellStyle name="Standaard 24 3 5 2 2 3" xfId="26890"/>
    <cellStyle name="Standaard 24 3 5 2 2 3 2" xfId="26891"/>
    <cellStyle name="Standaard 24 3 5 2 2 4" xfId="26892"/>
    <cellStyle name="Standaard 24 3 5 2 3" xfId="26893"/>
    <cellStyle name="Standaard 24 3 5 2 3 2" xfId="26894"/>
    <cellStyle name="Standaard 24 3 5 2 3 2 2" xfId="26895"/>
    <cellStyle name="Standaard 24 3 5 2 3 3" xfId="26896"/>
    <cellStyle name="Standaard 24 3 5 2 4" xfId="26897"/>
    <cellStyle name="Standaard 24 3 5 2 4 2" xfId="26898"/>
    <cellStyle name="Standaard 24 3 5 2 5" xfId="26899"/>
    <cellStyle name="Standaard 24 3 5 2 6" xfId="26900"/>
    <cellStyle name="Standaard 24 3 5 3" xfId="26901"/>
    <cellStyle name="Standaard 24 3 5 3 2" xfId="26902"/>
    <cellStyle name="Standaard 24 3 5 3 2 2" xfId="26903"/>
    <cellStyle name="Standaard 24 3 5 3 2 2 2" xfId="26904"/>
    <cellStyle name="Standaard 24 3 5 3 2 3" xfId="26905"/>
    <cellStyle name="Standaard 24 3 5 3 3" xfId="26906"/>
    <cellStyle name="Standaard 24 3 5 3 3 2" xfId="26907"/>
    <cellStyle name="Standaard 24 3 5 3 4" xfId="26908"/>
    <cellStyle name="Standaard 24 3 5 4" xfId="26909"/>
    <cellStyle name="Standaard 24 3 5 4 2" xfId="26910"/>
    <cellStyle name="Standaard 24 3 5 4 2 2" xfId="26911"/>
    <cellStyle name="Standaard 24 3 5 4 3" xfId="26912"/>
    <cellStyle name="Standaard 24 3 5 5" xfId="26913"/>
    <cellStyle name="Standaard 24 3 5 5 2" xfId="26914"/>
    <cellStyle name="Standaard 24 3 5 6" xfId="26915"/>
    <cellStyle name="Standaard 24 3 5 7" xfId="26916"/>
    <cellStyle name="Standaard 24 3 6" xfId="26917"/>
    <cellStyle name="Standaard 24 3 6 2" xfId="26918"/>
    <cellStyle name="Standaard 24 3 6 2 2" xfId="26919"/>
    <cellStyle name="Standaard 24 3 6 2 2 2" xfId="26920"/>
    <cellStyle name="Standaard 24 3 6 2 2 2 2" xfId="26921"/>
    <cellStyle name="Standaard 24 3 6 2 2 3" xfId="26922"/>
    <cellStyle name="Standaard 24 3 6 2 3" xfId="26923"/>
    <cellStyle name="Standaard 24 3 6 2 3 2" xfId="26924"/>
    <cellStyle name="Standaard 24 3 6 2 4" xfId="26925"/>
    <cellStyle name="Standaard 24 3 6 3" xfId="26926"/>
    <cellStyle name="Standaard 24 3 6 3 2" xfId="26927"/>
    <cellStyle name="Standaard 24 3 6 3 2 2" xfId="26928"/>
    <cellStyle name="Standaard 24 3 6 3 3" xfId="26929"/>
    <cellStyle name="Standaard 24 3 6 4" xfId="26930"/>
    <cellStyle name="Standaard 24 3 6 4 2" xfId="26931"/>
    <cellStyle name="Standaard 24 3 6 5" xfId="26932"/>
    <cellStyle name="Standaard 24 3 6 6" xfId="26933"/>
    <cellStyle name="Standaard 24 3 7" xfId="26934"/>
    <cellStyle name="Standaard 24 3 7 2" xfId="26935"/>
    <cellStyle name="Standaard 24 3 7 2 2" xfId="26936"/>
    <cellStyle name="Standaard 24 3 7 2 2 2" xfId="26937"/>
    <cellStyle name="Standaard 24 3 7 2 3" xfId="26938"/>
    <cellStyle name="Standaard 24 3 7 3" xfId="26939"/>
    <cellStyle name="Standaard 24 3 7 3 2" xfId="26940"/>
    <cellStyle name="Standaard 24 3 7 4" xfId="26941"/>
    <cellStyle name="Standaard 24 3 8" xfId="26942"/>
    <cellStyle name="Standaard 24 3 8 2" xfId="26943"/>
    <cellStyle name="Standaard 24 3 8 2 2" xfId="26944"/>
    <cellStyle name="Standaard 24 3 8 3" xfId="26945"/>
    <cellStyle name="Standaard 24 3 9" xfId="26946"/>
    <cellStyle name="Standaard 24 3 9 2" xfId="26947"/>
    <cellStyle name="Standaard 24 4" xfId="26948"/>
    <cellStyle name="Standaard 24 4 2" xfId="26949"/>
    <cellStyle name="Standaard 24 4 2 2" xfId="26950"/>
    <cellStyle name="Standaard 24 4 2 2 2" xfId="26951"/>
    <cellStyle name="Standaard 24 4 2 2 2 2" xfId="26952"/>
    <cellStyle name="Standaard 24 4 2 2 2 2 2" xfId="26953"/>
    <cellStyle name="Standaard 24 4 2 2 2 2 2 2" xfId="26954"/>
    <cellStyle name="Standaard 24 4 2 2 2 2 2 2 2" xfId="26955"/>
    <cellStyle name="Standaard 24 4 2 2 2 2 2 3" xfId="26956"/>
    <cellStyle name="Standaard 24 4 2 2 2 2 3" xfId="26957"/>
    <cellStyle name="Standaard 24 4 2 2 2 2 3 2" xfId="26958"/>
    <cellStyle name="Standaard 24 4 2 2 2 2 4" xfId="26959"/>
    <cellStyle name="Standaard 24 4 2 2 2 3" xfId="26960"/>
    <cellStyle name="Standaard 24 4 2 2 2 3 2" xfId="26961"/>
    <cellStyle name="Standaard 24 4 2 2 2 3 2 2" xfId="26962"/>
    <cellStyle name="Standaard 24 4 2 2 2 3 3" xfId="26963"/>
    <cellStyle name="Standaard 24 4 2 2 2 4" xfId="26964"/>
    <cellStyle name="Standaard 24 4 2 2 2 4 2" xfId="26965"/>
    <cellStyle name="Standaard 24 4 2 2 2 5" xfId="26966"/>
    <cellStyle name="Standaard 24 4 2 2 2 6" xfId="26967"/>
    <cellStyle name="Standaard 24 4 2 2 3" xfId="26968"/>
    <cellStyle name="Standaard 24 4 2 2 3 2" xfId="26969"/>
    <cellStyle name="Standaard 24 4 2 2 3 2 2" xfId="26970"/>
    <cellStyle name="Standaard 24 4 2 2 3 2 2 2" xfId="26971"/>
    <cellStyle name="Standaard 24 4 2 2 3 2 3" xfId="26972"/>
    <cellStyle name="Standaard 24 4 2 2 3 3" xfId="26973"/>
    <cellStyle name="Standaard 24 4 2 2 3 3 2" xfId="26974"/>
    <cellStyle name="Standaard 24 4 2 2 3 4" xfId="26975"/>
    <cellStyle name="Standaard 24 4 2 2 4" xfId="26976"/>
    <cellStyle name="Standaard 24 4 2 2 4 2" xfId="26977"/>
    <cellStyle name="Standaard 24 4 2 2 4 2 2" xfId="26978"/>
    <cellStyle name="Standaard 24 4 2 2 4 3" xfId="26979"/>
    <cellStyle name="Standaard 24 4 2 2 5" xfId="26980"/>
    <cellStyle name="Standaard 24 4 2 2 5 2" xfId="26981"/>
    <cellStyle name="Standaard 24 4 2 2 6" xfId="26982"/>
    <cellStyle name="Standaard 24 4 2 2 7" xfId="26983"/>
    <cellStyle name="Standaard 24 4 2 3" xfId="26984"/>
    <cellStyle name="Standaard 24 4 2 3 2" xfId="26985"/>
    <cellStyle name="Standaard 24 4 2 3 2 2" xfId="26986"/>
    <cellStyle name="Standaard 24 4 2 3 2 2 2" xfId="26987"/>
    <cellStyle name="Standaard 24 4 2 3 2 2 2 2" xfId="26988"/>
    <cellStyle name="Standaard 24 4 2 3 2 2 3" xfId="26989"/>
    <cellStyle name="Standaard 24 4 2 3 2 3" xfId="26990"/>
    <cellStyle name="Standaard 24 4 2 3 2 3 2" xfId="26991"/>
    <cellStyle name="Standaard 24 4 2 3 2 4" xfId="26992"/>
    <cellStyle name="Standaard 24 4 2 3 3" xfId="26993"/>
    <cellStyle name="Standaard 24 4 2 3 3 2" xfId="26994"/>
    <cellStyle name="Standaard 24 4 2 3 3 2 2" xfId="26995"/>
    <cellStyle name="Standaard 24 4 2 3 3 3" xfId="26996"/>
    <cellStyle name="Standaard 24 4 2 3 4" xfId="26997"/>
    <cellStyle name="Standaard 24 4 2 3 4 2" xfId="26998"/>
    <cellStyle name="Standaard 24 4 2 3 5" xfId="26999"/>
    <cellStyle name="Standaard 24 4 2 3 6" xfId="27000"/>
    <cellStyle name="Standaard 24 4 2 4" xfId="27001"/>
    <cellStyle name="Standaard 24 4 2 4 2" xfId="27002"/>
    <cellStyle name="Standaard 24 4 2 4 2 2" xfId="27003"/>
    <cellStyle name="Standaard 24 4 2 4 2 2 2" xfId="27004"/>
    <cellStyle name="Standaard 24 4 2 4 2 3" xfId="27005"/>
    <cellStyle name="Standaard 24 4 2 4 3" xfId="27006"/>
    <cellStyle name="Standaard 24 4 2 4 3 2" xfId="27007"/>
    <cellStyle name="Standaard 24 4 2 4 4" xfId="27008"/>
    <cellStyle name="Standaard 24 4 2 5" xfId="27009"/>
    <cellStyle name="Standaard 24 4 2 5 2" xfId="27010"/>
    <cellStyle name="Standaard 24 4 2 5 2 2" xfId="27011"/>
    <cellStyle name="Standaard 24 4 2 5 3" xfId="27012"/>
    <cellStyle name="Standaard 24 4 2 6" xfId="27013"/>
    <cellStyle name="Standaard 24 4 2 6 2" xfId="27014"/>
    <cellStyle name="Standaard 24 4 2 7" xfId="27015"/>
    <cellStyle name="Standaard 24 4 2 8" xfId="27016"/>
    <cellStyle name="Standaard 24 4 3" xfId="27017"/>
    <cellStyle name="Standaard 24 4 3 2" xfId="27018"/>
    <cellStyle name="Standaard 24 4 3 2 2" xfId="27019"/>
    <cellStyle name="Standaard 24 4 3 2 2 2" xfId="27020"/>
    <cellStyle name="Standaard 24 4 3 2 2 2 2" xfId="27021"/>
    <cellStyle name="Standaard 24 4 3 2 2 2 2 2" xfId="27022"/>
    <cellStyle name="Standaard 24 4 3 2 2 2 3" xfId="27023"/>
    <cellStyle name="Standaard 24 4 3 2 2 3" xfId="27024"/>
    <cellStyle name="Standaard 24 4 3 2 2 3 2" xfId="27025"/>
    <cellStyle name="Standaard 24 4 3 2 2 4" xfId="27026"/>
    <cellStyle name="Standaard 24 4 3 2 3" xfId="27027"/>
    <cellStyle name="Standaard 24 4 3 2 3 2" xfId="27028"/>
    <cellStyle name="Standaard 24 4 3 2 3 2 2" xfId="27029"/>
    <cellStyle name="Standaard 24 4 3 2 3 3" xfId="27030"/>
    <cellStyle name="Standaard 24 4 3 2 4" xfId="27031"/>
    <cellStyle name="Standaard 24 4 3 2 4 2" xfId="27032"/>
    <cellStyle name="Standaard 24 4 3 2 5" xfId="27033"/>
    <cellStyle name="Standaard 24 4 3 2 6" xfId="27034"/>
    <cellStyle name="Standaard 24 4 3 3" xfId="27035"/>
    <cellStyle name="Standaard 24 4 3 3 2" xfId="27036"/>
    <cellStyle name="Standaard 24 4 3 3 2 2" xfId="27037"/>
    <cellStyle name="Standaard 24 4 3 3 2 2 2" xfId="27038"/>
    <cellStyle name="Standaard 24 4 3 3 2 3" xfId="27039"/>
    <cellStyle name="Standaard 24 4 3 3 3" xfId="27040"/>
    <cellStyle name="Standaard 24 4 3 3 3 2" xfId="27041"/>
    <cellStyle name="Standaard 24 4 3 3 4" xfId="27042"/>
    <cellStyle name="Standaard 24 4 3 4" xfId="27043"/>
    <cellStyle name="Standaard 24 4 3 4 2" xfId="27044"/>
    <cellStyle name="Standaard 24 4 3 4 2 2" xfId="27045"/>
    <cellStyle name="Standaard 24 4 3 4 3" xfId="27046"/>
    <cellStyle name="Standaard 24 4 3 5" xfId="27047"/>
    <cellStyle name="Standaard 24 4 3 5 2" xfId="27048"/>
    <cellStyle name="Standaard 24 4 3 6" xfId="27049"/>
    <cellStyle name="Standaard 24 4 3 7" xfId="27050"/>
    <cellStyle name="Standaard 24 4 4" xfId="27051"/>
    <cellStyle name="Standaard 24 4 4 2" xfId="27052"/>
    <cellStyle name="Standaard 24 4 4 2 2" xfId="27053"/>
    <cellStyle name="Standaard 24 4 4 2 2 2" xfId="27054"/>
    <cellStyle name="Standaard 24 4 4 2 2 2 2" xfId="27055"/>
    <cellStyle name="Standaard 24 4 4 2 2 3" xfId="27056"/>
    <cellStyle name="Standaard 24 4 4 2 3" xfId="27057"/>
    <cellStyle name="Standaard 24 4 4 2 3 2" xfId="27058"/>
    <cellStyle name="Standaard 24 4 4 2 4" xfId="27059"/>
    <cellStyle name="Standaard 24 4 4 3" xfId="27060"/>
    <cellStyle name="Standaard 24 4 4 3 2" xfId="27061"/>
    <cellStyle name="Standaard 24 4 4 3 2 2" xfId="27062"/>
    <cellStyle name="Standaard 24 4 4 3 3" xfId="27063"/>
    <cellStyle name="Standaard 24 4 4 4" xfId="27064"/>
    <cellStyle name="Standaard 24 4 4 4 2" xfId="27065"/>
    <cellStyle name="Standaard 24 4 4 5" xfId="27066"/>
    <cellStyle name="Standaard 24 4 4 6" xfId="27067"/>
    <cellStyle name="Standaard 24 4 5" xfId="27068"/>
    <cellStyle name="Standaard 24 4 5 2" xfId="27069"/>
    <cellStyle name="Standaard 24 4 5 2 2" xfId="27070"/>
    <cellStyle name="Standaard 24 4 5 2 2 2" xfId="27071"/>
    <cellStyle name="Standaard 24 4 5 2 3" xfId="27072"/>
    <cellStyle name="Standaard 24 4 5 3" xfId="27073"/>
    <cellStyle name="Standaard 24 4 5 3 2" xfId="27074"/>
    <cellStyle name="Standaard 24 4 5 4" xfId="27075"/>
    <cellStyle name="Standaard 24 4 6" xfId="27076"/>
    <cellStyle name="Standaard 24 4 6 2" xfId="27077"/>
    <cellStyle name="Standaard 24 4 6 2 2" xfId="27078"/>
    <cellStyle name="Standaard 24 4 6 3" xfId="27079"/>
    <cellStyle name="Standaard 24 4 7" xfId="27080"/>
    <cellStyle name="Standaard 24 4 7 2" xfId="27081"/>
    <cellStyle name="Standaard 24 4 8" xfId="27082"/>
    <cellStyle name="Standaard 24 4 9" xfId="27083"/>
    <cellStyle name="Standaard 24 5" xfId="27084"/>
    <cellStyle name="Standaard 24 5 2" xfId="27085"/>
    <cellStyle name="Standaard 24 5 2 2" xfId="27086"/>
    <cellStyle name="Standaard 24 5 2 2 2" xfId="27087"/>
    <cellStyle name="Standaard 24 5 2 2 2 2" xfId="27088"/>
    <cellStyle name="Standaard 24 5 2 2 2 2 2" xfId="27089"/>
    <cellStyle name="Standaard 24 5 2 2 2 2 2 2" xfId="27090"/>
    <cellStyle name="Standaard 24 5 2 2 2 2 3" xfId="27091"/>
    <cellStyle name="Standaard 24 5 2 2 2 3" xfId="27092"/>
    <cellStyle name="Standaard 24 5 2 2 2 3 2" xfId="27093"/>
    <cellStyle name="Standaard 24 5 2 2 2 4" xfId="27094"/>
    <cellStyle name="Standaard 24 5 2 2 3" xfId="27095"/>
    <cellStyle name="Standaard 24 5 2 2 3 2" xfId="27096"/>
    <cellStyle name="Standaard 24 5 2 2 3 2 2" xfId="27097"/>
    <cellStyle name="Standaard 24 5 2 2 3 3" xfId="27098"/>
    <cellStyle name="Standaard 24 5 2 2 4" xfId="27099"/>
    <cellStyle name="Standaard 24 5 2 2 4 2" xfId="27100"/>
    <cellStyle name="Standaard 24 5 2 2 5" xfId="27101"/>
    <cellStyle name="Standaard 24 5 2 2 6" xfId="27102"/>
    <cellStyle name="Standaard 24 5 2 3" xfId="27103"/>
    <cellStyle name="Standaard 24 5 2 3 2" xfId="27104"/>
    <cellStyle name="Standaard 24 5 2 3 2 2" xfId="27105"/>
    <cellStyle name="Standaard 24 5 2 3 2 2 2" xfId="27106"/>
    <cellStyle name="Standaard 24 5 2 3 2 3" xfId="27107"/>
    <cellStyle name="Standaard 24 5 2 3 3" xfId="27108"/>
    <cellStyle name="Standaard 24 5 2 3 3 2" xfId="27109"/>
    <cellStyle name="Standaard 24 5 2 3 4" xfId="27110"/>
    <cellStyle name="Standaard 24 5 2 4" xfId="27111"/>
    <cellStyle name="Standaard 24 5 2 4 2" xfId="27112"/>
    <cellStyle name="Standaard 24 5 2 4 2 2" xfId="27113"/>
    <cellStyle name="Standaard 24 5 2 4 3" xfId="27114"/>
    <cellStyle name="Standaard 24 5 2 5" xfId="27115"/>
    <cellStyle name="Standaard 24 5 2 5 2" xfId="27116"/>
    <cellStyle name="Standaard 24 5 2 6" xfId="27117"/>
    <cellStyle name="Standaard 24 5 2 7" xfId="27118"/>
    <cellStyle name="Standaard 24 5 3" xfId="27119"/>
    <cellStyle name="Standaard 24 5 3 2" xfId="27120"/>
    <cellStyle name="Standaard 24 5 3 2 2" xfId="27121"/>
    <cellStyle name="Standaard 24 5 3 2 2 2" xfId="27122"/>
    <cellStyle name="Standaard 24 5 3 2 2 2 2" xfId="27123"/>
    <cellStyle name="Standaard 24 5 3 2 2 3" xfId="27124"/>
    <cellStyle name="Standaard 24 5 3 2 3" xfId="27125"/>
    <cellStyle name="Standaard 24 5 3 2 3 2" xfId="27126"/>
    <cellStyle name="Standaard 24 5 3 2 4" xfId="27127"/>
    <cellStyle name="Standaard 24 5 3 3" xfId="27128"/>
    <cellStyle name="Standaard 24 5 3 3 2" xfId="27129"/>
    <cellStyle name="Standaard 24 5 3 3 2 2" xfId="27130"/>
    <cellStyle name="Standaard 24 5 3 3 3" xfId="27131"/>
    <cellStyle name="Standaard 24 5 3 4" xfId="27132"/>
    <cellStyle name="Standaard 24 5 3 4 2" xfId="27133"/>
    <cellStyle name="Standaard 24 5 3 5" xfId="27134"/>
    <cellStyle name="Standaard 24 5 3 6" xfId="27135"/>
    <cellStyle name="Standaard 24 5 4" xfId="27136"/>
    <cellStyle name="Standaard 24 5 4 2" xfId="27137"/>
    <cellStyle name="Standaard 24 5 4 2 2" xfId="27138"/>
    <cellStyle name="Standaard 24 5 4 2 2 2" xfId="27139"/>
    <cellStyle name="Standaard 24 5 4 2 3" xfId="27140"/>
    <cellStyle name="Standaard 24 5 4 3" xfId="27141"/>
    <cellStyle name="Standaard 24 5 4 3 2" xfId="27142"/>
    <cellStyle name="Standaard 24 5 4 4" xfId="27143"/>
    <cellStyle name="Standaard 24 5 5" xfId="27144"/>
    <cellStyle name="Standaard 24 5 5 2" xfId="27145"/>
    <cellStyle name="Standaard 24 5 5 2 2" xfId="27146"/>
    <cellStyle name="Standaard 24 5 5 3" xfId="27147"/>
    <cellStyle name="Standaard 24 5 6" xfId="27148"/>
    <cellStyle name="Standaard 24 5 6 2" xfId="27149"/>
    <cellStyle name="Standaard 24 5 7" xfId="27150"/>
    <cellStyle name="Standaard 24 5 8" xfId="27151"/>
    <cellStyle name="Standaard 24 6" xfId="27152"/>
    <cellStyle name="Standaard 24 6 2" xfId="27153"/>
    <cellStyle name="Standaard 24 6 2 2" xfId="27154"/>
    <cellStyle name="Standaard 24 6 2 2 2" xfId="27155"/>
    <cellStyle name="Standaard 24 6 2 2 2 2" xfId="27156"/>
    <cellStyle name="Standaard 24 6 2 2 2 2 2" xfId="27157"/>
    <cellStyle name="Standaard 24 6 2 2 2 2 2 2" xfId="27158"/>
    <cellStyle name="Standaard 24 6 2 2 2 2 3" xfId="27159"/>
    <cellStyle name="Standaard 24 6 2 2 2 3" xfId="27160"/>
    <cellStyle name="Standaard 24 6 2 2 2 3 2" xfId="27161"/>
    <cellStyle name="Standaard 24 6 2 2 2 4" xfId="27162"/>
    <cellStyle name="Standaard 24 6 2 2 3" xfId="27163"/>
    <cellStyle name="Standaard 24 6 2 2 3 2" xfId="27164"/>
    <cellStyle name="Standaard 24 6 2 2 3 2 2" xfId="27165"/>
    <cellStyle name="Standaard 24 6 2 2 3 3" xfId="27166"/>
    <cellStyle name="Standaard 24 6 2 2 4" xfId="27167"/>
    <cellStyle name="Standaard 24 6 2 2 4 2" xfId="27168"/>
    <cellStyle name="Standaard 24 6 2 2 5" xfId="27169"/>
    <cellStyle name="Standaard 24 6 2 2 6" xfId="27170"/>
    <cellStyle name="Standaard 24 6 2 3" xfId="27171"/>
    <cellStyle name="Standaard 24 6 2 3 2" xfId="27172"/>
    <cellStyle name="Standaard 24 6 2 3 2 2" xfId="27173"/>
    <cellStyle name="Standaard 24 6 2 3 2 2 2" xfId="27174"/>
    <cellStyle name="Standaard 24 6 2 3 2 3" xfId="27175"/>
    <cellStyle name="Standaard 24 6 2 3 3" xfId="27176"/>
    <cellStyle name="Standaard 24 6 2 3 3 2" xfId="27177"/>
    <cellStyle name="Standaard 24 6 2 3 4" xfId="27178"/>
    <cellStyle name="Standaard 24 6 2 4" xfId="27179"/>
    <cellStyle name="Standaard 24 6 2 4 2" xfId="27180"/>
    <cellStyle name="Standaard 24 6 2 4 2 2" xfId="27181"/>
    <cellStyle name="Standaard 24 6 2 4 3" xfId="27182"/>
    <cellStyle name="Standaard 24 6 2 5" xfId="27183"/>
    <cellStyle name="Standaard 24 6 2 5 2" xfId="27184"/>
    <cellStyle name="Standaard 24 6 2 6" xfId="27185"/>
    <cellStyle name="Standaard 24 6 2 7" xfId="27186"/>
    <cellStyle name="Standaard 24 6 3" xfId="27187"/>
    <cellStyle name="Standaard 24 6 3 2" xfId="27188"/>
    <cellStyle name="Standaard 24 6 3 2 2" xfId="27189"/>
    <cellStyle name="Standaard 24 6 3 2 2 2" xfId="27190"/>
    <cellStyle name="Standaard 24 6 3 2 2 2 2" xfId="27191"/>
    <cellStyle name="Standaard 24 6 3 2 2 3" xfId="27192"/>
    <cellStyle name="Standaard 24 6 3 2 3" xfId="27193"/>
    <cellStyle name="Standaard 24 6 3 2 3 2" xfId="27194"/>
    <cellStyle name="Standaard 24 6 3 2 4" xfId="27195"/>
    <cellStyle name="Standaard 24 6 3 3" xfId="27196"/>
    <cellStyle name="Standaard 24 6 3 3 2" xfId="27197"/>
    <cellStyle name="Standaard 24 6 3 3 2 2" xfId="27198"/>
    <cellStyle name="Standaard 24 6 3 3 3" xfId="27199"/>
    <cellStyle name="Standaard 24 6 3 4" xfId="27200"/>
    <cellStyle name="Standaard 24 6 3 4 2" xfId="27201"/>
    <cellStyle name="Standaard 24 6 3 5" xfId="27202"/>
    <cellStyle name="Standaard 24 6 3 6" xfId="27203"/>
    <cellStyle name="Standaard 24 6 4" xfId="27204"/>
    <cellStyle name="Standaard 24 6 4 2" xfId="27205"/>
    <cellStyle name="Standaard 24 6 4 2 2" xfId="27206"/>
    <cellStyle name="Standaard 24 6 4 2 2 2" xfId="27207"/>
    <cellStyle name="Standaard 24 6 4 2 3" xfId="27208"/>
    <cellStyle name="Standaard 24 6 4 3" xfId="27209"/>
    <cellStyle name="Standaard 24 6 4 3 2" xfId="27210"/>
    <cellStyle name="Standaard 24 6 4 4" xfId="27211"/>
    <cellStyle name="Standaard 24 6 5" xfId="27212"/>
    <cellStyle name="Standaard 24 6 5 2" xfId="27213"/>
    <cellStyle name="Standaard 24 6 5 2 2" xfId="27214"/>
    <cellStyle name="Standaard 24 6 5 3" xfId="27215"/>
    <cellStyle name="Standaard 24 6 6" xfId="27216"/>
    <cellStyle name="Standaard 24 6 6 2" xfId="27217"/>
    <cellStyle name="Standaard 24 6 7" xfId="27218"/>
    <cellStyle name="Standaard 24 6 8" xfId="27219"/>
    <cellStyle name="Standaard 24 7" xfId="27220"/>
    <cellStyle name="Standaard 24 7 2" xfId="27221"/>
    <cellStyle name="Standaard 24 7 2 2" xfId="27222"/>
    <cellStyle name="Standaard 24 7 2 2 2" xfId="27223"/>
    <cellStyle name="Standaard 24 7 2 2 2 2" xfId="27224"/>
    <cellStyle name="Standaard 24 7 2 2 2 2 2" xfId="27225"/>
    <cellStyle name="Standaard 24 7 2 2 2 3" xfId="27226"/>
    <cellStyle name="Standaard 24 7 2 2 3" xfId="27227"/>
    <cellStyle name="Standaard 24 7 2 2 3 2" xfId="27228"/>
    <cellStyle name="Standaard 24 7 2 2 4" xfId="27229"/>
    <cellStyle name="Standaard 24 7 2 3" xfId="27230"/>
    <cellStyle name="Standaard 24 7 2 3 2" xfId="27231"/>
    <cellStyle name="Standaard 24 7 2 3 2 2" xfId="27232"/>
    <cellStyle name="Standaard 24 7 2 3 3" xfId="27233"/>
    <cellStyle name="Standaard 24 7 2 4" xfId="27234"/>
    <cellStyle name="Standaard 24 7 2 4 2" xfId="27235"/>
    <cellStyle name="Standaard 24 7 2 5" xfId="27236"/>
    <cellStyle name="Standaard 24 7 2 6" xfId="27237"/>
    <cellStyle name="Standaard 24 7 3" xfId="27238"/>
    <cellStyle name="Standaard 24 7 3 2" xfId="27239"/>
    <cellStyle name="Standaard 24 7 3 2 2" xfId="27240"/>
    <cellStyle name="Standaard 24 7 3 2 2 2" xfId="27241"/>
    <cellStyle name="Standaard 24 7 3 2 3" xfId="27242"/>
    <cellStyle name="Standaard 24 7 3 3" xfId="27243"/>
    <cellStyle name="Standaard 24 7 3 3 2" xfId="27244"/>
    <cellStyle name="Standaard 24 7 3 4" xfId="27245"/>
    <cellStyle name="Standaard 24 7 4" xfId="27246"/>
    <cellStyle name="Standaard 24 7 4 2" xfId="27247"/>
    <cellStyle name="Standaard 24 7 4 2 2" xfId="27248"/>
    <cellStyle name="Standaard 24 7 4 3" xfId="27249"/>
    <cellStyle name="Standaard 24 7 5" xfId="27250"/>
    <cellStyle name="Standaard 24 7 5 2" xfId="27251"/>
    <cellStyle name="Standaard 24 7 6" xfId="27252"/>
    <cellStyle name="Standaard 24 7 7" xfId="27253"/>
    <cellStyle name="Standaard 24 8" xfId="27254"/>
    <cellStyle name="Standaard 24 8 2" xfId="27255"/>
    <cellStyle name="Standaard 24 8 2 2" xfId="27256"/>
    <cellStyle name="Standaard 24 8 2 2 2" xfId="27257"/>
    <cellStyle name="Standaard 24 8 2 2 2 2" xfId="27258"/>
    <cellStyle name="Standaard 24 8 2 2 3" xfId="27259"/>
    <cellStyle name="Standaard 24 8 2 3" xfId="27260"/>
    <cellStyle name="Standaard 24 8 2 3 2" xfId="27261"/>
    <cellStyle name="Standaard 24 8 2 4" xfId="27262"/>
    <cellStyle name="Standaard 24 8 3" xfId="27263"/>
    <cellStyle name="Standaard 24 8 3 2" xfId="27264"/>
    <cellStyle name="Standaard 24 8 3 2 2" xfId="27265"/>
    <cellStyle name="Standaard 24 8 3 3" xfId="27266"/>
    <cellStyle name="Standaard 24 8 4" xfId="27267"/>
    <cellStyle name="Standaard 24 8 4 2" xfId="27268"/>
    <cellStyle name="Standaard 24 8 5" xfId="27269"/>
    <cellStyle name="Standaard 24 8 6" xfId="27270"/>
    <cellStyle name="Standaard 24 9" xfId="27271"/>
    <cellStyle name="Standaard 24 9 2" xfId="27272"/>
    <cellStyle name="Standaard 24 9 2 2" xfId="27273"/>
    <cellStyle name="Standaard 24 9 2 2 2" xfId="27274"/>
    <cellStyle name="Standaard 24 9 2 3" xfId="27275"/>
    <cellStyle name="Standaard 24 9 3" xfId="27276"/>
    <cellStyle name="Standaard 24 9 3 2" xfId="27277"/>
    <cellStyle name="Standaard 24 9 4" xfId="27278"/>
    <cellStyle name="Standaard 25" xfId="27279"/>
    <cellStyle name="Standaard 25 10" xfId="27280"/>
    <cellStyle name="Standaard 25 10 2" xfId="27281"/>
    <cellStyle name="Standaard 25 10 2 2" xfId="27282"/>
    <cellStyle name="Standaard 25 10 3" xfId="27283"/>
    <cellStyle name="Standaard 25 11" xfId="27284"/>
    <cellStyle name="Standaard 25 11 2" xfId="27285"/>
    <cellStyle name="Standaard 25 12" xfId="27286"/>
    <cellStyle name="Standaard 25 13" xfId="27287"/>
    <cellStyle name="Standaard 25 2" xfId="27288"/>
    <cellStyle name="Standaard 25 2 10" xfId="27289"/>
    <cellStyle name="Standaard 25 2 10 2" xfId="27290"/>
    <cellStyle name="Standaard 25 2 11" xfId="27291"/>
    <cellStyle name="Standaard 25 2 12" xfId="27292"/>
    <cellStyle name="Standaard 25 2 2" xfId="27293"/>
    <cellStyle name="Standaard 25 2 2 10" xfId="27294"/>
    <cellStyle name="Standaard 25 2 2 11" xfId="27295"/>
    <cellStyle name="Standaard 25 2 2 2" xfId="27296"/>
    <cellStyle name="Standaard 25 2 2 2 2" xfId="27297"/>
    <cellStyle name="Standaard 25 2 2 2 2 2" xfId="27298"/>
    <cellStyle name="Standaard 25 2 2 2 2 2 2" xfId="27299"/>
    <cellStyle name="Standaard 25 2 2 2 2 2 2 2" xfId="27300"/>
    <cellStyle name="Standaard 25 2 2 2 2 2 2 2 2" xfId="27301"/>
    <cellStyle name="Standaard 25 2 2 2 2 2 2 2 2 2" xfId="27302"/>
    <cellStyle name="Standaard 25 2 2 2 2 2 2 2 2 2 2" xfId="27303"/>
    <cellStyle name="Standaard 25 2 2 2 2 2 2 2 2 3" xfId="27304"/>
    <cellStyle name="Standaard 25 2 2 2 2 2 2 2 3" xfId="27305"/>
    <cellStyle name="Standaard 25 2 2 2 2 2 2 2 3 2" xfId="27306"/>
    <cellStyle name="Standaard 25 2 2 2 2 2 2 2 4" xfId="27307"/>
    <cellStyle name="Standaard 25 2 2 2 2 2 2 3" xfId="27308"/>
    <cellStyle name="Standaard 25 2 2 2 2 2 2 3 2" xfId="27309"/>
    <cellStyle name="Standaard 25 2 2 2 2 2 2 3 2 2" xfId="27310"/>
    <cellStyle name="Standaard 25 2 2 2 2 2 2 3 3" xfId="27311"/>
    <cellStyle name="Standaard 25 2 2 2 2 2 2 4" xfId="27312"/>
    <cellStyle name="Standaard 25 2 2 2 2 2 2 4 2" xfId="27313"/>
    <cellStyle name="Standaard 25 2 2 2 2 2 2 5" xfId="27314"/>
    <cellStyle name="Standaard 25 2 2 2 2 2 2 6" xfId="27315"/>
    <cellStyle name="Standaard 25 2 2 2 2 2 3" xfId="27316"/>
    <cellStyle name="Standaard 25 2 2 2 2 2 3 2" xfId="27317"/>
    <cellStyle name="Standaard 25 2 2 2 2 2 3 2 2" xfId="27318"/>
    <cellStyle name="Standaard 25 2 2 2 2 2 3 2 2 2" xfId="27319"/>
    <cellStyle name="Standaard 25 2 2 2 2 2 3 2 3" xfId="27320"/>
    <cellStyle name="Standaard 25 2 2 2 2 2 3 3" xfId="27321"/>
    <cellStyle name="Standaard 25 2 2 2 2 2 3 3 2" xfId="27322"/>
    <cellStyle name="Standaard 25 2 2 2 2 2 3 4" xfId="27323"/>
    <cellStyle name="Standaard 25 2 2 2 2 2 4" xfId="27324"/>
    <cellStyle name="Standaard 25 2 2 2 2 2 4 2" xfId="27325"/>
    <cellStyle name="Standaard 25 2 2 2 2 2 4 2 2" xfId="27326"/>
    <cellStyle name="Standaard 25 2 2 2 2 2 4 3" xfId="27327"/>
    <cellStyle name="Standaard 25 2 2 2 2 2 5" xfId="27328"/>
    <cellStyle name="Standaard 25 2 2 2 2 2 5 2" xfId="27329"/>
    <cellStyle name="Standaard 25 2 2 2 2 2 6" xfId="27330"/>
    <cellStyle name="Standaard 25 2 2 2 2 2 7" xfId="27331"/>
    <cellStyle name="Standaard 25 2 2 2 2 3" xfId="27332"/>
    <cellStyle name="Standaard 25 2 2 2 2 3 2" xfId="27333"/>
    <cellStyle name="Standaard 25 2 2 2 2 3 2 2" xfId="27334"/>
    <cellStyle name="Standaard 25 2 2 2 2 3 2 2 2" xfId="27335"/>
    <cellStyle name="Standaard 25 2 2 2 2 3 2 2 2 2" xfId="27336"/>
    <cellStyle name="Standaard 25 2 2 2 2 3 2 2 3" xfId="27337"/>
    <cellStyle name="Standaard 25 2 2 2 2 3 2 3" xfId="27338"/>
    <cellStyle name="Standaard 25 2 2 2 2 3 2 3 2" xfId="27339"/>
    <cellStyle name="Standaard 25 2 2 2 2 3 2 4" xfId="27340"/>
    <cellStyle name="Standaard 25 2 2 2 2 3 3" xfId="27341"/>
    <cellStyle name="Standaard 25 2 2 2 2 3 3 2" xfId="27342"/>
    <cellStyle name="Standaard 25 2 2 2 2 3 3 2 2" xfId="27343"/>
    <cellStyle name="Standaard 25 2 2 2 2 3 3 3" xfId="27344"/>
    <cellStyle name="Standaard 25 2 2 2 2 3 4" xfId="27345"/>
    <cellStyle name="Standaard 25 2 2 2 2 3 4 2" xfId="27346"/>
    <cellStyle name="Standaard 25 2 2 2 2 3 5" xfId="27347"/>
    <cellStyle name="Standaard 25 2 2 2 2 3 6" xfId="27348"/>
    <cellStyle name="Standaard 25 2 2 2 2 4" xfId="27349"/>
    <cellStyle name="Standaard 25 2 2 2 2 4 2" xfId="27350"/>
    <cellStyle name="Standaard 25 2 2 2 2 4 2 2" xfId="27351"/>
    <cellStyle name="Standaard 25 2 2 2 2 4 2 2 2" xfId="27352"/>
    <cellStyle name="Standaard 25 2 2 2 2 4 2 3" xfId="27353"/>
    <cellStyle name="Standaard 25 2 2 2 2 4 3" xfId="27354"/>
    <cellStyle name="Standaard 25 2 2 2 2 4 3 2" xfId="27355"/>
    <cellStyle name="Standaard 25 2 2 2 2 4 4" xfId="27356"/>
    <cellStyle name="Standaard 25 2 2 2 2 5" xfId="27357"/>
    <cellStyle name="Standaard 25 2 2 2 2 5 2" xfId="27358"/>
    <cellStyle name="Standaard 25 2 2 2 2 5 2 2" xfId="27359"/>
    <cellStyle name="Standaard 25 2 2 2 2 5 3" xfId="27360"/>
    <cellStyle name="Standaard 25 2 2 2 2 6" xfId="27361"/>
    <cellStyle name="Standaard 25 2 2 2 2 6 2" xfId="27362"/>
    <cellStyle name="Standaard 25 2 2 2 2 7" xfId="27363"/>
    <cellStyle name="Standaard 25 2 2 2 2 8" xfId="27364"/>
    <cellStyle name="Standaard 25 2 2 2 3" xfId="27365"/>
    <cellStyle name="Standaard 25 2 2 2 3 2" xfId="27366"/>
    <cellStyle name="Standaard 25 2 2 2 3 2 2" xfId="27367"/>
    <cellStyle name="Standaard 25 2 2 2 3 2 2 2" xfId="27368"/>
    <cellStyle name="Standaard 25 2 2 2 3 2 2 2 2" xfId="27369"/>
    <cellStyle name="Standaard 25 2 2 2 3 2 2 2 2 2" xfId="27370"/>
    <cellStyle name="Standaard 25 2 2 2 3 2 2 2 3" xfId="27371"/>
    <cellStyle name="Standaard 25 2 2 2 3 2 2 3" xfId="27372"/>
    <cellStyle name="Standaard 25 2 2 2 3 2 2 3 2" xfId="27373"/>
    <cellStyle name="Standaard 25 2 2 2 3 2 2 4" xfId="27374"/>
    <cellStyle name="Standaard 25 2 2 2 3 2 3" xfId="27375"/>
    <cellStyle name="Standaard 25 2 2 2 3 2 3 2" xfId="27376"/>
    <cellStyle name="Standaard 25 2 2 2 3 2 3 2 2" xfId="27377"/>
    <cellStyle name="Standaard 25 2 2 2 3 2 3 3" xfId="27378"/>
    <cellStyle name="Standaard 25 2 2 2 3 2 4" xfId="27379"/>
    <cellStyle name="Standaard 25 2 2 2 3 2 4 2" xfId="27380"/>
    <cellStyle name="Standaard 25 2 2 2 3 2 5" xfId="27381"/>
    <cellStyle name="Standaard 25 2 2 2 3 2 6" xfId="27382"/>
    <cellStyle name="Standaard 25 2 2 2 3 3" xfId="27383"/>
    <cellStyle name="Standaard 25 2 2 2 3 3 2" xfId="27384"/>
    <cellStyle name="Standaard 25 2 2 2 3 3 2 2" xfId="27385"/>
    <cellStyle name="Standaard 25 2 2 2 3 3 2 2 2" xfId="27386"/>
    <cellStyle name="Standaard 25 2 2 2 3 3 2 3" xfId="27387"/>
    <cellStyle name="Standaard 25 2 2 2 3 3 3" xfId="27388"/>
    <cellStyle name="Standaard 25 2 2 2 3 3 3 2" xfId="27389"/>
    <cellStyle name="Standaard 25 2 2 2 3 3 4" xfId="27390"/>
    <cellStyle name="Standaard 25 2 2 2 3 4" xfId="27391"/>
    <cellStyle name="Standaard 25 2 2 2 3 4 2" xfId="27392"/>
    <cellStyle name="Standaard 25 2 2 2 3 4 2 2" xfId="27393"/>
    <cellStyle name="Standaard 25 2 2 2 3 4 3" xfId="27394"/>
    <cellStyle name="Standaard 25 2 2 2 3 5" xfId="27395"/>
    <cellStyle name="Standaard 25 2 2 2 3 5 2" xfId="27396"/>
    <cellStyle name="Standaard 25 2 2 2 3 6" xfId="27397"/>
    <cellStyle name="Standaard 25 2 2 2 3 7" xfId="27398"/>
    <cellStyle name="Standaard 25 2 2 2 4" xfId="27399"/>
    <cellStyle name="Standaard 25 2 2 2 4 2" xfId="27400"/>
    <cellStyle name="Standaard 25 2 2 2 4 2 2" xfId="27401"/>
    <cellStyle name="Standaard 25 2 2 2 4 2 2 2" xfId="27402"/>
    <cellStyle name="Standaard 25 2 2 2 4 2 2 2 2" xfId="27403"/>
    <cellStyle name="Standaard 25 2 2 2 4 2 2 3" xfId="27404"/>
    <cellStyle name="Standaard 25 2 2 2 4 2 3" xfId="27405"/>
    <cellStyle name="Standaard 25 2 2 2 4 2 3 2" xfId="27406"/>
    <cellStyle name="Standaard 25 2 2 2 4 2 4" xfId="27407"/>
    <cellStyle name="Standaard 25 2 2 2 4 3" xfId="27408"/>
    <cellStyle name="Standaard 25 2 2 2 4 3 2" xfId="27409"/>
    <cellStyle name="Standaard 25 2 2 2 4 3 2 2" xfId="27410"/>
    <cellStyle name="Standaard 25 2 2 2 4 3 3" xfId="27411"/>
    <cellStyle name="Standaard 25 2 2 2 4 4" xfId="27412"/>
    <cellStyle name="Standaard 25 2 2 2 4 4 2" xfId="27413"/>
    <cellStyle name="Standaard 25 2 2 2 4 5" xfId="27414"/>
    <cellStyle name="Standaard 25 2 2 2 4 6" xfId="27415"/>
    <cellStyle name="Standaard 25 2 2 2 5" xfId="27416"/>
    <cellStyle name="Standaard 25 2 2 2 5 2" xfId="27417"/>
    <cellStyle name="Standaard 25 2 2 2 5 2 2" xfId="27418"/>
    <cellStyle name="Standaard 25 2 2 2 5 2 2 2" xfId="27419"/>
    <cellStyle name="Standaard 25 2 2 2 5 2 3" xfId="27420"/>
    <cellStyle name="Standaard 25 2 2 2 5 3" xfId="27421"/>
    <cellStyle name="Standaard 25 2 2 2 5 3 2" xfId="27422"/>
    <cellStyle name="Standaard 25 2 2 2 5 4" xfId="27423"/>
    <cellStyle name="Standaard 25 2 2 2 6" xfId="27424"/>
    <cellStyle name="Standaard 25 2 2 2 6 2" xfId="27425"/>
    <cellStyle name="Standaard 25 2 2 2 6 2 2" xfId="27426"/>
    <cellStyle name="Standaard 25 2 2 2 6 3" xfId="27427"/>
    <cellStyle name="Standaard 25 2 2 2 7" xfId="27428"/>
    <cellStyle name="Standaard 25 2 2 2 7 2" xfId="27429"/>
    <cellStyle name="Standaard 25 2 2 2 8" xfId="27430"/>
    <cellStyle name="Standaard 25 2 2 2 9" xfId="27431"/>
    <cellStyle name="Standaard 25 2 2 3" xfId="27432"/>
    <cellStyle name="Standaard 25 2 2 3 2" xfId="27433"/>
    <cellStyle name="Standaard 25 2 2 3 2 2" xfId="27434"/>
    <cellStyle name="Standaard 25 2 2 3 2 2 2" xfId="27435"/>
    <cellStyle name="Standaard 25 2 2 3 2 2 2 2" xfId="27436"/>
    <cellStyle name="Standaard 25 2 2 3 2 2 2 2 2" xfId="27437"/>
    <cellStyle name="Standaard 25 2 2 3 2 2 2 2 2 2" xfId="27438"/>
    <cellStyle name="Standaard 25 2 2 3 2 2 2 2 3" xfId="27439"/>
    <cellStyle name="Standaard 25 2 2 3 2 2 2 3" xfId="27440"/>
    <cellStyle name="Standaard 25 2 2 3 2 2 2 3 2" xfId="27441"/>
    <cellStyle name="Standaard 25 2 2 3 2 2 2 4" xfId="27442"/>
    <cellStyle name="Standaard 25 2 2 3 2 2 3" xfId="27443"/>
    <cellStyle name="Standaard 25 2 2 3 2 2 3 2" xfId="27444"/>
    <cellStyle name="Standaard 25 2 2 3 2 2 3 2 2" xfId="27445"/>
    <cellStyle name="Standaard 25 2 2 3 2 2 3 3" xfId="27446"/>
    <cellStyle name="Standaard 25 2 2 3 2 2 4" xfId="27447"/>
    <cellStyle name="Standaard 25 2 2 3 2 2 4 2" xfId="27448"/>
    <cellStyle name="Standaard 25 2 2 3 2 2 5" xfId="27449"/>
    <cellStyle name="Standaard 25 2 2 3 2 2 6" xfId="27450"/>
    <cellStyle name="Standaard 25 2 2 3 2 3" xfId="27451"/>
    <cellStyle name="Standaard 25 2 2 3 2 3 2" xfId="27452"/>
    <cellStyle name="Standaard 25 2 2 3 2 3 2 2" xfId="27453"/>
    <cellStyle name="Standaard 25 2 2 3 2 3 2 2 2" xfId="27454"/>
    <cellStyle name="Standaard 25 2 2 3 2 3 2 3" xfId="27455"/>
    <cellStyle name="Standaard 25 2 2 3 2 3 3" xfId="27456"/>
    <cellStyle name="Standaard 25 2 2 3 2 3 3 2" xfId="27457"/>
    <cellStyle name="Standaard 25 2 2 3 2 3 4" xfId="27458"/>
    <cellStyle name="Standaard 25 2 2 3 2 4" xfId="27459"/>
    <cellStyle name="Standaard 25 2 2 3 2 4 2" xfId="27460"/>
    <cellStyle name="Standaard 25 2 2 3 2 4 2 2" xfId="27461"/>
    <cellStyle name="Standaard 25 2 2 3 2 4 3" xfId="27462"/>
    <cellStyle name="Standaard 25 2 2 3 2 5" xfId="27463"/>
    <cellStyle name="Standaard 25 2 2 3 2 5 2" xfId="27464"/>
    <cellStyle name="Standaard 25 2 2 3 2 6" xfId="27465"/>
    <cellStyle name="Standaard 25 2 2 3 2 7" xfId="27466"/>
    <cellStyle name="Standaard 25 2 2 3 3" xfId="27467"/>
    <cellStyle name="Standaard 25 2 2 3 3 2" xfId="27468"/>
    <cellStyle name="Standaard 25 2 2 3 3 2 2" xfId="27469"/>
    <cellStyle name="Standaard 25 2 2 3 3 2 2 2" xfId="27470"/>
    <cellStyle name="Standaard 25 2 2 3 3 2 2 2 2" xfId="27471"/>
    <cellStyle name="Standaard 25 2 2 3 3 2 2 3" xfId="27472"/>
    <cellStyle name="Standaard 25 2 2 3 3 2 3" xfId="27473"/>
    <cellStyle name="Standaard 25 2 2 3 3 2 3 2" xfId="27474"/>
    <cellStyle name="Standaard 25 2 2 3 3 2 4" xfId="27475"/>
    <cellStyle name="Standaard 25 2 2 3 3 3" xfId="27476"/>
    <cellStyle name="Standaard 25 2 2 3 3 3 2" xfId="27477"/>
    <cellStyle name="Standaard 25 2 2 3 3 3 2 2" xfId="27478"/>
    <cellStyle name="Standaard 25 2 2 3 3 3 3" xfId="27479"/>
    <cellStyle name="Standaard 25 2 2 3 3 4" xfId="27480"/>
    <cellStyle name="Standaard 25 2 2 3 3 4 2" xfId="27481"/>
    <cellStyle name="Standaard 25 2 2 3 3 5" xfId="27482"/>
    <cellStyle name="Standaard 25 2 2 3 3 6" xfId="27483"/>
    <cellStyle name="Standaard 25 2 2 3 4" xfId="27484"/>
    <cellStyle name="Standaard 25 2 2 3 4 2" xfId="27485"/>
    <cellStyle name="Standaard 25 2 2 3 4 2 2" xfId="27486"/>
    <cellStyle name="Standaard 25 2 2 3 4 2 2 2" xfId="27487"/>
    <cellStyle name="Standaard 25 2 2 3 4 2 3" xfId="27488"/>
    <cellStyle name="Standaard 25 2 2 3 4 3" xfId="27489"/>
    <cellStyle name="Standaard 25 2 2 3 4 3 2" xfId="27490"/>
    <cellStyle name="Standaard 25 2 2 3 4 4" xfId="27491"/>
    <cellStyle name="Standaard 25 2 2 3 5" xfId="27492"/>
    <cellStyle name="Standaard 25 2 2 3 5 2" xfId="27493"/>
    <cellStyle name="Standaard 25 2 2 3 5 2 2" xfId="27494"/>
    <cellStyle name="Standaard 25 2 2 3 5 3" xfId="27495"/>
    <cellStyle name="Standaard 25 2 2 3 6" xfId="27496"/>
    <cellStyle name="Standaard 25 2 2 3 6 2" xfId="27497"/>
    <cellStyle name="Standaard 25 2 2 3 7" xfId="27498"/>
    <cellStyle name="Standaard 25 2 2 3 8" xfId="27499"/>
    <cellStyle name="Standaard 25 2 2 4" xfId="27500"/>
    <cellStyle name="Standaard 25 2 2 4 2" xfId="27501"/>
    <cellStyle name="Standaard 25 2 2 4 2 2" xfId="27502"/>
    <cellStyle name="Standaard 25 2 2 4 2 2 2" xfId="27503"/>
    <cellStyle name="Standaard 25 2 2 4 2 2 2 2" xfId="27504"/>
    <cellStyle name="Standaard 25 2 2 4 2 2 2 2 2" xfId="27505"/>
    <cellStyle name="Standaard 25 2 2 4 2 2 2 2 2 2" xfId="27506"/>
    <cellStyle name="Standaard 25 2 2 4 2 2 2 2 3" xfId="27507"/>
    <cellStyle name="Standaard 25 2 2 4 2 2 2 3" xfId="27508"/>
    <cellStyle name="Standaard 25 2 2 4 2 2 2 3 2" xfId="27509"/>
    <cellStyle name="Standaard 25 2 2 4 2 2 2 4" xfId="27510"/>
    <cellStyle name="Standaard 25 2 2 4 2 2 3" xfId="27511"/>
    <cellStyle name="Standaard 25 2 2 4 2 2 3 2" xfId="27512"/>
    <cellStyle name="Standaard 25 2 2 4 2 2 3 2 2" xfId="27513"/>
    <cellStyle name="Standaard 25 2 2 4 2 2 3 3" xfId="27514"/>
    <cellStyle name="Standaard 25 2 2 4 2 2 4" xfId="27515"/>
    <cellStyle name="Standaard 25 2 2 4 2 2 4 2" xfId="27516"/>
    <cellStyle name="Standaard 25 2 2 4 2 2 5" xfId="27517"/>
    <cellStyle name="Standaard 25 2 2 4 2 2 6" xfId="27518"/>
    <cellStyle name="Standaard 25 2 2 4 2 3" xfId="27519"/>
    <cellStyle name="Standaard 25 2 2 4 2 3 2" xfId="27520"/>
    <cellStyle name="Standaard 25 2 2 4 2 3 2 2" xfId="27521"/>
    <cellStyle name="Standaard 25 2 2 4 2 3 2 2 2" xfId="27522"/>
    <cellStyle name="Standaard 25 2 2 4 2 3 2 3" xfId="27523"/>
    <cellStyle name="Standaard 25 2 2 4 2 3 3" xfId="27524"/>
    <cellStyle name="Standaard 25 2 2 4 2 3 3 2" xfId="27525"/>
    <cellStyle name="Standaard 25 2 2 4 2 3 4" xfId="27526"/>
    <cellStyle name="Standaard 25 2 2 4 2 4" xfId="27527"/>
    <cellStyle name="Standaard 25 2 2 4 2 4 2" xfId="27528"/>
    <cellStyle name="Standaard 25 2 2 4 2 4 2 2" xfId="27529"/>
    <cellStyle name="Standaard 25 2 2 4 2 4 3" xfId="27530"/>
    <cellStyle name="Standaard 25 2 2 4 2 5" xfId="27531"/>
    <cellStyle name="Standaard 25 2 2 4 2 5 2" xfId="27532"/>
    <cellStyle name="Standaard 25 2 2 4 2 6" xfId="27533"/>
    <cellStyle name="Standaard 25 2 2 4 2 7" xfId="27534"/>
    <cellStyle name="Standaard 25 2 2 4 3" xfId="27535"/>
    <cellStyle name="Standaard 25 2 2 4 3 2" xfId="27536"/>
    <cellStyle name="Standaard 25 2 2 4 3 2 2" xfId="27537"/>
    <cellStyle name="Standaard 25 2 2 4 3 2 2 2" xfId="27538"/>
    <cellStyle name="Standaard 25 2 2 4 3 2 2 2 2" xfId="27539"/>
    <cellStyle name="Standaard 25 2 2 4 3 2 2 3" xfId="27540"/>
    <cellStyle name="Standaard 25 2 2 4 3 2 3" xfId="27541"/>
    <cellStyle name="Standaard 25 2 2 4 3 2 3 2" xfId="27542"/>
    <cellStyle name="Standaard 25 2 2 4 3 2 4" xfId="27543"/>
    <cellStyle name="Standaard 25 2 2 4 3 3" xfId="27544"/>
    <cellStyle name="Standaard 25 2 2 4 3 3 2" xfId="27545"/>
    <cellStyle name="Standaard 25 2 2 4 3 3 2 2" xfId="27546"/>
    <cellStyle name="Standaard 25 2 2 4 3 3 3" xfId="27547"/>
    <cellStyle name="Standaard 25 2 2 4 3 4" xfId="27548"/>
    <cellStyle name="Standaard 25 2 2 4 3 4 2" xfId="27549"/>
    <cellStyle name="Standaard 25 2 2 4 3 5" xfId="27550"/>
    <cellStyle name="Standaard 25 2 2 4 3 6" xfId="27551"/>
    <cellStyle name="Standaard 25 2 2 4 4" xfId="27552"/>
    <cellStyle name="Standaard 25 2 2 4 4 2" xfId="27553"/>
    <cellStyle name="Standaard 25 2 2 4 4 2 2" xfId="27554"/>
    <cellStyle name="Standaard 25 2 2 4 4 2 2 2" xfId="27555"/>
    <cellStyle name="Standaard 25 2 2 4 4 2 3" xfId="27556"/>
    <cellStyle name="Standaard 25 2 2 4 4 3" xfId="27557"/>
    <cellStyle name="Standaard 25 2 2 4 4 3 2" xfId="27558"/>
    <cellStyle name="Standaard 25 2 2 4 4 4" xfId="27559"/>
    <cellStyle name="Standaard 25 2 2 4 5" xfId="27560"/>
    <cellStyle name="Standaard 25 2 2 4 5 2" xfId="27561"/>
    <cellStyle name="Standaard 25 2 2 4 5 2 2" xfId="27562"/>
    <cellStyle name="Standaard 25 2 2 4 5 3" xfId="27563"/>
    <cellStyle name="Standaard 25 2 2 4 6" xfId="27564"/>
    <cellStyle name="Standaard 25 2 2 4 6 2" xfId="27565"/>
    <cellStyle name="Standaard 25 2 2 4 7" xfId="27566"/>
    <cellStyle name="Standaard 25 2 2 4 8" xfId="27567"/>
    <cellStyle name="Standaard 25 2 2 5" xfId="27568"/>
    <cellStyle name="Standaard 25 2 2 5 2" xfId="27569"/>
    <cellStyle name="Standaard 25 2 2 5 2 2" xfId="27570"/>
    <cellStyle name="Standaard 25 2 2 5 2 2 2" xfId="27571"/>
    <cellStyle name="Standaard 25 2 2 5 2 2 2 2" xfId="27572"/>
    <cellStyle name="Standaard 25 2 2 5 2 2 2 2 2" xfId="27573"/>
    <cellStyle name="Standaard 25 2 2 5 2 2 2 3" xfId="27574"/>
    <cellStyle name="Standaard 25 2 2 5 2 2 3" xfId="27575"/>
    <cellStyle name="Standaard 25 2 2 5 2 2 3 2" xfId="27576"/>
    <cellStyle name="Standaard 25 2 2 5 2 2 4" xfId="27577"/>
    <cellStyle name="Standaard 25 2 2 5 2 3" xfId="27578"/>
    <cellStyle name="Standaard 25 2 2 5 2 3 2" xfId="27579"/>
    <cellStyle name="Standaard 25 2 2 5 2 3 2 2" xfId="27580"/>
    <cellStyle name="Standaard 25 2 2 5 2 3 3" xfId="27581"/>
    <cellStyle name="Standaard 25 2 2 5 2 4" xfId="27582"/>
    <cellStyle name="Standaard 25 2 2 5 2 4 2" xfId="27583"/>
    <cellStyle name="Standaard 25 2 2 5 2 5" xfId="27584"/>
    <cellStyle name="Standaard 25 2 2 5 2 6" xfId="27585"/>
    <cellStyle name="Standaard 25 2 2 5 3" xfId="27586"/>
    <cellStyle name="Standaard 25 2 2 5 3 2" xfId="27587"/>
    <cellStyle name="Standaard 25 2 2 5 3 2 2" xfId="27588"/>
    <cellStyle name="Standaard 25 2 2 5 3 2 2 2" xfId="27589"/>
    <cellStyle name="Standaard 25 2 2 5 3 2 3" xfId="27590"/>
    <cellStyle name="Standaard 25 2 2 5 3 3" xfId="27591"/>
    <cellStyle name="Standaard 25 2 2 5 3 3 2" xfId="27592"/>
    <cellStyle name="Standaard 25 2 2 5 3 4" xfId="27593"/>
    <cellStyle name="Standaard 25 2 2 5 4" xfId="27594"/>
    <cellStyle name="Standaard 25 2 2 5 4 2" xfId="27595"/>
    <cellStyle name="Standaard 25 2 2 5 4 2 2" xfId="27596"/>
    <cellStyle name="Standaard 25 2 2 5 4 3" xfId="27597"/>
    <cellStyle name="Standaard 25 2 2 5 5" xfId="27598"/>
    <cellStyle name="Standaard 25 2 2 5 5 2" xfId="27599"/>
    <cellStyle name="Standaard 25 2 2 5 6" xfId="27600"/>
    <cellStyle name="Standaard 25 2 2 5 7" xfId="27601"/>
    <cellStyle name="Standaard 25 2 2 6" xfId="27602"/>
    <cellStyle name="Standaard 25 2 2 6 2" xfId="27603"/>
    <cellStyle name="Standaard 25 2 2 6 2 2" xfId="27604"/>
    <cellStyle name="Standaard 25 2 2 6 2 2 2" xfId="27605"/>
    <cellStyle name="Standaard 25 2 2 6 2 2 2 2" xfId="27606"/>
    <cellStyle name="Standaard 25 2 2 6 2 2 3" xfId="27607"/>
    <cellStyle name="Standaard 25 2 2 6 2 3" xfId="27608"/>
    <cellStyle name="Standaard 25 2 2 6 2 3 2" xfId="27609"/>
    <cellStyle name="Standaard 25 2 2 6 2 4" xfId="27610"/>
    <cellStyle name="Standaard 25 2 2 6 3" xfId="27611"/>
    <cellStyle name="Standaard 25 2 2 6 3 2" xfId="27612"/>
    <cellStyle name="Standaard 25 2 2 6 3 2 2" xfId="27613"/>
    <cellStyle name="Standaard 25 2 2 6 3 3" xfId="27614"/>
    <cellStyle name="Standaard 25 2 2 6 4" xfId="27615"/>
    <cellStyle name="Standaard 25 2 2 6 4 2" xfId="27616"/>
    <cellStyle name="Standaard 25 2 2 6 5" xfId="27617"/>
    <cellStyle name="Standaard 25 2 2 6 6" xfId="27618"/>
    <cellStyle name="Standaard 25 2 2 7" xfId="27619"/>
    <cellStyle name="Standaard 25 2 2 7 2" xfId="27620"/>
    <cellStyle name="Standaard 25 2 2 7 2 2" xfId="27621"/>
    <cellStyle name="Standaard 25 2 2 7 2 2 2" xfId="27622"/>
    <cellStyle name="Standaard 25 2 2 7 2 3" xfId="27623"/>
    <cellStyle name="Standaard 25 2 2 7 3" xfId="27624"/>
    <cellStyle name="Standaard 25 2 2 7 3 2" xfId="27625"/>
    <cellStyle name="Standaard 25 2 2 7 4" xfId="27626"/>
    <cellStyle name="Standaard 25 2 2 8" xfId="27627"/>
    <cellStyle name="Standaard 25 2 2 8 2" xfId="27628"/>
    <cellStyle name="Standaard 25 2 2 8 2 2" xfId="27629"/>
    <cellStyle name="Standaard 25 2 2 8 3" xfId="27630"/>
    <cellStyle name="Standaard 25 2 2 9" xfId="27631"/>
    <cellStyle name="Standaard 25 2 2 9 2" xfId="27632"/>
    <cellStyle name="Standaard 25 2 3" xfId="27633"/>
    <cellStyle name="Standaard 25 2 3 2" xfId="27634"/>
    <cellStyle name="Standaard 25 2 3 2 2" xfId="27635"/>
    <cellStyle name="Standaard 25 2 3 2 2 2" xfId="27636"/>
    <cellStyle name="Standaard 25 2 3 2 2 2 2" xfId="27637"/>
    <cellStyle name="Standaard 25 2 3 2 2 2 2 2" xfId="27638"/>
    <cellStyle name="Standaard 25 2 3 2 2 2 2 2 2" xfId="27639"/>
    <cellStyle name="Standaard 25 2 3 2 2 2 2 2 2 2" xfId="27640"/>
    <cellStyle name="Standaard 25 2 3 2 2 2 2 2 3" xfId="27641"/>
    <cellStyle name="Standaard 25 2 3 2 2 2 2 3" xfId="27642"/>
    <cellStyle name="Standaard 25 2 3 2 2 2 2 3 2" xfId="27643"/>
    <cellStyle name="Standaard 25 2 3 2 2 2 2 4" xfId="27644"/>
    <cellStyle name="Standaard 25 2 3 2 2 2 3" xfId="27645"/>
    <cellStyle name="Standaard 25 2 3 2 2 2 3 2" xfId="27646"/>
    <cellStyle name="Standaard 25 2 3 2 2 2 3 2 2" xfId="27647"/>
    <cellStyle name="Standaard 25 2 3 2 2 2 3 3" xfId="27648"/>
    <cellStyle name="Standaard 25 2 3 2 2 2 4" xfId="27649"/>
    <cellStyle name="Standaard 25 2 3 2 2 2 4 2" xfId="27650"/>
    <cellStyle name="Standaard 25 2 3 2 2 2 5" xfId="27651"/>
    <cellStyle name="Standaard 25 2 3 2 2 2 6" xfId="27652"/>
    <cellStyle name="Standaard 25 2 3 2 2 3" xfId="27653"/>
    <cellStyle name="Standaard 25 2 3 2 2 3 2" xfId="27654"/>
    <cellStyle name="Standaard 25 2 3 2 2 3 2 2" xfId="27655"/>
    <cellStyle name="Standaard 25 2 3 2 2 3 2 2 2" xfId="27656"/>
    <cellStyle name="Standaard 25 2 3 2 2 3 2 3" xfId="27657"/>
    <cellStyle name="Standaard 25 2 3 2 2 3 3" xfId="27658"/>
    <cellStyle name="Standaard 25 2 3 2 2 3 3 2" xfId="27659"/>
    <cellStyle name="Standaard 25 2 3 2 2 3 4" xfId="27660"/>
    <cellStyle name="Standaard 25 2 3 2 2 4" xfId="27661"/>
    <cellStyle name="Standaard 25 2 3 2 2 4 2" xfId="27662"/>
    <cellStyle name="Standaard 25 2 3 2 2 4 2 2" xfId="27663"/>
    <cellStyle name="Standaard 25 2 3 2 2 4 3" xfId="27664"/>
    <cellStyle name="Standaard 25 2 3 2 2 5" xfId="27665"/>
    <cellStyle name="Standaard 25 2 3 2 2 5 2" xfId="27666"/>
    <cellStyle name="Standaard 25 2 3 2 2 6" xfId="27667"/>
    <cellStyle name="Standaard 25 2 3 2 2 7" xfId="27668"/>
    <cellStyle name="Standaard 25 2 3 2 3" xfId="27669"/>
    <cellStyle name="Standaard 25 2 3 2 3 2" xfId="27670"/>
    <cellStyle name="Standaard 25 2 3 2 3 2 2" xfId="27671"/>
    <cellStyle name="Standaard 25 2 3 2 3 2 2 2" xfId="27672"/>
    <cellStyle name="Standaard 25 2 3 2 3 2 2 2 2" xfId="27673"/>
    <cellStyle name="Standaard 25 2 3 2 3 2 2 3" xfId="27674"/>
    <cellStyle name="Standaard 25 2 3 2 3 2 3" xfId="27675"/>
    <cellStyle name="Standaard 25 2 3 2 3 2 3 2" xfId="27676"/>
    <cellStyle name="Standaard 25 2 3 2 3 2 4" xfId="27677"/>
    <cellStyle name="Standaard 25 2 3 2 3 3" xfId="27678"/>
    <cellStyle name="Standaard 25 2 3 2 3 3 2" xfId="27679"/>
    <cellStyle name="Standaard 25 2 3 2 3 3 2 2" xfId="27680"/>
    <cellStyle name="Standaard 25 2 3 2 3 3 3" xfId="27681"/>
    <cellStyle name="Standaard 25 2 3 2 3 4" xfId="27682"/>
    <cellStyle name="Standaard 25 2 3 2 3 4 2" xfId="27683"/>
    <cellStyle name="Standaard 25 2 3 2 3 5" xfId="27684"/>
    <cellStyle name="Standaard 25 2 3 2 3 6" xfId="27685"/>
    <cellStyle name="Standaard 25 2 3 2 4" xfId="27686"/>
    <cellStyle name="Standaard 25 2 3 2 4 2" xfId="27687"/>
    <cellStyle name="Standaard 25 2 3 2 4 2 2" xfId="27688"/>
    <cellStyle name="Standaard 25 2 3 2 4 2 2 2" xfId="27689"/>
    <cellStyle name="Standaard 25 2 3 2 4 2 3" xfId="27690"/>
    <cellStyle name="Standaard 25 2 3 2 4 3" xfId="27691"/>
    <cellStyle name="Standaard 25 2 3 2 4 3 2" xfId="27692"/>
    <cellStyle name="Standaard 25 2 3 2 4 4" xfId="27693"/>
    <cellStyle name="Standaard 25 2 3 2 5" xfId="27694"/>
    <cellStyle name="Standaard 25 2 3 2 5 2" xfId="27695"/>
    <cellStyle name="Standaard 25 2 3 2 5 2 2" xfId="27696"/>
    <cellStyle name="Standaard 25 2 3 2 5 3" xfId="27697"/>
    <cellStyle name="Standaard 25 2 3 2 6" xfId="27698"/>
    <cellStyle name="Standaard 25 2 3 2 6 2" xfId="27699"/>
    <cellStyle name="Standaard 25 2 3 2 7" xfId="27700"/>
    <cellStyle name="Standaard 25 2 3 2 8" xfId="27701"/>
    <cellStyle name="Standaard 25 2 3 3" xfId="27702"/>
    <cellStyle name="Standaard 25 2 3 3 2" xfId="27703"/>
    <cellStyle name="Standaard 25 2 3 3 2 2" xfId="27704"/>
    <cellStyle name="Standaard 25 2 3 3 2 2 2" xfId="27705"/>
    <cellStyle name="Standaard 25 2 3 3 2 2 2 2" xfId="27706"/>
    <cellStyle name="Standaard 25 2 3 3 2 2 2 2 2" xfId="27707"/>
    <cellStyle name="Standaard 25 2 3 3 2 2 2 3" xfId="27708"/>
    <cellStyle name="Standaard 25 2 3 3 2 2 3" xfId="27709"/>
    <cellStyle name="Standaard 25 2 3 3 2 2 3 2" xfId="27710"/>
    <cellStyle name="Standaard 25 2 3 3 2 2 4" xfId="27711"/>
    <cellStyle name="Standaard 25 2 3 3 2 3" xfId="27712"/>
    <cellStyle name="Standaard 25 2 3 3 2 3 2" xfId="27713"/>
    <cellStyle name="Standaard 25 2 3 3 2 3 2 2" xfId="27714"/>
    <cellStyle name="Standaard 25 2 3 3 2 3 3" xfId="27715"/>
    <cellStyle name="Standaard 25 2 3 3 2 4" xfId="27716"/>
    <cellStyle name="Standaard 25 2 3 3 2 4 2" xfId="27717"/>
    <cellStyle name="Standaard 25 2 3 3 2 5" xfId="27718"/>
    <cellStyle name="Standaard 25 2 3 3 2 6" xfId="27719"/>
    <cellStyle name="Standaard 25 2 3 3 3" xfId="27720"/>
    <cellStyle name="Standaard 25 2 3 3 3 2" xfId="27721"/>
    <cellStyle name="Standaard 25 2 3 3 3 2 2" xfId="27722"/>
    <cellStyle name="Standaard 25 2 3 3 3 2 2 2" xfId="27723"/>
    <cellStyle name="Standaard 25 2 3 3 3 2 3" xfId="27724"/>
    <cellStyle name="Standaard 25 2 3 3 3 3" xfId="27725"/>
    <cellStyle name="Standaard 25 2 3 3 3 3 2" xfId="27726"/>
    <cellStyle name="Standaard 25 2 3 3 3 4" xfId="27727"/>
    <cellStyle name="Standaard 25 2 3 3 4" xfId="27728"/>
    <cellStyle name="Standaard 25 2 3 3 4 2" xfId="27729"/>
    <cellStyle name="Standaard 25 2 3 3 4 2 2" xfId="27730"/>
    <cellStyle name="Standaard 25 2 3 3 4 3" xfId="27731"/>
    <cellStyle name="Standaard 25 2 3 3 5" xfId="27732"/>
    <cellStyle name="Standaard 25 2 3 3 5 2" xfId="27733"/>
    <cellStyle name="Standaard 25 2 3 3 6" xfId="27734"/>
    <cellStyle name="Standaard 25 2 3 3 7" xfId="27735"/>
    <cellStyle name="Standaard 25 2 3 4" xfId="27736"/>
    <cellStyle name="Standaard 25 2 3 4 2" xfId="27737"/>
    <cellStyle name="Standaard 25 2 3 4 2 2" xfId="27738"/>
    <cellStyle name="Standaard 25 2 3 4 2 2 2" xfId="27739"/>
    <cellStyle name="Standaard 25 2 3 4 2 2 2 2" xfId="27740"/>
    <cellStyle name="Standaard 25 2 3 4 2 2 3" xfId="27741"/>
    <cellStyle name="Standaard 25 2 3 4 2 3" xfId="27742"/>
    <cellStyle name="Standaard 25 2 3 4 2 3 2" xfId="27743"/>
    <cellStyle name="Standaard 25 2 3 4 2 4" xfId="27744"/>
    <cellStyle name="Standaard 25 2 3 4 3" xfId="27745"/>
    <cellStyle name="Standaard 25 2 3 4 3 2" xfId="27746"/>
    <cellStyle name="Standaard 25 2 3 4 3 2 2" xfId="27747"/>
    <cellStyle name="Standaard 25 2 3 4 3 3" xfId="27748"/>
    <cellStyle name="Standaard 25 2 3 4 4" xfId="27749"/>
    <cellStyle name="Standaard 25 2 3 4 4 2" xfId="27750"/>
    <cellStyle name="Standaard 25 2 3 4 5" xfId="27751"/>
    <cellStyle name="Standaard 25 2 3 4 6" xfId="27752"/>
    <cellStyle name="Standaard 25 2 3 5" xfId="27753"/>
    <cellStyle name="Standaard 25 2 3 5 2" xfId="27754"/>
    <cellStyle name="Standaard 25 2 3 5 2 2" xfId="27755"/>
    <cellStyle name="Standaard 25 2 3 5 2 2 2" xfId="27756"/>
    <cellStyle name="Standaard 25 2 3 5 2 3" xfId="27757"/>
    <cellStyle name="Standaard 25 2 3 5 3" xfId="27758"/>
    <cellStyle name="Standaard 25 2 3 5 3 2" xfId="27759"/>
    <cellStyle name="Standaard 25 2 3 5 4" xfId="27760"/>
    <cellStyle name="Standaard 25 2 3 6" xfId="27761"/>
    <cellStyle name="Standaard 25 2 3 6 2" xfId="27762"/>
    <cellStyle name="Standaard 25 2 3 6 2 2" xfId="27763"/>
    <cellStyle name="Standaard 25 2 3 6 3" xfId="27764"/>
    <cellStyle name="Standaard 25 2 3 7" xfId="27765"/>
    <cellStyle name="Standaard 25 2 3 7 2" xfId="27766"/>
    <cellStyle name="Standaard 25 2 3 8" xfId="27767"/>
    <cellStyle name="Standaard 25 2 3 9" xfId="27768"/>
    <cellStyle name="Standaard 25 2 4" xfId="27769"/>
    <cellStyle name="Standaard 25 2 4 2" xfId="27770"/>
    <cellStyle name="Standaard 25 2 4 2 2" xfId="27771"/>
    <cellStyle name="Standaard 25 2 4 2 2 2" xfId="27772"/>
    <cellStyle name="Standaard 25 2 4 2 2 2 2" xfId="27773"/>
    <cellStyle name="Standaard 25 2 4 2 2 2 2 2" xfId="27774"/>
    <cellStyle name="Standaard 25 2 4 2 2 2 2 2 2" xfId="27775"/>
    <cellStyle name="Standaard 25 2 4 2 2 2 2 3" xfId="27776"/>
    <cellStyle name="Standaard 25 2 4 2 2 2 3" xfId="27777"/>
    <cellStyle name="Standaard 25 2 4 2 2 2 3 2" xfId="27778"/>
    <cellStyle name="Standaard 25 2 4 2 2 2 4" xfId="27779"/>
    <cellStyle name="Standaard 25 2 4 2 2 3" xfId="27780"/>
    <cellStyle name="Standaard 25 2 4 2 2 3 2" xfId="27781"/>
    <cellStyle name="Standaard 25 2 4 2 2 3 2 2" xfId="27782"/>
    <cellStyle name="Standaard 25 2 4 2 2 3 3" xfId="27783"/>
    <cellStyle name="Standaard 25 2 4 2 2 4" xfId="27784"/>
    <cellStyle name="Standaard 25 2 4 2 2 4 2" xfId="27785"/>
    <cellStyle name="Standaard 25 2 4 2 2 5" xfId="27786"/>
    <cellStyle name="Standaard 25 2 4 2 2 6" xfId="27787"/>
    <cellStyle name="Standaard 25 2 4 2 3" xfId="27788"/>
    <cellStyle name="Standaard 25 2 4 2 3 2" xfId="27789"/>
    <cellStyle name="Standaard 25 2 4 2 3 2 2" xfId="27790"/>
    <cellStyle name="Standaard 25 2 4 2 3 2 2 2" xfId="27791"/>
    <cellStyle name="Standaard 25 2 4 2 3 2 3" xfId="27792"/>
    <cellStyle name="Standaard 25 2 4 2 3 3" xfId="27793"/>
    <cellStyle name="Standaard 25 2 4 2 3 3 2" xfId="27794"/>
    <cellStyle name="Standaard 25 2 4 2 3 4" xfId="27795"/>
    <cellStyle name="Standaard 25 2 4 2 4" xfId="27796"/>
    <cellStyle name="Standaard 25 2 4 2 4 2" xfId="27797"/>
    <cellStyle name="Standaard 25 2 4 2 4 2 2" xfId="27798"/>
    <cellStyle name="Standaard 25 2 4 2 4 3" xfId="27799"/>
    <cellStyle name="Standaard 25 2 4 2 5" xfId="27800"/>
    <cellStyle name="Standaard 25 2 4 2 5 2" xfId="27801"/>
    <cellStyle name="Standaard 25 2 4 2 6" xfId="27802"/>
    <cellStyle name="Standaard 25 2 4 2 7" xfId="27803"/>
    <cellStyle name="Standaard 25 2 4 3" xfId="27804"/>
    <cellStyle name="Standaard 25 2 4 3 2" xfId="27805"/>
    <cellStyle name="Standaard 25 2 4 3 2 2" xfId="27806"/>
    <cellStyle name="Standaard 25 2 4 3 2 2 2" xfId="27807"/>
    <cellStyle name="Standaard 25 2 4 3 2 2 2 2" xfId="27808"/>
    <cellStyle name="Standaard 25 2 4 3 2 2 3" xfId="27809"/>
    <cellStyle name="Standaard 25 2 4 3 2 3" xfId="27810"/>
    <cellStyle name="Standaard 25 2 4 3 2 3 2" xfId="27811"/>
    <cellStyle name="Standaard 25 2 4 3 2 4" xfId="27812"/>
    <cellStyle name="Standaard 25 2 4 3 3" xfId="27813"/>
    <cellStyle name="Standaard 25 2 4 3 3 2" xfId="27814"/>
    <cellStyle name="Standaard 25 2 4 3 3 2 2" xfId="27815"/>
    <cellStyle name="Standaard 25 2 4 3 3 3" xfId="27816"/>
    <cellStyle name="Standaard 25 2 4 3 4" xfId="27817"/>
    <cellStyle name="Standaard 25 2 4 3 4 2" xfId="27818"/>
    <cellStyle name="Standaard 25 2 4 3 5" xfId="27819"/>
    <cellStyle name="Standaard 25 2 4 3 6" xfId="27820"/>
    <cellStyle name="Standaard 25 2 4 4" xfId="27821"/>
    <cellStyle name="Standaard 25 2 4 4 2" xfId="27822"/>
    <cellStyle name="Standaard 25 2 4 4 2 2" xfId="27823"/>
    <cellStyle name="Standaard 25 2 4 4 2 2 2" xfId="27824"/>
    <cellStyle name="Standaard 25 2 4 4 2 3" xfId="27825"/>
    <cellStyle name="Standaard 25 2 4 4 3" xfId="27826"/>
    <cellStyle name="Standaard 25 2 4 4 3 2" xfId="27827"/>
    <cellStyle name="Standaard 25 2 4 4 4" xfId="27828"/>
    <cellStyle name="Standaard 25 2 4 5" xfId="27829"/>
    <cellStyle name="Standaard 25 2 4 5 2" xfId="27830"/>
    <cellStyle name="Standaard 25 2 4 5 2 2" xfId="27831"/>
    <cellStyle name="Standaard 25 2 4 5 3" xfId="27832"/>
    <cellStyle name="Standaard 25 2 4 6" xfId="27833"/>
    <cellStyle name="Standaard 25 2 4 6 2" xfId="27834"/>
    <cellStyle name="Standaard 25 2 4 7" xfId="27835"/>
    <cellStyle name="Standaard 25 2 4 8" xfId="27836"/>
    <cellStyle name="Standaard 25 2 5" xfId="27837"/>
    <cellStyle name="Standaard 25 2 5 2" xfId="27838"/>
    <cellStyle name="Standaard 25 2 5 2 2" xfId="27839"/>
    <cellStyle name="Standaard 25 2 5 2 2 2" xfId="27840"/>
    <cellStyle name="Standaard 25 2 5 2 2 2 2" xfId="27841"/>
    <cellStyle name="Standaard 25 2 5 2 2 2 2 2" xfId="27842"/>
    <cellStyle name="Standaard 25 2 5 2 2 2 2 2 2" xfId="27843"/>
    <cellStyle name="Standaard 25 2 5 2 2 2 2 3" xfId="27844"/>
    <cellStyle name="Standaard 25 2 5 2 2 2 3" xfId="27845"/>
    <cellStyle name="Standaard 25 2 5 2 2 2 3 2" xfId="27846"/>
    <cellStyle name="Standaard 25 2 5 2 2 2 4" xfId="27847"/>
    <cellStyle name="Standaard 25 2 5 2 2 3" xfId="27848"/>
    <cellStyle name="Standaard 25 2 5 2 2 3 2" xfId="27849"/>
    <cellStyle name="Standaard 25 2 5 2 2 3 2 2" xfId="27850"/>
    <cellStyle name="Standaard 25 2 5 2 2 3 3" xfId="27851"/>
    <cellStyle name="Standaard 25 2 5 2 2 4" xfId="27852"/>
    <cellStyle name="Standaard 25 2 5 2 2 4 2" xfId="27853"/>
    <cellStyle name="Standaard 25 2 5 2 2 5" xfId="27854"/>
    <cellStyle name="Standaard 25 2 5 2 2 6" xfId="27855"/>
    <cellStyle name="Standaard 25 2 5 2 3" xfId="27856"/>
    <cellStyle name="Standaard 25 2 5 2 3 2" xfId="27857"/>
    <cellStyle name="Standaard 25 2 5 2 3 2 2" xfId="27858"/>
    <cellStyle name="Standaard 25 2 5 2 3 2 2 2" xfId="27859"/>
    <cellStyle name="Standaard 25 2 5 2 3 2 3" xfId="27860"/>
    <cellStyle name="Standaard 25 2 5 2 3 3" xfId="27861"/>
    <cellStyle name="Standaard 25 2 5 2 3 3 2" xfId="27862"/>
    <cellStyle name="Standaard 25 2 5 2 3 4" xfId="27863"/>
    <cellStyle name="Standaard 25 2 5 2 4" xfId="27864"/>
    <cellStyle name="Standaard 25 2 5 2 4 2" xfId="27865"/>
    <cellStyle name="Standaard 25 2 5 2 4 2 2" xfId="27866"/>
    <cellStyle name="Standaard 25 2 5 2 4 3" xfId="27867"/>
    <cellStyle name="Standaard 25 2 5 2 5" xfId="27868"/>
    <cellStyle name="Standaard 25 2 5 2 5 2" xfId="27869"/>
    <cellStyle name="Standaard 25 2 5 2 6" xfId="27870"/>
    <cellStyle name="Standaard 25 2 5 2 7" xfId="27871"/>
    <cellStyle name="Standaard 25 2 5 3" xfId="27872"/>
    <cellStyle name="Standaard 25 2 5 3 2" xfId="27873"/>
    <cellStyle name="Standaard 25 2 5 3 2 2" xfId="27874"/>
    <cellStyle name="Standaard 25 2 5 3 2 2 2" xfId="27875"/>
    <cellStyle name="Standaard 25 2 5 3 2 2 2 2" xfId="27876"/>
    <cellStyle name="Standaard 25 2 5 3 2 2 3" xfId="27877"/>
    <cellStyle name="Standaard 25 2 5 3 2 3" xfId="27878"/>
    <cellStyle name="Standaard 25 2 5 3 2 3 2" xfId="27879"/>
    <cellStyle name="Standaard 25 2 5 3 2 4" xfId="27880"/>
    <cellStyle name="Standaard 25 2 5 3 3" xfId="27881"/>
    <cellStyle name="Standaard 25 2 5 3 3 2" xfId="27882"/>
    <cellStyle name="Standaard 25 2 5 3 3 2 2" xfId="27883"/>
    <cellStyle name="Standaard 25 2 5 3 3 3" xfId="27884"/>
    <cellStyle name="Standaard 25 2 5 3 4" xfId="27885"/>
    <cellStyle name="Standaard 25 2 5 3 4 2" xfId="27886"/>
    <cellStyle name="Standaard 25 2 5 3 5" xfId="27887"/>
    <cellStyle name="Standaard 25 2 5 3 6" xfId="27888"/>
    <cellStyle name="Standaard 25 2 5 4" xfId="27889"/>
    <cellStyle name="Standaard 25 2 5 4 2" xfId="27890"/>
    <cellStyle name="Standaard 25 2 5 4 2 2" xfId="27891"/>
    <cellStyle name="Standaard 25 2 5 4 2 2 2" xfId="27892"/>
    <cellStyle name="Standaard 25 2 5 4 2 3" xfId="27893"/>
    <cellStyle name="Standaard 25 2 5 4 3" xfId="27894"/>
    <cellStyle name="Standaard 25 2 5 4 3 2" xfId="27895"/>
    <cellStyle name="Standaard 25 2 5 4 4" xfId="27896"/>
    <cellStyle name="Standaard 25 2 5 5" xfId="27897"/>
    <cellStyle name="Standaard 25 2 5 5 2" xfId="27898"/>
    <cellStyle name="Standaard 25 2 5 5 2 2" xfId="27899"/>
    <cellStyle name="Standaard 25 2 5 5 3" xfId="27900"/>
    <cellStyle name="Standaard 25 2 5 6" xfId="27901"/>
    <cellStyle name="Standaard 25 2 5 6 2" xfId="27902"/>
    <cellStyle name="Standaard 25 2 5 7" xfId="27903"/>
    <cellStyle name="Standaard 25 2 5 8" xfId="27904"/>
    <cellStyle name="Standaard 25 2 6" xfId="27905"/>
    <cellStyle name="Standaard 25 2 6 2" xfId="27906"/>
    <cellStyle name="Standaard 25 2 6 2 2" xfId="27907"/>
    <cellStyle name="Standaard 25 2 6 2 2 2" xfId="27908"/>
    <cellStyle name="Standaard 25 2 6 2 2 2 2" xfId="27909"/>
    <cellStyle name="Standaard 25 2 6 2 2 2 2 2" xfId="27910"/>
    <cellStyle name="Standaard 25 2 6 2 2 2 3" xfId="27911"/>
    <cellStyle name="Standaard 25 2 6 2 2 3" xfId="27912"/>
    <cellStyle name="Standaard 25 2 6 2 2 3 2" xfId="27913"/>
    <cellStyle name="Standaard 25 2 6 2 2 4" xfId="27914"/>
    <cellStyle name="Standaard 25 2 6 2 3" xfId="27915"/>
    <cellStyle name="Standaard 25 2 6 2 3 2" xfId="27916"/>
    <cellStyle name="Standaard 25 2 6 2 3 2 2" xfId="27917"/>
    <cellStyle name="Standaard 25 2 6 2 3 3" xfId="27918"/>
    <cellStyle name="Standaard 25 2 6 2 4" xfId="27919"/>
    <cellStyle name="Standaard 25 2 6 2 4 2" xfId="27920"/>
    <cellStyle name="Standaard 25 2 6 2 5" xfId="27921"/>
    <cellStyle name="Standaard 25 2 6 2 6" xfId="27922"/>
    <cellStyle name="Standaard 25 2 6 3" xfId="27923"/>
    <cellStyle name="Standaard 25 2 6 3 2" xfId="27924"/>
    <cellStyle name="Standaard 25 2 6 3 2 2" xfId="27925"/>
    <cellStyle name="Standaard 25 2 6 3 2 2 2" xfId="27926"/>
    <cellStyle name="Standaard 25 2 6 3 2 3" xfId="27927"/>
    <cellStyle name="Standaard 25 2 6 3 3" xfId="27928"/>
    <cellStyle name="Standaard 25 2 6 3 3 2" xfId="27929"/>
    <cellStyle name="Standaard 25 2 6 3 4" xfId="27930"/>
    <cellStyle name="Standaard 25 2 6 4" xfId="27931"/>
    <cellStyle name="Standaard 25 2 6 4 2" xfId="27932"/>
    <cellStyle name="Standaard 25 2 6 4 2 2" xfId="27933"/>
    <cellStyle name="Standaard 25 2 6 4 3" xfId="27934"/>
    <cellStyle name="Standaard 25 2 6 5" xfId="27935"/>
    <cellStyle name="Standaard 25 2 6 5 2" xfId="27936"/>
    <cellStyle name="Standaard 25 2 6 6" xfId="27937"/>
    <cellStyle name="Standaard 25 2 6 7" xfId="27938"/>
    <cellStyle name="Standaard 25 2 7" xfId="27939"/>
    <cellStyle name="Standaard 25 2 7 2" xfId="27940"/>
    <cellStyle name="Standaard 25 2 7 2 2" xfId="27941"/>
    <cellStyle name="Standaard 25 2 7 2 2 2" xfId="27942"/>
    <cellStyle name="Standaard 25 2 7 2 2 2 2" xfId="27943"/>
    <cellStyle name="Standaard 25 2 7 2 2 3" xfId="27944"/>
    <cellStyle name="Standaard 25 2 7 2 3" xfId="27945"/>
    <cellStyle name="Standaard 25 2 7 2 3 2" xfId="27946"/>
    <cellStyle name="Standaard 25 2 7 2 4" xfId="27947"/>
    <cellStyle name="Standaard 25 2 7 3" xfId="27948"/>
    <cellStyle name="Standaard 25 2 7 3 2" xfId="27949"/>
    <cellStyle name="Standaard 25 2 7 3 2 2" xfId="27950"/>
    <cellStyle name="Standaard 25 2 7 3 3" xfId="27951"/>
    <cellStyle name="Standaard 25 2 7 4" xfId="27952"/>
    <cellStyle name="Standaard 25 2 7 4 2" xfId="27953"/>
    <cellStyle name="Standaard 25 2 7 5" xfId="27954"/>
    <cellStyle name="Standaard 25 2 7 6" xfId="27955"/>
    <cellStyle name="Standaard 25 2 8" xfId="27956"/>
    <cellStyle name="Standaard 25 2 8 2" xfId="27957"/>
    <cellStyle name="Standaard 25 2 8 2 2" xfId="27958"/>
    <cellStyle name="Standaard 25 2 8 2 2 2" xfId="27959"/>
    <cellStyle name="Standaard 25 2 8 2 3" xfId="27960"/>
    <cellStyle name="Standaard 25 2 8 3" xfId="27961"/>
    <cellStyle name="Standaard 25 2 8 3 2" xfId="27962"/>
    <cellStyle name="Standaard 25 2 8 4" xfId="27963"/>
    <cellStyle name="Standaard 25 2 9" xfId="27964"/>
    <cellStyle name="Standaard 25 2 9 2" xfId="27965"/>
    <cellStyle name="Standaard 25 2 9 2 2" xfId="27966"/>
    <cellStyle name="Standaard 25 2 9 3" xfId="27967"/>
    <cellStyle name="Standaard 25 3" xfId="27968"/>
    <cellStyle name="Standaard 25 3 10" xfId="27969"/>
    <cellStyle name="Standaard 25 3 11" xfId="27970"/>
    <cellStyle name="Standaard 25 3 2" xfId="27971"/>
    <cellStyle name="Standaard 25 3 2 2" xfId="27972"/>
    <cellStyle name="Standaard 25 3 2 2 2" xfId="27973"/>
    <cellStyle name="Standaard 25 3 2 2 2 2" xfId="27974"/>
    <cellStyle name="Standaard 25 3 2 2 2 2 2" xfId="27975"/>
    <cellStyle name="Standaard 25 3 2 2 2 2 2 2" xfId="27976"/>
    <cellStyle name="Standaard 25 3 2 2 2 2 2 2 2" xfId="27977"/>
    <cellStyle name="Standaard 25 3 2 2 2 2 2 2 2 2" xfId="27978"/>
    <cellStyle name="Standaard 25 3 2 2 2 2 2 2 3" xfId="27979"/>
    <cellStyle name="Standaard 25 3 2 2 2 2 2 3" xfId="27980"/>
    <cellStyle name="Standaard 25 3 2 2 2 2 2 3 2" xfId="27981"/>
    <cellStyle name="Standaard 25 3 2 2 2 2 2 4" xfId="27982"/>
    <cellStyle name="Standaard 25 3 2 2 2 2 3" xfId="27983"/>
    <cellStyle name="Standaard 25 3 2 2 2 2 3 2" xfId="27984"/>
    <cellStyle name="Standaard 25 3 2 2 2 2 3 2 2" xfId="27985"/>
    <cellStyle name="Standaard 25 3 2 2 2 2 3 3" xfId="27986"/>
    <cellStyle name="Standaard 25 3 2 2 2 2 4" xfId="27987"/>
    <cellStyle name="Standaard 25 3 2 2 2 2 4 2" xfId="27988"/>
    <cellStyle name="Standaard 25 3 2 2 2 2 5" xfId="27989"/>
    <cellStyle name="Standaard 25 3 2 2 2 2 6" xfId="27990"/>
    <cellStyle name="Standaard 25 3 2 2 2 3" xfId="27991"/>
    <cellStyle name="Standaard 25 3 2 2 2 3 2" xfId="27992"/>
    <cellStyle name="Standaard 25 3 2 2 2 3 2 2" xfId="27993"/>
    <cellStyle name="Standaard 25 3 2 2 2 3 2 2 2" xfId="27994"/>
    <cellStyle name="Standaard 25 3 2 2 2 3 2 3" xfId="27995"/>
    <cellStyle name="Standaard 25 3 2 2 2 3 3" xfId="27996"/>
    <cellStyle name="Standaard 25 3 2 2 2 3 3 2" xfId="27997"/>
    <cellStyle name="Standaard 25 3 2 2 2 3 4" xfId="27998"/>
    <cellStyle name="Standaard 25 3 2 2 2 4" xfId="27999"/>
    <cellStyle name="Standaard 25 3 2 2 2 4 2" xfId="28000"/>
    <cellStyle name="Standaard 25 3 2 2 2 4 2 2" xfId="28001"/>
    <cellStyle name="Standaard 25 3 2 2 2 4 3" xfId="28002"/>
    <cellStyle name="Standaard 25 3 2 2 2 5" xfId="28003"/>
    <cellStyle name="Standaard 25 3 2 2 2 5 2" xfId="28004"/>
    <cellStyle name="Standaard 25 3 2 2 2 6" xfId="28005"/>
    <cellStyle name="Standaard 25 3 2 2 2 7" xfId="28006"/>
    <cellStyle name="Standaard 25 3 2 2 3" xfId="28007"/>
    <cellStyle name="Standaard 25 3 2 2 3 2" xfId="28008"/>
    <cellStyle name="Standaard 25 3 2 2 3 2 2" xfId="28009"/>
    <cellStyle name="Standaard 25 3 2 2 3 2 2 2" xfId="28010"/>
    <cellStyle name="Standaard 25 3 2 2 3 2 2 2 2" xfId="28011"/>
    <cellStyle name="Standaard 25 3 2 2 3 2 2 3" xfId="28012"/>
    <cellStyle name="Standaard 25 3 2 2 3 2 3" xfId="28013"/>
    <cellStyle name="Standaard 25 3 2 2 3 2 3 2" xfId="28014"/>
    <cellStyle name="Standaard 25 3 2 2 3 2 4" xfId="28015"/>
    <cellStyle name="Standaard 25 3 2 2 3 3" xfId="28016"/>
    <cellStyle name="Standaard 25 3 2 2 3 3 2" xfId="28017"/>
    <cellStyle name="Standaard 25 3 2 2 3 3 2 2" xfId="28018"/>
    <cellStyle name="Standaard 25 3 2 2 3 3 3" xfId="28019"/>
    <cellStyle name="Standaard 25 3 2 2 3 4" xfId="28020"/>
    <cellStyle name="Standaard 25 3 2 2 3 4 2" xfId="28021"/>
    <cellStyle name="Standaard 25 3 2 2 3 5" xfId="28022"/>
    <cellStyle name="Standaard 25 3 2 2 3 6" xfId="28023"/>
    <cellStyle name="Standaard 25 3 2 2 4" xfId="28024"/>
    <cellStyle name="Standaard 25 3 2 2 4 2" xfId="28025"/>
    <cellStyle name="Standaard 25 3 2 2 4 2 2" xfId="28026"/>
    <cellStyle name="Standaard 25 3 2 2 4 2 2 2" xfId="28027"/>
    <cellStyle name="Standaard 25 3 2 2 4 2 3" xfId="28028"/>
    <cellStyle name="Standaard 25 3 2 2 4 3" xfId="28029"/>
    <cellStyle name="Standaard 25 3 2 2 4 3 2" xfId="28030"/>
    <cellStyle name="Standaard 25 3 2 2 4 4" xfId="28031"/>
    <cellStyle name="Standaard 25 3 2 2 5" xfId="28032"/>
    <cellStyle name="Standaard 25 3 2 2 5 2" xfId="28033"/>
    <cellStyle name="Standaard 25 3 2 2 5 2 2" xfId="28034"/>
    <cellStyle name="Standaard 25 3 2 2 5 3" xfId="28035"/>
    <cellStyle name="Standaard 25 3 2 2 6" xfId="28036"/>
    <cellStyle name="Standaard 25 3 2 2 6 2" xfId="28037"/>
    <cellStyle name="Standaard 25 3 2 2 7" xfId="28038"/>
    <cellStyle name="Standaard 25 3 2 2 8" xfId="28039"/>
    <cellStyle name="Standaard 25 3 2 3" xfId="28040"/>
    <cellStyle name="Standaard 25 3 2 3 2" xfId="28041"/>
    <cellStyle name="Standaard 25 3 2 3 2 2" xfId="28042"/>
    <cellStyle name="Standaard 25 3 2 3 2 2 2" xfId="28043"/>
    <cellStyle name="Standaard 25 3 2 3 2 2 2 2" xfId="28044"/>
    <cellStyle name="Standaard 25 3 2 3 2 2 2 2 2" xfId="28045"/>
    <cellStyle name="Standaard 25 3 2 3 2 2 2 3" xfId="28046"/>
    <cellStyle name="Standaard 25 3 2 3 2 2 3" xfId="28047"/>
    <cellStyle name="Standaard 25 3 2 3 2 2 3 2" xfId="28048"/>
    <cellStyle name="Standaard 25 3 2 3 2 2 4" xfId="28049"/>
    <cellStyle name="Standaard 25 3 2 3 2 3" xfId="28050"/>
    <cellStyle name="Standaard 25 3 2 3 2 3 2" xfId="28051"/>
    <cellStyle name="Standaard 25 3 2 3 2 3 2 2" xfId="28052"/>
    <cellStyle name="Standaard 25 3 2 3 2 3 3" xfId="28053"/>
    <cellStyle name="Standaard 25 3 2 3 2 4" xfId="28054"/>
    <cellStyle name="Standaard 25 3 2 3 2 4 2" xfId="28055"/>
    <cellStyle name="Standaard 25 3 2 3 2 5" xfId="28056"/>
    <cellStyle name="Standaard 25 3 2 3 2 6" xfId="28057"/>
    <cellStyle name="Standaard 25 3 2 3 3" xfId="28058"/>
    <cellStyle name="Standaard 25 3 2 3 3 2" xfId="28059"/>
    <cellStyle name="Standaard 25 3 2 3 3 2 2" xfId="28060"/>
    <cellStyle name="Standaard 25 3 2 3 3 2 2 2" xfId="28061"/>
    <cellStyle name="Standaard 25 3 2 3 3 2 3" xfId="28062"/>
    <cellStyle name="Standaard 25 3 2 3 3 3" xfId="28063"/>
    <cellStyle name="Standaard 25 3 2 3 3 3 2" xfId="28064"/>
    <cellStyle name="Standaard 25 3 2 3 3 4" xfId="28065"/>
    <cellStyle name="Standaard 25 3 2 3 4" xfId="28066"/>
    <cellStyle name="Standaard 25 3 2 3 4 2" xfId="28067"/>
    <cellStyle name="Standaard 25 3 2 3 4 2 2" xfId="28068"/>
    <cellStyle name="Standaard 25 3 2 3 4 3" xfId="28069"/>
    <cellStyle name="Standaard 25 3 2 3 5" xfId="28070"/>
    <cellStyle name="Standaard 25 3 2 3 5 2" xfId="28071"/>
    <cellStyle name="Standaard 25 3 2 3 6" xfId="28072"/>
    <cellStyle name="Standaard 25 3 2 3 7" xfId="28073"/>
    <cellStyle name="Standaard 25 3 2 4" xfId="28074"/>
    <cellStyle name="Standaard 25 3 2 4 2" xfId="28075"/>
    <cellStyle name="Standaard 25 3 2 4 2 2" xfId="28076"/>
    <cellStyle name="Standaard 25 3 2 4 2 2 2" xfId="28077"/>
    <cellStyle name="Standaard 25 3 2 4 2 2 2 2" xfId="28078"/>
    <cellStyle name="Standaard 25 3 2 4 2 2 3" xfId="28079"/>
    <cellStyle name="Standaard 25 3 2 4 2 3" xfId="28080"/>
    <cellStyle name="Standaard 25 3 2 4 2 3 2" xfId="28081"/>
    <cellStyle name="Standaard 25 3 2 4 2 4" xfId="28082"/>
    <cellStyle name="Standaard 25 3 2 4 3" xfId="28083"/>
    <cellStyle name="Standaard 25 3 2 4 3 2" xfId="28084"/>
    <cellStyle name="Standaard 25 3 2 4 3 2 2" xfId="28085"/>
    <cellStyle name="Standaard 25 3 2 4 3 3" xfId="28086"/>
    <cellStyle name="Standaard 25 3 2 4 4" xfId="28087"/>
    <cellStyle name="Standaard 25 3 2 4 4 2" xfId="28088"/>
    <cellStyle name="Standaard 25 3 2 4 5" xfId="28089"/>
    <cellStyle name="Standaard 25 3 2 4 6" xfId="28090"/>
    <cellStyle name="Standaard 25 3 2 5" xfId="28091"/>
    <cellStyle name="Standaard 25 3 2 5 2" xfId="28092"/>
    <cellStyle name="Standaard 25 3 2 5 2 2" xfId="28093"/>
    <cellStyle name="Standaard 25 3 2 5 2 2 2" xfId="28094"/>
    <cellStyle name="Standaard 25 3 2 5 2 3" xfId="28095"/>
    <cellStyle name="Standaard 25 3 2 5 3" xfId="28096"/>
    <cellStyle name="Standaard 25 3 2 5 3 2" xfId="28097"/>
    <cellStyle name="Standaard 25 3 2 5 4" xfId="28098"/>
    <cellStyle name="Standaard 25 3 2 6" xfId="28099"/>
    <cellStyle name="Standaard 25 3 2 6 2" xfId="28100"/>
    <cellStyle name="Standaard 25 3 2 6 2 2" xfId="28101"/>
    <cellStyle name="Standaard 25 3 2 6 3" xfId="28102"/>
    <cellStyle name="Standaard 25 3 2 7" xfId="28103"/>
    <cellStyle name="Standaard 25 3 2 7 2" xfId="28104"/>
    <cellStyle name="Standaard 25 3 2 8" xfId="28105"/>
    <cellStyle name="Standaard 25 3 2 9" xfId="28106"/>
    <cellStyle name="Standaard 25 3 3" xfId="28107"/>
    <cellStyle name="Standaard 25 3 3 2" xfId="28108"/>
    <cellStyle name="Standaard 25 3 3 2 2" xfId="28109"/>
    <cellStyle name="Standaard 25 3 3 2 2 2" xfId="28110"/>
    <cellStyle name="Standaard 25 3 3 2 2 2 2" xfId="28111"/>
    <cellStyle name="Standaard 25 3 3 2 2 2 2 2" xfId="28112"/>
    <cellStyle name="Standaard 25 3 3 2 2 2 2 2 2" xfId="28113"/>
    <cellStyle name="Standaard 25 3 3 2 2 2 2 3" xfId="28114"/>
    <cellStyle name="Standaard 25 3 3 2 2 2 3" xfId="28115"/>
    <cellStyle name="Standaard 25 3 3 2 2 2 3 2" xfId="28116"/>
    <cellStyle name="Standaard 25 3 3 2 2 2 4" xfId="28117"/>
    <cellStyle name="Standaard 25 3 3 2 2 3" xfId="28118"/>
    <cellStyle name="Standaard 25 3 3 2 2 3 2" xfId="28119"/>
    <cellStyle name="Standaard 25 3 3 2 2 3 2 2" xfId="28120"/>
    <cellStyle name="Standaard 25 3 3 2 2 3 3" xfId="28121"/>
    <cellStyle name="Standaard 25 3 3 2 2 4" xfId="28122"/>
    <cellStyle name="Standaard 25 3 3 2 2 4 2" xfId="28123"/>
    <cellStyle name="Standaard 25 3 3 2 2 5" xfId="28124"/>
    <cellStyle name="Standaard 25 3 3 2 2 6" xfId="28125"/>
    <cellStyle name="Standaard 25 3 3 2 3" xfId="28126"/>
    <cellStyle name="Standaard 25 3 3 2 3 2" xfId="28127"/>
    <cellStyle name="Standaard 25 3 3 2 3 2 2" xfId="28128"/>
    <cellStyle name="Standaard 25 3 3 2 3 2 2 2" xfId="28129"/>
    <cellStyle name="Standaard 25 3 3 2 3 2 3" xfId="28130"/>
    <cellStyle name="Standaard 25 3 3 2 3 3" xfId="28131"/>
    <cellStyle name="Standaard 25 3 3 2 3 3 2" xfId="28132"/>
    <cellStyle name="Standaard 25 3 3 2 3 4" xfId="28133"/>
    <cellStyle name="Standaard 25 3 3 2 4" xfId="28134"/>
    <cellStyle name="Standaard 25 3 3 2 4 2" xfId="28135"/>
    <cellStyle name="Standaard 25 3 3 2 4 2 2" xfId="28136"/>
    <cellStyle name="Standaard 25 3 3 2 4 3" xfId="28137"/>
    <cellStyle name="Standaard 25 3 3 2 5" xfId="28138"/>
    <cellStyle name="Standaard 25 3 3 2 5 2" xfId="28139"/>
    <cellStyle name="Standaard 25 3 3 2 6" xfId="28140"/>
    <cellStyle name="Standaard 25 3 3 2 7" xfId="28141"/>
    <cellStyle name="Standaard 25 3 3 3" xfId="28142"/>
    <cellStyle name="Standaard 25 3 3 3 2" xfId="28143"/>
    <cellStyle name="Standaard 25 3 3 3 2 2" xfId="28144"/>
    <cellStyle name="Standaard 25 3 3 3 2 2 2" xfId="28145"/>
    <cellStyle name="Standaard 25 3 3 3 2 2 2 2" xfId="28146"/>
    <cellStyle name="Standaard 25 3 3 3 2 2 3" xfId="28147"/>
    <cellStyle name="Standaard 25 3 3 3 2 3" xfId="28148"/>
    <cellStyle name="Standaard 25 3 3 3 2 3 2" xfId="28149"/>
    <cellStyle name="Standaard 25 3 3 3 2 4" xfId="28150"/>
    <cellStyle name="Standaard 25 3 3 3 3" xfId="28151"/>
    <cellStyle name="Standaard 25 3 3 3 3 2" xfId="28152"/>
    <cellStyle name="Standaard 25 3 3 3 3 2 2" xfId="28153"/>
    <cellStyle name="Standaard 25 3 3 3 3 3" xfId="28154"/>
    <cellStyle name="Standaard 25 3 3 3 4" xfId="28155"/>
    <cellStyle name="Standaard 25 3 3 3 4 2" xfId="28156"/>
    <cellStyle name="Standaard 25 3 3 3 5" xfId="28157"/>
    <cellStyle name="Standaard 25 3 3 3 6" xfId="28158"/>
    <cellStyle name="Standaard 25 3 3 4" xfId="28159"/>
    <cellStyle name="Standaard 25 3 3 4 2" xfId="28160"/>
    <cellStyle name="Standaard 25 3 3 4 2 2" xfId="28161"/>
    <cellStyle name="Standaard 25 3 3 4 2 2 2" xfId="28162"/>
    <cellStyle name="Standaard 25 3 3 4 2 3" xfId="28163"/>
    <cellStyle name="Standaard 25 3 3 4 3" xfId="28164"/>
    <cellStyle name="Standaard 25 3 3 4 3 2" xfId="28165"/>
    <cellStyle name="Standaard 25 3 3 4 4" xfId="28166"/>
    <cellStyle name="Standaard 25 3 3 5" xfId="28167"/>
    <cellStyle name="Standaard 25 3 3 5 2" xfId="28168"/>
    <cellStyle name="Standaard 25 3 3 5 2 2" xfId="28169"/>
    <cellStyle name="Standaard 25 3 3 5 3" xfId="28170"/>
    <cellStyle name="Standaard 25 3 3 6" xfId="28171"/>
    <cellStyle name="Standaard 25 3 3 6 2" xfId="28172"/>
    <cellStyle name="Standaard 25 3 3 7" xfId="28173"/>
    <cellStyle name="Standaard 25 3 3 8" xfId="28174"/>
    <cellStyle name="Standaard 25 3 4" xfId="28175"/>
    <cellStyle name="Standaard 25 3 4 2" xfId="28176"/>
    <cellStyle name="Standaard 25 3 4 2 2" xfId="28177"/>
    <cellStyle name="Standaard 25 3 4 2 2 2" xfId="28178"/>
    <cellStyle name="Standaard 25 3 4 2 2 2 2" xfId="28179"/>
    <cellStyle name="Standaard 25 3 4 2 2 2 2 2" xfId="28180"/>
    <cellStyle name="Standaard 25 3 4 2 2 2 2 2 2" xfId="28181"/>
    <cellStyle name="Standaard 25 3 4 2 2 2 2 3" xfId="28182"/>
    <cellStyle name="Standaard 25 3 4 2 2 2 3" xfId="28183"/>
    <cellStyle name="Standaard 25 3 4 2 2 2 3 2" xfId="28184"/>
    <cellStyle name="Standaard 25 3 4 2 2 2 4" xfId="28185"/>
    <cellStyle name="Standaard 25 3 4 2 2 3" xfId="28186"/>
    <cellStyle name="Standaard 25 3 4 2 2 3 2" xfId="28187"/>
    <cellStyle name="Standaard 25 3 4 2 2 3 2 2" xfId="28188"/>
    <cellStyle name="Standaard 25 3 4 2 2 3 3" xfId="28189"/>
    <cellStyle name="Standaard 25 3 4 2 2 4" xfId="28190"/>
    <cellStyle name="Standaard 25 3 4 2 2 4 2" xfId="28191"/>
    <cellStyle name="Standaard 25 3 4 2 2 5" xfId="28192"/>
    <cellStyle name="Standaard 25 3 4 2 2 6" xfId="28193"/>
    <cellStyle name="Standaard 25 3 4 2 3" xfId="28194"/>
    <cellStyle name="Standaard 25 3 4 2 3 2" xfId="28195"/>
    <cellStyle name="Standaard 25 3 4 2 3 2 2" xfId="28196"/>
    <cellStyle name="Standaard 25 3 4 2 3 2 2 2" xfId="28197"/>
    <cellStyle name="Standaard 25 3 4 2 3 2 3" xfId="28198"/>
    <cellStyle name="Standaard 25 3 4 2 3 3" xfId="28199"/>
    <cellStyle name="Standaard 25 3 4 2 3 3 2" xfId="28200"/>
    <cellStyle name="Standaard 25 3 4 2 3 4" xfId="28201"/>
    <cellStyle name="Standaard 25 3 4 2 4" xfId="28202"/>
    <cellStyle name="Standaard 25 3 4 2 4 2" xfId="28203"/>
    <cellStyle name="Standaard 25 3 4 2 4 2 2" xfId="28204"/>
    <cellStyle name="Standaard 25 3 4 2 4 3" xfId="28205"/>
    <cellStyle name="Standaard 25 3 4 2 5" xfId="28206"/>
    <cellStyle name="Standaard 25 3 4 2 5 2" xfId="28207"/>
    <cellStyle name="Standaard 25 3 4 2 6" xfId="28208"/>
    <cellStyle name="Standaard 25 3 4 2 7" xfId="28209"/>
    <cellStyle name="Standaard 25 3 4 3" xfId="28210"/>
    <cellStyle name="Standaard 25 3 4 3 2" xfId="28211"/>
    <cellStyle name="Standaard 25 3 4 3 2 2" xfId="28212"/>
    <cellStyle name="Standaard 25 3 4 3 2 2 2" xfId="28213"/>
    <cellStyle name="Standaard 25 3 4 3 2 2 2 2" xfId="28214"/>
    <cellStyle name="Standaard 25 3 4 3 2 2 3" xfId="28215"/>
    <cellStyle name="Standaard 25 3 4 3 2 3" xfId="28216"/>
    <cellStyle name="Standaard 25 3 4 3 2 3 2" xfId="28217"/>
    <cellStyle name="Standaard 25 3 4 3 2 4" xfId="28218"/>
    <cellStyle name="Standaard 25 3 4 3 3" xfId="28219"/>
    <cellStyle name="Standaard 25 3 4 3 3 2" xfId="28220"/>
    <cellStyle name="Standaard 25 3 4 3 3 2 2" xfId="28221"/>
    <cellStyle name="Standaard 25 3 4 3 3 3" xfId="28222"/>
    <cellStyle name="Standaard 25 3 4 3 4" xfId="28223"/>
    <cellStyle name="Standaard 25 3 4 3 4 2" xfId="28224"/>
    <cellStyle name="Standaard 25 3 4 3 5" xfId="28225"/>
    <cellStyle name="Standaard 25 3 4 3 6" xfId="28226"/>
    <cellStyle name="Standaard 25 3 4 4" xfId="28227"/>
    <cellStyle name="Standaard 25 3 4 4 2" xfId="28228"/>
    <cellStyle name="Standaard 25 3 4 4 2 2" xfId="28229"/>
    <cellStyle name="Standaard 25 3 4 4 2 2 2" xfId="28230"/>
    <cellStyle name="Standaard 25 3 4 4 2 3" xfId="28231"/>
    <cellStyle name="Standaard 25 3 4 4 3" xfId="28232"/>
    <cellStyle name="Standaard 25 3 4 4 3 2" xfId="28233"/>
    <cellStyle name="Standaard 25 3 4 4 4" xfId="28234"/>
    <cellStyle name="Standaard 25 3 4 5" xfId="28235"/>
    <cellStyle name="Standaard 25 3 4 5 2" xfId="28236"/>
    <cellStyle name="Standaard 25 3 4 5 2 2" xfId="28237"/>
    <cellStyle name="Standaard 25 3 4 5 3" xfId="28238"/>
    <cellStyle name="Standaard 25 3 4 6" xfId="28239"/>
    <cellStyle name="Standaard 25 3 4 6 2" xfId="28240"/>
    <cellStyle name="Standaard 25 3 4 7" xfId="28241"/>
    <cellStyle name="Standaard 25 3 4 8" xfId="28242"/>
    <cellStyle name="Standaard 25 3 5" xfId="28243"/>
    <cellStyle name="Standaard 25 3 5 2" xfId="28244"/>
    <cellStyle name="Standaard 25 3 5 2 2" xfId="28245"/>
    <cellStyle name="Standaard 25 3 5 2 2 2" xfId="28246"/>
    <cellStyle name="Standaard 25 3 5 2 2 2 2" xfId="28247"/>
    <cellStyle name="Standaard 25 3 5 2 2 2 2 2" xfId="28248"/>
    <cellStyle name="Standaard 25 3 5 2 2 2 3" xfId="28249"/>
    <cellStyle name="Standaard 25 3 5 2 2 3" xfId="28250"/>
    <cellStyle name="Standaard 25 3 5 2 2 3 2" xfId="28251"/>
    <cellStyle name="Standaard 25 3 5 2 2 4" xfId="28252"/>
    <cellStyle name="Standaard 25 3 5 2 3" xfId="28253"/>
    <cellStyle name="Standaard 25 3 5 2 3 2" xfId="28254"/>
    <cellStyle name="Standaard 25 3 5 2 3 2 2" xfId="28255"/>
    <cellStyle name="Standaard 25 3 5 2 3 3" xfId="28256"/>
    <cellStyle name="Standaard 25 3 5 2 4" xfId="28257"/>
    <cellStyle name="Standaard 25 3 5 2 4 2" xfId="28258"/>
    <cellStyle name="Standaard 25 3 5 2 5" xfId="28259"/>
    <cellStyle name="Standaard 25 3 5 2 6" xfId="28260"/>
    <cellStyle name="Standaard 25 3 5 3" xfId="28261"/>
    <cellStyle name="Standaard 25 3 5 3 2" xfId="28262"/>
    <cellStyle name="Standaard 25 3 5 3 2 2" xfId="28263"/>
    <cellStyle name="Standaard 25 3 5 3 2 2 2" xfId="28264"/>
    <cellStyle name="Standaard 25 3 5 3 2 3" xfId="28265"/>
    <cellStyle name="Standaard 25 3 5 3 3" xfId="28266"/>
    <cellStyle name="Standaard 25 3 5 3 3 2" xfId="28267"/>
    <cellStyle name="Standaard 25 3 5 3 4" xfId="28268"/>
    <cellStyle name="Standaard 25 3 5 4" xfId="28269"/>
    <cellStyle name="Standaard 25 3 5 4 2" xfId="28270"/>
    <cellStyle name="Standaard 25 3 5 4 2 2" xfId="28271"/>
    <cellStyle name="Standaard 25 3 5 4 3" xfId="28272"/>
    <cellStyle name="Standaard 25 3 5 5" xfId="28273"/>
    <cellStyle name="Standaard 25 3 5 5 2" xfId="28274"/>
    <cellStyle name="Standaard 25 3 5 6" xfId="28275"/>
    <cellStyle name="Standaard 25 3 5 7" xfId="28276"/>
    <cellStyle name="Standaard 25 3 6" xfId="28277"/>
    <cellStyle name="Standaard 25 3 6 2" xfId="28278"/>
    <cellStyle name="Standaard 25 3 6 2 2" xfId="28279"/>
    <cellStyle name="Standaard 25 3 6 2 2 2" xfId="28280"/>
    <cellStyle name="Standaard 25 3 6 2 2 2 2" xfId="28281"/>
    <cellStyle name="Standaard 25 3 6 2 2 3" xfId="28282"/>
    <cellStyle name="Standaard 25 3 6 2 3" xfId="28283"/>
    <cellStyle name="Standaard 25 3 6 2 3 2" xfId="28284"/>
    <cellStyle name="Standaard 25 3 6 2 4" xfId="28285"/>
    <cellStyle name="Standaard 25 3 6 3" xfId="28286"/>
    <cellStyle name="Standaard 25 3 6 3 2" xfId="28287"/>
    <cellStyle name="Standaard 25 3 6 3 2 2" xfId="28288"/>
    <cellStyle name="Standaard 25 3 6 3 3" xfId="28289"/>
    <cellStyle name="Standaard 25 3 6 4" xfId="28290"/>
    <cellStyle name="Standaard 25 3 6 4 2" xfId="28291"/>
    <cellStyle name="Standaard 25 3 6 5" xfId="28292"/>
    <cellStyle name="Standaard 25 3 6 6" xfId="28293"/>
    <cellStyle name="Standaard 25 3 7" xfId="28294"/>
    <cellStyle name="Standaard 25 3 7 2" xfId="28295"/>
    <cellStyle name="Standaard 25 3 7 2 2" xfId="28296"/>
    <cellStyle name="Standaard 25 3 7 2 2 2" xfId="28297"/>
    <cellStyle name="Standaard 25 3 7 2 3" xfId="28298"/>
    <cellStyle name="Standaard 25 3 7 3" xfId="28299"/>
    <cellStyle name="Standaard 25 3 7 3 2" xfId="28300"/>
    <cellStyle name="Standaard 25 3 7 4" xfId="28301"/>
    <cellStyle name="Standaard 25 3 8" xfId="28302"/>
    <cellStyle name="Standaard 25 3 8 2" xfId="28303"/>
    <cellStyle name="Standaard 25 3 8 2 2" xfId="28304"/>
    <cellStyle name="Standaard 25 3 8 3" xfId="28305"/>
    <cellStyle name="Standaard 25 3 9" xfId="28306"/>
    <cellStyle name="Standaard 25 3 9 2" xfId="28307"/>
    <cellStyle name="Standaard 25 4" xfId="28308"/>
    <cellStyle name="Standaard 25 4 2" xfId="28309"/>
    <cellStyle name="Standaard 25 4 2 2" xfId="28310"/>
    <cellStyle name="Standaard 25 4 2 2 2" xfId="28311"/>
    <cellStyle name="Standaard 25 4 2 2 2 2" xfId="28312"/>
    <cellStyle name="Standaard 25 4 2 2 2 2 2" xfId="28313"/>
    <cellStyle name="Standaard 25 4 2 2 2 2 2 2" xfId="28314"/>
    <cellStyle name="Standaard 25 4 2 2 2 2 2 2 2" xfId="28315"/>
    <cellStyle name="Standaard 25 4 2 2 2 2 2 3" xfId="28316"/>
    <cellStyle name="Standaard 25 4 2 2 2 2 3" xfId="28317"/>
    <cellStyle name="Standaard 25 4 2 2 2 2 3 2" xfId="28318"/>
    <cellStyle name="Standaard 25 4 2 2 2 2 4" xfId="28319"/>
    <cellStyle name="Standaard 25 4 2 2 2 3" xfId="28320"/>
    <cellStyle name="Standaard 25 4 2 2 2 3 2" xfId="28321"/>
    <cellStyle name="Standaard 25 4 2 2 2 3 2 2" xfId="28322"/>
    <cellStyle name="Standaard 25 4 2 2 2 3 3" xfId="28323"/>
    <cellStyle name="Standaard 25 4 2 2 2 4" xfId="28324"/>
    <cellStyle name="Standaard 25 4 2 2 2 4 2" xfId="28325"/>
    <cellStyle name="Standaard 25 4 2 2 2 5" xfId="28326"/>
    <cellStyle name="Standaard 25 4 2 2 2 6" xfId="28327"/>
    <cellStyle name="Standaard 25 4 2 2 3" xfId="28328"/>
    <cellStyle name="Standaard 25 4 2 2 3 2" xfId="28329"/>
    <cellStyle name="Standaard 25 4 2 2 3 2 2" xfId="28330"/>
    <cellStyle name="Standaard 25 4 2 2 3 2 2 2" xfId="28331"/>
    <cellStyle name="Standaard 25 4 2 2 3 2 3" xfId="28332"/>
    <cellStyle name="Standaard 25 4 2 2 3 3" xfId="28333"/>
    <cellStyle name="Standaard 25 4 2 2 3 3 2" xfId="28334"/>
    <cellStyle name="Standaard 25 4 2 2 3 4" xfId="28335"/>
    <cellStyle name="Standaard 25 4 2 2 4" xfId="28336"/>
    <cellStyle name="Standaard 25 4 2 2 4 2" xfId="28337"/>
    <cellStyle name="Standaard 25 4 2 2 4 2 2" xfId="28338"/>
    <cellStyle name="Standaard 25 4 2 2 4 3" xfId="28339"/>
    <cellStyle name="Standaard 25 4 2 2 5" xfId="28340"/>
    <cellStyle name="Standaard 25 4 2 2 5 2" xfId="28341"/>
    <cellStyle name="Standaard 25 4 2 2 6" xfId="28342"/>
    <cellStyle name="Standaard 25 4 2 2 7" xfId="28343"/>
    <cellStyle name="Standaard 25 4 2 3" xfId="28344"/>
    <cellStyle name="Standaard 25 4 2 3 2" xfId="28345"/>
    <cellStyle name="Standaard 25 4 2 3 2 2" xfId="28346"/>
    <cellStyle name="Standaard 25 4 2 3 2 2 2" xfId="28347"/>
    <cellStyle name="Standaard 25 4 2 3 2 2 2 2" xfId="28348"/>
    <cellStyle name="Standaard 25 4 2 3 2 2 3" xfId="28349"/>
    <cellStyle name="Standaard 25 4 2 3 2 3" xfId="28350"/>
    <cellStyle name="Standaard 25 4 2 3 2 3 2" xfId="28351"/>
    <cellStyle name="Standaard 25 4 2 3 2 4" xfId="28352"/>
    <cellStyle name="Standaard 25 4 2 3 3" xfId="28353"/>
    <cellStyle name="Standaard 25 4 2 3 3 2" xfId="28354"/>
    <cellStyle name="Standaard 25 4 2 3 3 2 2" xfId="28355"/>
    <cellStyle name="Standaard 25 4 2 3 3 3" xfId="28356"/>
    <cellStyle name="Standaard 25 4 2 3 4" xfId="28357"/>
    <cellStyle name="Standaard 25 4 2 3 4 2" xfId="28358"/>
    <cellStyle name="Standaard 25 4 2 3 5" xfId="28359"/>
    <cellStyle name="Standaard 25 4 2 3 6" xfId="28360"/>
    <cellStyle name="Standaard 25 4 2 4" xfId="28361"/>
    <cellStyle name="Standaard 25 4 2 4 2" xfId="28362"/>
    <cellStyle name="Standaard 25 4 2 4 2 2" xfId="28363"/>
    <cellStyle name="Standaard 25 4 2 4 2 2 2" xfId="28364"/>
    <cellStyle name="Standaard 25 4 2 4 2 3" xfId="28365"/>
    <cellStyle name="Standaard 25 4 2 4 3" xfId="28366"/>
    <cellStyle name="Standaard 25 4 2 4 3 2" xfId="28367"/>
    <cellStyle name="Standaard 25 4 2 4 4" xfId="28368"/>
    <cellStyle name="Standaard 25 4 2 5" xfId="28369"/>
    <cellStyle name="Standaard 25 4 2 5 2" xfId="28370"/>
    <cellStyle name="Standaard 25 4 2 5 2 2" xfId="28371"/>
    <cellStyle name="Standaard 25 4 2 5 3" xfId="28372"/>
    <cellStyle name="Standaard 25 4 2 6" xfId="28373"/>
    <cellStyle name="Standaard 25 4 2 6 2" xfId="28374"/>
    <cellStyle name="Standaard 25 4 2 7" xfId="28375"/>
    <cellStyle name="Standaard 25 4 2 8" xfId="28376"/>
    <cellStyle name="Standaard 25 4 3" xfId="28377"/>
    <cellStyle name="Standaard 25 4 3 2" xfId="28378"/>
    <cellStyle name="Standaard 25 4 3 2 2" xfId="28379"/>
    <cellStyle name="Standaard 25 4 3 2 2 2" xfId="28380"/>
    <cellStyle name="Standaard 25 4 3 2 2 2 2" xfId="28381"/>
    <cellStyle name="Standaard 25 4 3 2 2 2 2 2" xfId="28382"/>
    <cellStyle name="Standaard 25 4 3 2 2 2 3" xfId="28383"/>
    <cellStyle name="Standaard 25 4 3 2 2 3" xfId="28384"/>
    <cellStyle name="Standaard 25 4 3 2 2 3 2" xfId="28385"/>
    <cellStyle name="Standaard 25 4 3 2 2 4" xfId="28386"/>
    <cellStyle name="Standaard 25 4 3 2 3" xfId="28387"/>
    <cellStyle name="Standaard 25 4 3 2 3 2" xfId="28388"/>
    <cellStyle name="Standaard 25 4 3 2 3 2 2" xfId="28389"/>
    <cellStyle name="Standaard 25 4 3 2 3 3" xfId="28390"/>
    <cellStyle name="Standaard 25 4 3 2 4" xfId="28391"/>
    <cellStyle name="Standaard 25 4 3 2 4 2" xfId="28392"/>
    <cellStyle name="Standaard 25 4 3 2 5" xfId="28393"/>
    <cellStyle name="Standaard 25 4 3 2 6" xfId="28394"/>
    <cellStyle name="Standaard 25 4 3 3" xfId="28395"/>
    <cellStyle name="Standaard 25 4 3 3 2" xfId="28396"/>
    <cellStyle name="Standaard 25 4 3 3 2 2" xfId="28397"/>
    <cellStyle name="Standaard 25 4 3 3 2 2 2" xfId="28398"/>
    <cellStyle name="Standaard 25 4 3 3 2 3" xfId="28399"/>
    <cellStyle name="Standaard 25 4 3 3 3" xfId="28400"/>
    <cellStyle name="Standaard 25 4 3 3 3 2" xfId="28401"/>
    <cellStyle name="Standaard 25 4 3 3 4" xfId="28402"/>
    <cellStyle name="Standaard 25 4 3 4" xfId="28403"/>
    <cellStyle name="Standaard 25 4 3 4 2" xfId="28404"/>
    <cellStyle name="Standaard 25 4 3 4 2 2" xfId="28405"/>
    <cellStyle name="Standaard 25 4 3 4 3" xfId="28406"/>
    <cellStyle name="Standaard 25 4 3 5" xfId="28407"/>
    <cellStyle name="Standaard 25 4 3 5 2" xfId="28408"/>
    <cellStyle name="Standaard 25 4 3 6" xfId="28409"/>
    <cellStyle name="Standaard 25 4 3 7" xfId="28410"/>
    <cellStyle name="Standaard 25 4 4" xfId="28411"/>
    <cellStyle name="Standaard 25 4 4 2" xfId="28412"/>
    <cellStyle name="Standaard 25 4 4 2 2" xfId="28413"/>
    <cellStyle name="Standaard 25 4 4 2 2 2" xfId="28414"/>
    <cellStyle name="Standaard 25 4 4 2 2 2 2" xfId="28415"/>
    <cellStyle name="Standaard 25 4 4 2 2 3" xfId="28416"/>
    <cellStyle name="Standaard 25 4 4 2 3" xfId="28417"/>
    <cellStyle name="Standaard 25 4 4 2 3 2" xfId="28418"/>
    <cellStyle name="Standaard 25 4 4 2 4" xfId="28419"/>
    <cellStyle name="Standaard 25 4 4 3" xfId="28420"/>
    <cellStyle name="Standaard 25 4 4 3 2" xfId="28421"/>
    <cellStyle name="Standaard 25 4 4 3 2 2" xfId="28422"/>
    <cellStyle name="Standaard 25 4 4 3 3" xfId="28423"/>
    <cellStyle name="Standaard 25 4 4 4" xfId="28424"/>
    <cellStyle name="Standaard 25 4 4 4 2" xfId="28425"/>
    <cellStyle name="Standaard 25 4 4 5" xfId="28426"/>
    <cellStyle name="Standaard 25 4 4 6" xfId="28427"/>
    <cellStyle name="Standaard 25 4 5" xfId="28428"/>
    <cellStyle name="Standaard 25 4 5 2" xfId="28429"/>
    <cellStyle name="Standaard 25 4 5 2 2" xfId="28430"/>
    <cellStyle name="Standaard 25 4 5 2 2 2" xfId="28431"/>
    <cellStyle name="Standaard 25 4 5 2 3" xfId="28432"/>
    <cellStyle name="Standaard 25 4 5 3" xfId="28433"/>
    <cellStyle name="Standaard 25 4 5 3 2" xfId="28434"/>
    <cellStyle name="Standaard 25 4 5 4" xfId="28435"/>
    <cellStyle name="Standaard 25 4 6" xfId="28436"/>
    <cellStyle name="Standaard 25 4 6 2" xfId="28437"/>
    <cellStyle name="Standaard 25 4 6 2 2" xfId="28438"/>
    <cellStyle name="Standaard 25 4 6 3" xfId="28439"/>
    <cellStyle name="Standaard 25 4 7" xfId="28440"/>
    <cellStyle name="Standaard 25 4 7 2" xfId="28441"/>
    <cellStyle name="Standaard 25 4 8" xfId="28442"/>
    <cellStyle name="Standaard 25 4 9" xfId="28443"/>
    <cellStyle name="Standaard 25 5" xfId="28444"/>
    <cellStyle name="Standaard 25 5 2" xfId="28445"/>
    <cellStyle name="Standaard 25 5 2 2" xfId="28446"/>
    <cellStyle name="Standaard 25 5 2 2 2" xfId="28447"/>
    <cellStyle name="Standaard 25 5 2 2 2 2" xfId="28448"/>
    <cellStyle name="Standaard 25 5 2 2 2 2 2" xfId="28449"/>
    <cellStyle name="Standaard 25 5 2 2 2 2 2 2" xfId="28450"/>
    <cellStyle name="Standaard 25 5 2 2 2 2 3" xfId="28451"/>
    <cellStyle name="Standaard 25 5 2 2 2 3" xfId="28452"/>
    <cellStyle name="Standaard 25 5 2 2 2 3 2" xfId="28453"/>
    <cellStyle name="Standaard 25 5 2 2 2 4" xfId="28454"/>
    <cellStyle name="Standaard 25 5 2 2 3" xfId="28455"/>
    <cellStyle name="Standaard 25 5 2 2 3 2" xfId="28456"/>
    <cellStyle name="Standaard 25 5 2 2 3 2 2" xfId="28457"/>
    <cellStyle name="Standaard 25 5 2 2 3 3" xfId="28458"/>
    <cellStyle name="Standaard 25 5 2 2 4" xfId="28459"/>
    <cellStyle name="Standaard 25 5 2 2 4 2" xfId="28460"/>
    <cellStyle name="Standaard 25 5 2 2 5" xfId="28461"/>
    <cellStyle name="Standaard 25 5 2 2 6" xfId="28462"/>
    <cellStyle name="Standaard 25 5 2 3" xfId="28463"/>
    <cellStyle name="Standaard 25 5 2 3 2" xfId="28464"/>
    <cellStyle name="Standaard 25 5 2 3 2 2" xfId="28465"/>
    <cellStyle name="Standaard 25 5 2 3 2 2 2" xfId="28466"/>
    <cellStyle name="Standaard 25 5 2 3 2 3" xfId="28467"/>
    <cellStyle name="Standaard 25 5 2 3 3" xfId="28468"/>
    <cellStyle name="Standaard 25 5 2 3 3 2" xfId="28469"/>
    <cellStyle name="Standaard 25 5 2 3 4" xfId="28470"/>
    <cellStyle name="Standaard 25 5 2 4" xfId="28471"/>
    <cellStyle name="Standaard 25 5 2 4 2" xfId="28472"/>
    <cellStyle name="Standaard 25 5 2 4 2 2" xfId="28473"/>
    <cellStyle name="Standaard 25 5 2 4 3" xfId="28474"/>
    <cellStyle name="Standaard 25 5 2 5" xfId="28475"/>
    <cellStyle name="Standaard 25 5 2 5 2" xfId="28476"/>
    <cellStyle name="Standaard 25 5 2 6" xfId="28477"/>
    <cellStyle name="Standaard 25 5 2 7" xfId="28478"/>
    <cellStyle name="Standaard 25 5 3" xfId="28479"/>
    <cellStyle name="Standaard 25 5 3 2" xfId="28480"/>
    <cellStyle name="Standaard 25 5 3 2 2" xfId="28481"/>
    <cellStyle name="Standaard 25 5 3 2 2 2" xfId="28482"/>
    <cellStyle name="Standaard 25 5 3 2 2 2 2" xfId="28483"/>
    <cellStyle name="Standaard 25 5 3 2 2 3" xfId="28484"/>
    <cellStyle name="Standaard 25 5 3 2 3" xfId="28485"/>
    <cellStyle name="Standaard 25 5 3 2 3 2" xfId="28486"/>
    <cellStyle name="Standaard 25 5 3 2 4" xfId="28487"/>
    <cellStyle name="Standaard 25 5 3 3" xfId="28488"/>
    <cellStyle name="Standaard 25 5 3 3 2" xfId="28489"/>
    <cellStyle name="Standaard 25 5 3 3 2 2" xfId="28490"/>
    <cellStyle name="Standaard 25 5 3 3 3" xfId="28491"/>
    <cellStyle name="Standaard 25 5 3 4" xfId="28492"/>
    <cellStyle name="Standaard 25 5 3 4 2" xfId="28493"/>
    <cellStyle name="Standaard 25 5 3 5" xfId="28494"/>
    <cellStyle name="Standaard 25 5 3 6" xfId="28495"/>
    <cellStyle name="Standaard 25 5 4" xfId="28496"/>
    <cellStyle name="Standaard 25 5 4 2" xfId="28497"/>
    <cellStyle name="Standaard 25 5 4 2 2" xfId="28498"/>
    <cellStyle name="Standaard 25 5 4 2 2 2" xfId="28499"/>
    <cellStyle name="Standaard 25 5 4 2 3" xfId="28500"/>
    <cellStyle name="Standaard 25 5 4 3" xfId="28501"/>
    <cellStyle name="Standaard 25 5 4 3 2" xfId="28502"/>
    <cellStyle name="Standaard 25 5 4 4" xfId="28503"/>
    <cellStyle name="Standaard 25 5 5" xfId="28504"/>
    <cellStyle name="Standaard 25 5 5 2" xfId="28505"/>
    <cellStyle name="Standaard 25 5 5 2 2" xfId="28506"/>
    <cellStyle name="Standaard 25 5 5 3" xfId="28507"/>
    <cellStyle name="Standaard 25 5 6" xfId="28508"/>
    <cellStyle name="Standaard 25 5 6 2" xfId="28509"/>
    <cellStyle name="Standaard 25 5 7" xfId="28510"/>
    <cellStyle name="Standaard 25 5 8" xfId="28511"/>
    <cellStyle name="Standaard 25 6" xfId="28512"/>
    <cellStyle name="Standaard 25 6 2" xfId="28513"/>
    <cellStyle name="Standaard 25 6 2 2" xfId="28514"/>
    <cellStyle name="Standaard 25 6 2 2 2" xfId="28515"/>
    <cellStyle name="Standaard 25 6 2 2 2 2" xfId="28516"/>
    <cellStyle name="Standaard 25 6 2 2 2 2 2" xfId="28517"/>
    <cellStyle name="Standaard 25 6 2 2 2 2 2 2" xfId="28518"/>
    <cellStyle name="Standaard 25 6 2 2 2 2 3" xfId="28519"/>
    <cellStyle name="Standaard 25 6 2 2 2 3" xfId="28520"/>
    <cellStyle name="Standaard 25 6 2 2 2 3 2" xfId="28521"/>
    <cellStyle name="Standaard 25 6 2 2 2 4" xfId="28522"/>
    <cellStyle name="Standaard 25 6 2 2 3" xfId="28523"/>
    <cellStyle name="Standaard 25 6 2 2 3 2" xfId="28524"/>
    <cellStyle name="Standaard 25 6 2 2 3 2 2" xfId="28525"/>
    <cellStyle name="Standaard 25 6 2 2 3 3" xfId="28526"/>
    <cellStyle name="Standaard 25 6 2 2 4" xfId="28527"/>
    <cellStyle name="Standaard 25 6 2 2 4 2" xfId="28528"/>
    <cellStyle name="Standaard 25 6 2 2 5" xfId="28529"/>
    <cellStyle name="Standaard 25 6 2 2 6" xfId="28530"/>
    <cellStyle name="Standaard 25 6 2 3" xfId="28531"/>
    <cellStyle name="Standaard 25 6 2 3 2" xfId="28532"/>
    <cellStyle name="Standaard 25 6 2 3 2 2" xfId="28533"/>
    <cellStyle name="Standaard 25 6 2 3 2 2 2" xfId="28534"/>
    <cellStyle name="Standaard 25 6 2 3 2 3" xfId="28535"/>
    <cellStyle name="Standaard 25 6 2 3 3" xfId="28536"/>
    <cellStyle name="Standaard 25 6 2 3 3 2" xfId="28537"/>
    <cellStyle name="Standaard 25 6 2 3 4" xfId="28538"/>
    <cellStyle name="Standaard 25 6 2 4" xfId="28539"/>
    <cellStyle name="Standaard 25 6 2 4 2" xfId="28540"/>
    <cellStyle name="Standaard 25 6 2 4 2 2" xfId="28541"/>
    <cellStyle name="Standaard 25 6 2 4 3" xfId="28542"/>
    <cellStyle name="Standaard 25 6 2 5" xfId="28543"/>
    <cellStyle name="Standaard 25 6 2 5 2" xfId="28544"/>
    <cellStyle name="Standaard 25 6 2 6" xfId="28545"/>
    <cellStyle name="Standaard 25 6 2 7" xfId="28546"/>
    <cellStyle name="Standaard 25 6 3" xfId="28547"/>
    <cellStyle name="Standaard 25 6 3 2" xfId="28548"/>
    <cellStyle name="Standaard 25 6 3 2 2" xfId="28549"/>
    <cellStyle name="Standaard 25 6 3 2 2 2" xfId="28550"/>
    <cellStyle name="Standaard 25 6 3 2 2 2 2" xfId="28551"/>
    <cellStyle name="Standaard 25 6 3 2 2 3" xfId="28552"/>
    <cellStyle name="Standaard 25 6 3 2 3" xfId="28553"/>
    <cellStyle name="Standaard 25 6 3 2 3 2" xfId="28554"/>
    <cellStyle name="Standaard 25 6 3 2 4" xfId="28555"/>
    <cellStyle name="Standaard 25 6 3 3" xfId="28556"/>
    <cellStyle name="Standaard 25 6 3 3 2" xfId="28557"/>
    <cellStyle name="Standaard 25 6 3 3 2 2" xfId="28558"/>
    <cellStyle name="Standaard 25 6 3 3 3" xfId="28559"/>
    <cellStyle name="Standaard 25 6 3 4" xfId="28560"/>
    <cellStyle name="Standaard 25 6 3 4 2" xfId="28561"/>
    <cellStyle name="Standaard 25 6 3 5" xfId="28562"/>
    <cellStyle name="Standaard 25 6 3 6" xfId="28563"/>
    <cellStyle name="Standaard 25 6 4" xfId="28564"/>
    <cellStyle name="Standaard 25 6 4 2" xfId="28565"/>
    <cellStyle name="Standaard 25 6 4 2 2" xfId="28566"/>
    <cellStyle name="Standaard 25 6 4 2 2 2" xfId="28567"/>
    <cellStyle name="Standaard 25 6 4 2 3" xfId="28568"/>
    <cellStyle name="Standaard 25 6 4 3" xfId="28569"/>
    <cellStyle name="Standaard 25 6 4 3 2" xfId="28570"/>
    <cellStyle name="Standaard 25 6 4 4" xfId="28571"/>
    <cellStyle name="Standaard 25 6 5" xfId="28572"/>
    <cellStyle name="Standaard 25 6 5 2" xfId="28573"/>
    <cellStyle name="Standaard 25 6 5 2 2" xfId="28574"/>
    <cellStyle name="Standaard 25 6 5 3" xfId="28575"/>
    <cellStyle name="Standaard 25 6 6" xfId="28576"/>
    <cellStyle name="Standaard 25 6 6 2" xfId="28577"/>
    <cellStyle name="Standaard 25 6 7" xfId="28578"/>
    <cellStyle name="Standaard 25 6 8" xfId="28579"/>
    <cellStyle name="Standaard 25 7" xfId="28580"/>
    <cellStyle name="Standaard 25 7 2" xfId="28581"/>
    <cellStyle name="Standaard 25 7 2 2" xfId="28582"/>
    <cellStyle name="Standaard 25 7 2 2 2" xfId="28583"/>
    <cellStyle name="Standaard 25 7 2 2 2 2" xfId="28584"/>
    <cellStyle name="Standaard 25 7 2 2 2 2 2" xfId="28585"/>
    <cellStyle name="Standaard 25 7 2 2 2 3" xfId="28586"/>
    <cellStyle name="Standaard 25 7 2 2 3" xfId="28587"/>
    <cellStyle name="Standaard 25 7 2 2 3 2" xfId="28588"/>
    <cellStyle name="Standaard 25 7 2 2 4" xfId="28589"/>
    <cellStyle name="Standaard 25 7 2 3" xfId="28590"/>
    <cellStyle name="Standaard 25 7 2 3 2" xfId="28591"/>
    <cellStyle name="Standaard 25 7 2 3 2 2" xfId="28592"/>
    <cellStyle name="Standaard 25 7 2 3 3" xfId="28593"/>
    <cellStyle name="Standaard 25 7 2 4" xfId="28594"/>
    <cellStyle name="Standaard 25 7 2 4 2" xfId="28595"/>
    <cellStyle name="Standaard 25 7 2 5" xfId="28596"/>
    <cellStyle name="Standaard 25 7 2 6" xfId="28597"/>
    <cellStyle name="Standaard 25 7 3" xfId="28598"/>
    <cellStyle name="Standaard 25 7 3 2" xfId="28599"/>
    <cellStyle name="Standaard 25 7 3 2 2" xfId="28600"/>
    <cellStyle name="Standaard 25 7 3 2 2 2" xfId="28601"/>
    <cellStyle name="Standaard 25 7 3 2 3" xfId="28602"/>
    <cellStyle name="Standaard 25 7 3 3" xfId="28603"/>
    <cellStyle name="Standaard 25 7 3 3 2" xfId="28604"/>
    <cellStyle name="Standaard 25 7 3 4" xfId="28605"/>
    <cellStyle name="Standaard 25 7 4" xfId="28606"/>
    <cellStyle name="Standaard 25 7 4 2" xfId="28607"/>
    <cellStyle name="Standaard 25 7 4 2 2" xfId="28608"/>
    <cellStyle name="Standaard 25 7 4 3" xfId="28609"/>
    <cellStyle name="Standaard 25 7 5" xfId="28610"/>
    <cellStyle name="Standaard 25 7 5 2" xfId="28611"/>
    <cellStyle name="Standaard 25 7 6" xfId="28612"/>
    <cellStyle name="Standaard 25 7 7" xfId="28613"/>
    <cellStyle name="Standaard 25 8" xfId="28614"/>
    <cellStyle name="Standaard 25 8 2" xfId="28615"/>
    <cellStyle name="Standaard 25 8 2 2" xfId="28616"/>
    <cellStyle name="Standaard 25 8 2 2 2" xfId="28617"/>
    <cellStyle name="Standaard 25 8 2 2 2 2" xfId="28618"/>
    <cellStyle name="Standaard 25 8 2 2 3" xfId="28619"/>
    <cellStyle name="Standaard 25 8 2 3" xfId="28620"/>
    <cellStyle name="Standaard 25 8 2 3 2" xfId="28621"/>
    <cellStyle name="Standaard 25 8 2 4" xfId="28622"/>
    <cellStyle name="Standaard 25 8 3" xfId="28623"/>
    <cellStyle name="Standaard 25 8 3 2" xfId="28624"/>
    <cellStyle name="Standaard 25 8 3 2 2" xfId="28625"/>
    <cellStyle name="Standaard 25 8 3 3" xfId="28626"/>
    <cellStyle name="Standaard 25 8 4" xfId="28627"/>
    <cellStyle name="Standaard 25 8 4 2" xfId="28628"/>
    <cellStyle name="Standaard 25 8 5" xfId="28629"/>
    <cellStyle name="Standaard 25 8 6" xfId="28630"/>
    <cellStyle name="Standaard 25 9" xfId="28631"/>
    <cellStyle name="Standaard 25 9 2" xfId="28632"/>
    <cellStyle name="Standaard 25 9 2 2" xfId="28633"/>
    <cellStyle name="Standaard 25 9 2 2 2" xfId="28634"/>
    <cellStyle name="Standaard 25 9 2 3" xfId="28635"/>
    <cellStyle name="Standaard 25 9 3" xfId="28636"/>
    <cellStyle name="Standaard 25 9 3 2" xfId="28637"/>
    <cellStyle name="Standaard 25 9 4" xfId="28638"/>
    <cellStyle name="Standaard 26" xfId="28639"/>
    <cellStyle name="Standaard 26 10" xfId="28640"/>
    <cellStyle name="Standaard 26 10 2" xfId="28641"/>
    <cellStyle name="Standaard 26 10 2 2" xfId="28642"/>
    <cellStyle name="Standaard 26 10 3" xfId="28643"/>
    <cellStyle name="Standaard 26 11" xfId="28644"/>
    <cellStyle name="Standaard 26 11 2" xfId="28645"/>
    <cellStyle name="Standaard 26 12" xfId="28646"/>
    <cellStyle name="Standaard 26 13" xfId="28647"/>
    <cellStyle name="Standaard 26 2" xfId="28648"/>
    <cellStyle name="Standaard 26 2 10" xfId="28649"/>
    <cellStyle name="Standaard 26 2 10 2" xfId="28650"/>
    <cellStyle name="Standaard 26 2 11" xfId="28651"/>
    <cellStyle name="Standaard 26 2 12" xfId="28652"/>
    <cellStyle name="Standaard 26 2 2" xfId="28653"/>
    <cellStyle name="Standaard 26 2 2 10" xfId="28654"/>
    <cellStyle name="Standaard 26 2 2 11" xfId="28655"/>
    <cellStyle name="Standaard 26 2 2 2" xfId="28656"/>
    <cellStyle name="Standaard 26 2 2 2 2" xfId="28657"/>
    <cellStyle name="Standaard 26 2 2 2 2 2" xfId="28658"/>
    <cellStyle name="Standaard 26 2 2 2 2 2 2" xfId="28659"/>
    <cellStyle name="Standaard 26 2 2 2 2 2 2 2" xfId="28660"/>
    <cellStyle name="Standaard 26 2 2 2 2 2 2 2 2" xfId="28661"/>
    <cellStyle name="Standaard 26 2 2 2 2 2 2 2 2 2" xfId="28662"/>
    <cellStyle name="Standaard 26 2 2 2 2 2 2 2 2 2 2" xfId="28663"/>
    <cellStyle name="Standaard 26 2 2 2 2 2 2 2 2 3" xfId="28664"/>
    <cellStyle name="Standaard 26 2 2 2 2 2 2 2 3" xfId="28665"/>
    <cellStyle name="Standaard 26 2 2 2 2 2 2 2 3 2" xfId="28666"/>
    <cellStyle name="Standaard 26 2 2 2 2 2 2 2 4" xfId="28667"/>
    <cellStyle name="Standaard 26 2 2 2 2 2 2 3" xfId="28668"/>
    <cellStyle name="Standaard 26 2 2 2 2 2 2 3 2" xfId="28669"/>
    <cellStyle name="Standaard 26 2 2 2 2 2 2 3 2 2" xfId="28670"/>
    <cellStyle name="Standaard 26 2 2 2 2 2 2 3 3" xfId="28671"/>
    <cellStyle name="Standaard 26 2 2 2 2 2 2 4" xfId="28672"/>
    <cellStyle name="Standaard 26 2 2 2 2 2 2 4 2" xfId="28673"/>
    <cellStyle name="Standaard 26 2 2 2 2 2 2 5" xfId="28674"/>
    <cellStyle name="Standaard 26 2 2 2 2 2 2 6" xfId="28675"/>
    <cellStyle name="Standaard 26 2 2 2 2 2 3" xfId="28676"/>
    <cellStyle name="Standaard 26 2 2 2 2 2 3 2" xfId="28677"/>
    <cellStyle name="Standaard 26 2 2 2 2 2 3 2 2" xfId="28678"/>
    <cellStyle name="Standaard 26 2 2 2 2 2 3 2 2 2" xfId="28679"/>
    <cellStyle name="Standaard 26 2 2 2 2 2 3 2 3" xfId="28680"/>
    <cellStyle name="Standaard 26 2 2 2 2 2 3 3" xfId="28681"/>
    <cellStyle name="Standaard 26 2 2 2 2 2 3 3 2" xfId="28682"/>
    <cellStyle name="Standaard 26 2 2 2 2 2 3 4" xfId="28683"/>
    <cellStyle name="Standaard 26 2 2 2 2 2 4" xfId="28684"/>
    <cellStyle name="Standaard 26 2 2 2 2 2 4 2" xfId="28685"/>
    <cellStyle name="Standaard 26 2 2 2 2 2 4 2 2" xfId="28686"/>
    <cellStyle name="Standaard 26 2 2 2 2 2 4 3" xfId="28687"/>
    <cellStyle name="Standaard 26 2 2 2 2 2 5" xfId="28688"/>
    <cellStyle name="Standaard 26 2 2 2 2 2 5 2" xfId="28689"/>
    <cellStyle name="Standaard 26 2 2 2 2 2 6" xfId="28690"/>
    <cellStyle name="Standaard 26 2 2 2 2 2 7" xfId="28691"/>
    <cellStyle name="Standaard 26 2 2 2 2 3" xfId="28692"/>
    <cellStyle name="Standaard 26 2 2 2 2 3 2" xfId="28693"/>
    <cellStyle name="Standaard 26 2 2 2 2 3 2 2" xfId="28694"/>
    <cellStyle name="Standaard 26 2 2 2 2 3 2 2 2" xfId="28695"/>
    <cellStyle name="Standaard 26 2 2 2 2 3 2 2 2 2" xfId="28696"/>
    <cellStyle name="Standaard 26 2 2 2 2 3 2 2 3" xfId="28697"/>
    <cellStyle name="Standaard 26 2 2 2 2 3 2 3" xfId="28698"/>
    <cellStyle name="Standaard 26 2 2 2 2 3 2 3 2" xfId="28699"/>
    <cellStyle name="Standaard 26 2 2 2 2 3 2 4" xfId="28700"/>
    <cellStyle name="Standaard 26 2 2 2 2 3 3" xfId="28701"/>
    <cellStyle name="Standaard 26 2 2 2 2 3 3 2" xfId="28702"/>
    <cellStyle name="Standaard 26 2 2 2 2 3 3 2 2" xfId="28703"/>
    <cellStyle name="Standaard 26 2 2 2 2 3 3 3" xfId="28704"/>
    <cellStyle name="Standaard 26 2 2 2 2 3 4" xfId="28705"/>
    <cellStyle name="Standaard 26 2 2 2 2 3 4 2" xfId="28706"/>
    <cellStyle name="Standaard 26 2 2 2 2 3 5" xfId="28707"/>
    <cellStyle name="Standaard 26 2 2 2 2 3 6" xfId="28708"/>
    <cellStyle name="Standaard 26 2 2 2 2 4" xfId="28709"/>
    <cellStyle name="Standaard 26 2 2 2 2 4 2" xfId="28710"/>
    <cellStyle name="Standaard 26 2 2 2 2 4 2 2" xfId="28711"/>
    <cellStyle name="Standaard 26 2 2 2 2 4 2 2 2" xfId="28712"/>
    <cellStyle name="Standaard 26 2 2 2 2 4 2 3" xfId="28713"/>
    <cellStyle name="Standaard 26 2 2 2 2 4 3" xfId="28714"/>
    <cellStyle name="Standaard 26 2 2 2 2 4 3 2" xfId="28715"/>
    <cellStyle name="Standaard 26 2 2 2 2 4 4" xfId="28716"/>
    <cellStyle name="Standaard 26 2 2 2 2 5" xfId="28717"/>
    <cellStyle name="Standaard 26 2 2 2 2 5 2" xfId="28718"/>
    <cellStyle name="Standaard 26 2 2 2 2 5 2 2" xfId="28719"/>
    <cellStyle name="Standaard 26 2 2 2 2 5 3" xfId="28720"/>
    <cellStyle name="Standaard 26 2 2 2 2 6" xfId="28721"/>
    <cellStyle name="Standaard 26 2 2 2 2 6 2" xfId="28722"/>
    <cellStyle name="Standaard 26 2 2 2 2 7" xfId="28723"/>
    <cellStyle name="Standaard 26 2 2 2 2 8" xfId="28724"/>
    <cellStyle name="Standaard 26 2 2 2 3" xfId="28725"/>
    <cellStyle name="Standaard 26 2 2 2 3 2" xfId="28726"/>
    <cellStyle name="Standaard 26 2 2 2 3 2 2" xfId="28727"/>
    <cellStyle name="Standaard 26 2 2 2 3 2 2 2" xfId="28728"/>
    <cellStyle name="Standaard 26 2 2 2 3 2 2 2 2" xfId="28729"/>
    <cellStyle name="Standaard 26 2 2 2 3 2 2 2 2 2" xfId="28730"/>
    <cellStyle name="Standaard 26 2 2 2 3 2 2 2 3" xfId="28731"/>
    <cellStyle name="Standaard 26 2 2 2 3 2 2 3" xfId="28732"/>
    <cellStyle name="Standaard 26 2 2 2 3 2 2 3 2" xfId="28733"/>
    <cellStyle name="Standaard 26 2 2 2 3 2 2 4" xfId="28734"/>
    <cellStyle name="Standaard 26 2 2 2 3 2 3" xfId="28735"/>
    <cellStyle name="Standaard 26 2 2 2 3 2 3 2" xfId="28736"/>
    <cellStyle name="Standaard 26 2 2 2 3 2 3 2 2" xfId="28737"/>
    <cellStyle name="Standaard 26 2 2 2 3 2 3 3" xfId="28738"/>
    <cellStyle name="Standaard 26 2 2 2 3 2 4" xfId="28739"/>
    <cellStyle name="Standaard 26 2 2 2 3 2 4 2" xfId="28740"/>
    <cellStyle name="Standaard 26 2 2 2 3 2 5" xfId="28741"/>
    <cellStyle name="Standaard 26 2 2 2 3 2 6" xfId="28742"/>
    <cellStyle name="Standaard 26 2 2 2 3 3" xfId="28743"/>
    <cellStyle name="Standaard 26 2 2 2 3 3 2" xfId="28744"/>
    <cellStyle name="Standaard 26 2 2 2 3 3 2 2" xfId="28745"/>
    <cellStyle name="Standaard 26 2 2 2 3 3 2 2 2" xfId="28746"/>
    <cellStyle name="Standaard 26 2 2 2 3 3 2 3" xfId="28747"/>
    <cellStyle name="Standaard 26 2 2 2 3 3 3" xfId="28748"/>
    <cellStyle name="Standaard 26 2 2 2 3 3 3 2" xfId="28749"/>
    <cellStyle name="Standaard 26 2 2 2 3 3 4" xfId="28750"/>
    <cellStyle name="Standaard 26 2 2 2 3 4" xfId="28751"/>
    <cellStyle name="Standaard 26 2 2 2 3 4 2" xfId="28752"/>
    <cellStyle name="Standaard 26 2 2 2 3 4 2 2" xfId="28753"/>
    <cellStyle name="Standaard 26 2 2 2 3 4 3" xfId="28754"/>
    <cellStyle name="Standaard 26 2 2 2 3 5" xfId="28755"/>
    <cellStyle name="Standaard 26 2 2 2 3 5 2" xfId="28756"/>
    <cellStyle name="Standaard 26 2 2 2 3 6" xfId="28757"/>
    <cellStyle name="Standaard 26 2 2 2 3 7" xfId="28758"/>
    <cellStyle name="Standaard 26 2 2 2 4" xfId="28759"/>
    <cellStyle name="Standaard 26 2 2 2 4 2" xfId="28760"/>
    <cellStyle name="Standaard 26 2 2 2 4 2 2" xfId="28761"/>
    <cellStyle name="Standaard 26 2 2 2 4 2 2 2" xfId="28762"/>
    <cellStyle name="Standaard 26 2 2 2 4 2 2 2 2" xfId="28763"/>
    <cellStyle name="Standaard 26 2 2 2 4 2 2 3" xfId="28764"/>
    <cellStyle name="Standaard 26 2 2 2 4 2 3" xfId="28765"/>
    <cellStyle name="Standaard 26 2 2 2 4 2 3 2" xfId="28766"/>
    <cellStyle name="Standaard 26 2 2 2 4 2 4" xfId="28767"/>
    <cellStyle name="Standaard 26 2 2 2 4 3" xfId="28768"/>
    <cellStyle name="Standaard 26 2 2 2 4 3 2" xfId="28769"/>
    <cellStyle name="Standaard 26 2 2 2 4 3 2 2" xfId="28770"/>
    <cellStyle name="Standaard 26 2 2 2 4 3 3" xfId="28771"/>
    <cellStyle name="Standaard 26 2 2 2 4 4" xfId="28772"/>
    <cellStyle name="Standaard 26 2 2 2 4 4 2" xfId="28773"/>
    <cellStyle name="Standaard 26 2 2 2 4 5" xfId="28774"/>
    <cellStyle name="Standaard 26 2 2 2 4 6" xfId="28775"/>
    <cellStyle name="Standaard 26 2 2 2 5" xfId="28776"/>
    <cellStyle name="Standaard 26 2 2 2 5 2" xfId="28777"/>
    <cellStyle name="Standaard 26 2 2 2 5 2 2" xfId="28778"/>
    <cellStyle name="Standaard 26 2 2 2 5 2 2 2" xfId="28779"/>
    <cellStyle name="Standaard 26 2 2 2 5 2 3" xfId="28780"/>
    <cellStyle name="Standaard 26 2 2 2 5 3" xfId="28781"/>
    <cellStyle name="Standaard 26 2 2 2 5 3 2" xfId="28782"/>
    <cellStyle name="Standaard 26 2 2 2 5 4" xfId="28783"/>
    <cellStyle name="Standaard 26 2 2 2 6" xfId="28784"/>
    <cellStyle name="Standaard 26 2 2 2 6 2" xfId="28785"/>
    <cellStyle name="Standaard 26 2 2 2 6 2 2" xfId="28786"/>
    <cellStyle name="Standaard 26 2 2 2 6 3" xfId="28787"/>
    <cellStyle name="Standaard 26 2 2 2 7" xfId="28788"/>
    <cellStyle name="Standaard 26 2 2 2 7 2" xfId="28789"/>
    <cellStyle name="Standaard 26 2 2 2 8" xfId="28790"/>
    <cellStyle name="Standaard 26 2 2 2 9" xfId="28791"/>
    <cellStyle name="Standaard 26 2 2 3" xfId="28792"/>
    <cellStyle name="Standaard 26 2 2 3 2" xfId="28793"/>
    <cellStyle name="Standaard 26 2 2 3 2 2" xfId="28794"/>
    <cellStyle name="Standaard 26 2 2 3 2 2 2" xfId="28795"/>
    <cellStyle name="Standaard 26 2 2 3 2 2 2 2" xfId="28796"/>
    <cellStyle name="Standaard 26 2 2 3 2 2 2 2 2" xfId="28797"/>
    <cellStyle name="Standaard 26 2 2 3 2 2 2 2 2 2" xfId="28798"/>
    <cellStyle name="Standaard 26 2 2 3 2 2 2 2 3" xfId="28799"/>
    <cellStyle name="Standaard 26 2 2 3 2 2 2 3" xfId="28800"/>
    <cellStyle name="Standaard 26 2 2 3 2 2 2 3 2" xfId="28801"/>
    <cellStyle name="Standaard 26 2 2 3 2 2 2 4" xfId="28802"/>
    <cellStyle name="Standaard 26 2 2 3 2 2 3" xfId="28803"/>
    <cellStyle name="Standaard 26 2 2 3 2 2 3 2" xfId="28804"/>
    <cellStyle name="Standaard 26 2 2 3 2 2 3 2 2" xfId="28805"/>
    <cellStyle name="Standaard 26 2 2 3 2 2 3 3" xfId="28806"/>
    <cellStyle name="Standaard 26 2 2 3 2 2 4" xfId="28807"/>
    <cellStyle name="Standaard 26 2 2 3 2 2 4 2" xfId="28808"/>
    <cellStyle name="Standaard 26 2 2 3 2 2 5" xfId="28809"/>
    <cellStyle name="Standaard 26 2 2 3 2 2 6" xfId="28810"/>
    <cellStyle name="Standaard 26 2 2 3 2 3" xfId="28811"/>
    <cellStyle name="Standaard 26 2 2 3 2 3 2" xfId="28812"/>
    <cellStyle name="Standaard 26 2 2 3 2 3 2 2" xfId="28813"/>
    <cellStyle name="Standaard 26 2 2 3 2 3 2 2 2" xfId="28814"/>
    <cellStyle name="Standaard 26 2 2 3 2 3 2 3" xfId="28815"/>
    <cellStyle name="Standaard 26 2 2 3 2 3 3" xfId="28816"/>
    <cellStyle name="Standaard 26 2 2 3 2 3 3 2" xfId="28817"/>
    <cellStyle name="Standaard 26 2 2 3 2 3 4" xfId="28818"/>
    <cellStyle name="Standaard 26 2 2 3 2 4" xfId="28819"/>
    <cellStyle name="Standaard 26 2 2 3 2 4 2" xfId="28820"/>
    <cellStyle name="Standaard 26 2 2 3 2 4 2 2" xfId="28821"/>
    <cellStyle name="Standaard 26 2 2 3 2 4 3" xfId="28822"/>
    <cellStyle name="Standaard 26 2 2 3 2 5" xfId="28823"/>
    <cellStyle name="Standaard 26 2 2 3 2 5 2" xfId="28824"/>
    <cellStyle name="Standaard 26 2 2 3 2 6" xfId="28825"/>
    <cellStyle name="Standaard 26 2 2 3 2 7" xfId="28826"/>
    <cellStyle name="Standaard 26 2 2 3 3" xfId="28827"/>
    <cellStyle name="Standaard 26 2 2 3 3 2" xfId="28828"/>
    <cellStyle name="Standaard 26 2 2 3 3 2 2" xfId="28829"/>
    <cellStyle name="Standaard 26 2 2 3 3 2 2 2" xfId="28830"/>
    <cellStyle name="Standaard 26 2 2 3 3 2 2 2 2" xfId="28831"/>
    <cellStyle name="Standaard 26 2 2 3 3 2 2 3" xfId="28832"/>
    <cellStyle name="Standaard 26 2 2 3 3 2 3" xfId="28833"/>
    <cellStyle name="Standaard 26 2 2 3 3 2 3 2" xfId="28834"/>
    <cellStyle name="Standaard 26 2 2 3 3 2 4" xfId="28835"/>
    <cellStyle name="Standaard 26 2 2 3 3 3" xfId="28836"/>
    <cellStyle name="Standaard 26 2 2 3 3 3 2" xfId="28837"/>
    <cellStyle name="Standaard 26 2 2 3 3 3 2 2" xfId="28838"/>
    <cellStyle name="Standaard 26 2 2 3 3 3 3" xfId="28839"/>
    <cellStyle name="Standaard 26 2 2 3 3 4" xfId="28840"/>
    <cellStyle name="Standaard 26 2 2 3 3 4 2" xfId="28841"/>
    <cellStyle name="Standaard 26 2 2 3 3 5" xfId="28842"/>
    <cellStyle name="Standaard 26 2 2 3 3 6" xfId="28843"/>
    <cellStyle name="Standaard 26 2 2 3 4" xfId="28844"/>
    <cellStyle name="Standaard 26 2 2 3 4 2" xfId="28845"/>
    <cellStyle name="Standaard 26 2 2 3 4 2 2" xfId="28846"/>
    <cellStyle name="Standaard 26 2 2 3 4 2 2 2" xfId="28847"/>
    <cellStyle name="Standaard 26 2 2 3 4 2 3" xfId="28848"/>
    <cellStyle name="Standaard 26 2 2 3 4 3" xfId="28849"/>
    <cellStyle name="Standaard 26 2 2 3 4 3 2" xfId="28850"/>
    <cellStyle name="Standaard 26 2 2 3 4 4" xfId="28851"/>
    <cellStyle name="Standaard 26 2 2 3 5" xfId="28852"/>
    <cellStyle name="Standaard 26 2 2 3 5 2" xfId="28853"/>
    <cellStyle name="Standaard 26 2 2 3 5 2 2" xfId="28854"/>
    <cellStyle name="Standaard 26 2 2 3 5 3" xfId="28855"/>
    <cellStyle name="Standaard 26 2 2 3 6" xfId="28856"/>
    <cellStyle name="Standaard 26 2 2 3 6 2" xfId="28857"/>
    <cellStyle name="Standaard 26 2 2 3 7" xfId="28858"/>
    <cellStyle name="Standaard 26 2 2 3 8" xfId="28859"/>
    <cellStyle name="Standaard 26 2 2 4" xfId="28860"/>
    <cellStyle name="Standaard 26 2 2 4 2" xfId="28861"/>
    <cellStyle name="Standaard 26 2 2 4 2 2" xfId="28862"/>
    <cellStyle name="Standaard 26 2 2 4 2 2 2" xfId="28863"/>
    <cellStyle name="Standaard 26 2 2 4 2 2 2 2" xfId="28864"/>
    <cellStyle name="Standaard 26 2 2 4 2 2 2 2 2" xfId="28865"/>
    <cellStyle name="Standaard 26 2 2 4 2 2 2 2 2 2" xfId="28866"/>
    <cellStyle name="Standaard 26 2 2 4 2 2 2 2 3" xfId="28867"/>
    <cellStyle name="Standaard 26 2 2 4 2 2 2 3" xfId="28868"/>
    <cellStyle name="Standaard 26 2 2 4 2 2 2 3 2" xfId="28869"/>
    <cellStyle name="Standaard 26 2 2 4 2 2 2 4" xfId="28870"/>
    <cellStyle name="Standaard 26 2 2 4 2 2 3" xfId="28871"/>
    <cellStyle name="Standaard 26 2 2 4 2 2 3 2" xfId="28872"/>
    <cellStyle name="Standaard 26 2 2 4 2 2 3 2 2" xfId="28873"/>
    <cellStyle name="Standaard 26 2 2 4 2 2 3 3" xfId="28874"/>
    <cellStyle name="Standaard 26 2 2 4 2 2 4" xfId="28875"/>
    <cellStyle name="Standaard 26 2 2 4 2 2 4 2" xfId="28876"/>
    <cellStyle name="Standaard 26 2 2 4 2 2 5" xfId="28877"/>
    <cellStyle name="Standaard 26 2 2 4 2 2 6" xfId="28878"/>
    <cellStyle name="Standaard 26 2 2 4 2 3" xfId="28879"/>
    <cellStyle name="Standaard 26 2 2 4 2 3 2" xfId="28880"/>
    <cellStyle name="Standaard 26 2 2 4 2 3 2 2" xfId="28881"/>
    <cellStyle name="Standaard 26 2 2 4 2 3 2 2 2" xfId="28882"/>
    <cellStyle name="Standaard 26 2 2 4 2 3 2 3" xfId="28883"/>
    <cellStyle name="Standaard 26 2 2 4 2 3 3" xfId="28884"/>
    <cellStyle name="Standaard 26 2 2 4 2 3 3 2" xfId="28885"/>
    <cellStyle name="Standaard 26 2 2 4 2 3 4" xfId="28886"/>
    <cellStyle name="Standaard 26 2 2 4 2 4" xfId="28887"/>
    <cellStyle name="Standaard 26 2 2 4 2 4 2" xfId="28888"/>
    <cellStyle name="Standaard 26 2 2 4 2 4 2 2" xfId="28889"/>
    <cellStyle name="Standaard 26 2 2 4 2 4 3" xfId="28890"/>
    <cellStyle name="Standaard 26 2 2 4 2 5" xfId="28891"/>
    <cellStyle name="Standaard 26 2 2 4 2 5 2" xfId="28892"/>
    <cellStyle name="Standaard 26 2 2 4 2 6" xfId="28893"/>
    <cellStyle name="Standaard 26 2 2 4 2 7" xfId="28894"/>
    <cellStyle name="Standaard 26 2 2 4 3" xfId="28895"/>
    <cellStyle name="Standaard 26 2 2 4 3 2" xfId="28896"/>
    <cellStyle name="Standaard 26 2 2 4 3 2 2" xfId="28897"/>
    <cellStyle name="Standaard 26 2 2 4 3 2 2 2" xfId="28898"/>
    <cellStyle name="Standaard 26 2 2 4 3 2 2 2 2" xfId="28899"/>
    <cellStyle name="Standaard 26 2 2 4 3 2 2 3" xfId="28900"/>
    <cellStyle name="Standaard 26 2 2 4 3 2 3" xfId="28901"/>
    <cellStyle name="Standaard 26 2 2 4 3 2 3 2" xfId="28902"/>
    <cellStyle name="Standaard 26 2 2 4 3 2 4" xfId="28903"/>
    <cellStyle name="Standaard 26 2 2 4 3 3" xfId="28904"/>
    <cellStyle name="Standaard 26 2 2 4 3 3 2" xfId="28905"/>
    <cellStyle name="Standaard 26 2 2 4 3 3 2 2" xfId="28906"/>
    <cellStyle name="Standaard 26 2 2 4 3 3 3" xfId="28907"/>
    <cellStyle name="Standaard 26 2 2 4 3 4" xfId="28908"/>
    <cellStyle name="Standaard 26 2 2 4 3 4 2" xfId="28909"/>
    <cellStyle name="Standaard 26 2 2 4 3 5" xfId="28910"/>
    <cellStyle name="Standaard 26 2 2 4 3 6" xfId="28911"/>
    <cellStyle name="Standaard 26 2 2 4 4" xfId="28912"/>
    <cellStyle name="Standaard 26 2 2 4 4 2" xfId="28913"/>
    <cellStyle name="Standaard 26 2 2 4 4 2 2" xfId="28914"/>
    <cellStyle name="Standaard 26 2 2 4 4 2 2 2" xfId="28915"/>
    <cellStyle name="Standaard 26 2 2 4 4 2 3" xfId="28916"/>
    <cellStyle name="Standaard 26 2 2 4 4 3" xfId="28917"/>
    <cellStyle name="Standaard 26 2 2 4 4 3 2" xfId="28918"/>
    <cellStyle name="Standaard 26 2 2 4 4 4" xfId="28919"/>
    <cellStyle name="Standaard 26 2 2 4 5" xfId="28920"/>
    <cellStyle name="Standaard 26 2 2 4 5 2" xfId="28921"/>
    <cellStyle name="Standaard 26 2 2 4 5 2 2" xfId="28922"/>
    <cellStyle name="Standaard 26 2 2 4 5 3" xfId="28923"/>
    <cellStyle name="Standaard 26 2 2 4 6" xfId="28924"/>
    <cellStyle name="Standaard 26 2 2 4 6 2" xfId="28925"/>
    <cellStyle name="Standaard 26 2 2 4 7" xfId="28926"/>
    <cellStyle name="Standaard 26 2 2 4 8" xfId="28927"/>
    <cellStyle name="Standaard 26 2 2 5" xfId="28928"/>
    <cellStyle name="Standaard 26 2 2 5 2" xfId="28929"/>
    <cellStyle name="Standaard 26 2 2 5 2 2" xfId="28930"/>
    <cellStyle name="Standaard 26 2 2 5 2 2 2" xfId="28931"/>
    <cellStyle name="Standaard 26 2 2 5 2 2 2 2" xfId="28932"/>
    <cellStyle name="Standaard 26 2 2 5 2 2 2 2 2" xfId="28933"/>
    <cellStyle name="Standaard 26 2 2 5 2 2 2 3" xfId="28934"/>
    <cellStyle name="Standaard 26 2 2 5 2 2 3" xfId="28935"/>
    <cellStyle name="Standaard 26 2 2 5 2 2 3 2" xfId="28936"/>
    <cellStyle name="Standaard 26 2 2 5 2 2 4" xfId="28937"/>
    <cellStyle name="Standaard 26 2 2 5 2 3" xfId="28938"/>
    <cellStyle name="Standaard 26 2 2 5 2 3 2" xfId="28939"/>
    <cellStyle name="Standaard 26 2 2 5 2 3 2 2" xfId="28940"/>
    <cellStyle name="Standaard 26 2 2 5 2 3 3" xfId="28941"/>
    <cellStyle name="Standaard 26 2 2 5 2 4" xfId="28942"/>
    <cellStyle name="Standaard 26 2 2 5 2 4 2" xfId="28943"/>
    <cellStyle name="Standaard 26 2 2 5 2 5" xfId="28944"/>
    <cellStyle name="Standaard 26 2 2 5 2 6" xfId="28945"/>
    <cellStyle name="Standaard 26 2 2 5 3" xfId="28946"/>
    <cellStyle name="Standaard 26 2 2 5 3 2" xfId="28947"/>
    <cellStyle name="Standaard 26 2 2 5 3 2 2" xfId="28948"/>
    <cellStyle name="Standaard 26 2 2 5 3 2 2 2" xfId="28949"/>
    <cellStyle name="Standaard 26 2 2 5 3 2 3" xfId="28950"/>
    <cellStyle name="Standaard 26 2 2 5 3 3" xfId="28951"/>
    <cellStyle name="Standaard 26 2 2 5 3 3 2" xfId="28952"/>
    <cellStyle name="Standaard 26 2 2 5 3 4" xfId="28953"/>
    <cellStyle name="Standaard 26 2 2 5 4" xfId="28954"/>
    <cellStyle name="Standaard 26 2 2 5 4 2" xfId="28955"/>
    <cellStyle name="Standaard 26 2 2 5 4 2 2" xfId="28956"/>
    <cellStyle name="Standaard 26 2 2 5 4 3" xfId="28957"/>
    <cellStyle name="Standaard 26 2 2 5 5" xfId="28958"/>
    <cellStyle name="Standaard 26 2 2 5 5 2" xfId="28959"/>
    <cellStyle name="Standaard 26 2 2 5 6" xfId="28960"/>
    <cellStyle name="Standaard 26 2 2 5 7" xfId="28961"/>
    <cellStyle name="Standaard 26 2 2 6" xfId="28962"/>
    <cellStyle name="Standaard 26 2 2 6 2" xfId="28963"/>
    <cellStyle name="Standaard 26 2 2 6 2 2" xfId="28964"/>
    <cellStyle name="Standaard 26 2 2 6 2 2 2" xfId="28965"/>
    <cellStyle name="Standaard 26 2 2 6 2 2 2 2" xfId="28966"/>
    <cellStyle name="Standaard 26 2 2 6 2 2 3" xfId="28967"/>
    <cellStyle name="Standaard 26 2 2 6 2 3" xfId="28968"/>
    <cellStyle name="Standaard 26 2 2 6 2 3 2" xfId="28969"/>
    <cellStyle name="Standaard 26 2 2 6 2 4" xfId="28970"/>
    <cellStyle name="Standaard 26 2 2 6 3" xfId="28971"/>
    <cellStyle name="Standaard 26 2 2 6 3 2" xfId="28972"/>
    <cellStyle name="Standaard 26 2 2 6 3 2 2" xfId="28973"/>
    <cellStyle name="Standaard 26 2 2 6 3 3" xfId="28974"/>
    <cellStyle name="Standaard 26 2 2 6 4" xfId="28975"/>
    <cellStyle name="Standaard 26 2 2 6 4 2" xfId="28976"/>
    <cellStyle name="Standaard 26 2 2 6 5" xfId="28977"/>
    <cellStyle name="Standaard 26 2 2 6 6" xfId="28978"/>
    <cellStyle name="Standaard 26 2 2 7" xfId="28979"/>
    <cellStyle name="Standaard 26 2 2 7 2" xfId="28980"/>
    <cellStyle name="Standaard 26 2 2 7 2 2" xfId="28981"/>
    <cellStyle name="Standaard 26 2 2 7 2 2 2" xfId="28982"/>
    <cellStyle name="Standaard 26 2 2 7 2 3" xfId="28983"/>
    <cellStyle name="Standaard 26 2 2 7 3" xfId="28984"/>
    <cellStyle name="Standaard 26 2 2 7 3 2" xfId="28985"/>
    <cellStyle name="Standaard 26 2 2 7 4" xfId="28986"/>
    <cellStyle name="Standaard 26 2 2 8" xfId="28987"/>
    <cellStyle name="Standaard 26 2 2 8 2" xfId="28988"/>
    <cellStyle name="Standaard 26 2 2 8 2 2" xfId="28989"/>
    <cellStyle name="Standaard 26 2 2 8 3" xfId="28990"/>
    <cellStyle name="Standaard 26 2 2 9" xfId="28991"/>
    <cellStyle name="Standaard 26 2 2 9 2" xfId="28992"/>
    <cellStyle name="Standaard 26 2 3" xfId="28993"/>
    <cellStyle name="Standaard 26 2 3 2" xfId="28994"/>
    <cellStyle name="Standaard 26 2 3 2 2" xfId="28995"/>
    <cellStyle name="Standaard 26 2 3 2 2 2" xfId="28996"/>
    <cellStyle name="Standaard 26 2 3 2 2 2 2" xfId="28997"/>
    <cellStyle name="Standaard 26 2 3 2 2 2 2 2" xfId="28998"/>
    <cellStyle name="Standaard 26 2 3 2 2 2 2 2 2" xfId="28999"/>
    <cellStyle name="Standaard 26 2 3 2 2 2 2 2 2 2" xfId="29000"/>
    <cellStyle name="Standaard 26 2 3 2 2 2 2 2 3" xfId="29001"/>
    <cellStyle name="Standaard 26 2 3 2 2 2 2 3" xfId="29002"/>
    <cellStyle name="Standaard 26 2 3 2 2 2 2 3 2" xfId="29003"/>
    <cellStyle name="Standaard 26 2 3 2 2 2 2 4" xfId="29004"/>
    <cellStyle name="Standaard 26 2 3 2 2 2 3" xfId="29005"/>
    <cellStyle name="Standaard 26 2 3 2 2 2 3 2" xfId="29006"/>
    <cellStyle name="Standaard 26 2 3 2 2 2 3 2 2" xfId="29007"/>
    <cellStyle name="Standaard 26 2 3 2 2 2 3 3" xfId="29008"/>
    <cellStyle name="Standaard 26 2 3 2 2 2 4" xfId="29009"/>
    <cellStyle name="Standaard 26 2 3 2 2 2 4 2" xfId="29010"/>
    <cellStyle name="Standaard 26 2 3 2 2 2 5" xfId="29011"/>
    <cellStyle name="Standaard 26 2 3 2 2 2 6" xfId="29012"/>
    <cellStyle name="Standaard 26 2 3 2 2 3" xfId="29013"/>
    <cellStyle name="Standaard 26 2 3 2 2 3 2" xfId="29014"/>
    <cellStyle name="Standaard 26 2 3 2 2 3 2 2" xfId="29015"/>
    <cellStyle name="Standaard 26 2 3 2 2 3 2 2 2" xfId="29016"/>
    <cellStyle name="Standaard 26 2 3 2 2 3 2 3" xfId="29017"/>
    <cellStyle name="Standaard 26 2 3 2 2 3 3" xfId="29018"/>
    <cellStyle name="Standaard 26 2 3 2 2 3 3 2" xfId="29019"/>
    <cellStyle name="Standaard 26 2 3 2 2 3 4" xfId="29020"/>
    <cellStyle name="Standaard 26 2 3 2 2 4" xfId="29021"/>
    <cellStyle name="Standaard 26 2 3 2 2 4 2" xfId="29022"/>
    <cellStyle name="Standaard 26 2 3 2 2 4 2 2" xfId="29023"/>
    <cellStyle name="Standaard 26 2 3 2 2 4 3" xfId="29024"/>
    <cellStyle name="Standaard 26 2 3 2 2 5" xfId="29025"/>
    <cellStyle name="Standaard 26 2 3 2 2 5 2" xfId="29026"/>
    <cellStyle name="Standaard 26 2 3 2 2 6" xfId="29027"/>
    <cellStyle name="Standaard 26 2 3 2 2 7" xfId="29028"/>
    <cellStyle name="Standaard 26 2 3 2 3" xfId="29029"/>
    <cellStyle name="Standaard 26 2 3 2 3 2" xfId="29030"/>
    <cellStyle name="Standaard 26 2 3 2 3 2 2" xfId="29031"/>
    <cellStyle name="Standaard 26 2 3 2 3 2 2 2" xfId="29032"/>
    <cellStyle name="Standaard 26 2 3 2 3 2 2 2 2" xfId="29033"/>
    <cellStyle name="Standaard 26 2 3 2 3 2 2 3" xfId="29034"/>
    <cellStyle name="Standaard 26 2 3 2 3 2 3" xfId="29035"/>
    <cellStyle name="Standaard 26 2 3 2 3 2 3 2" xfId="29036"/>
    <cellStyle name="Standaard 26 2 3 2 3 2 4" xfId="29037"/>
    <cellStyle name="Standaard 26 2 3 2 3 3" xfId="29038"/>
    <cellStyle name="Standaard 26 2 3 2 3 3 2" xfId="29039"/>
    <cellStyle name="Standaard 26 2 3 2 3 3 2 2" xfId="29040"/>
    <cellStyle name="Standaard 26 2 3 2 3 3 3" xfId="29041"/>
    <cellStyle name="Standaard 26 2 3 2 3 4" xfId="29042"/>
    <cellStyle name="Standaard 26 2 3 2 3 4 2" xfId="29043"/>
    <cellStyle name="Standaard 26 2 3 2 3 5" xfId="29044"/>
    <cellStyle name="Standaard 26 2 3 2 3 6" xfId="29045"/>
    <cellStyle name="Standaard 26 2 3 2 4" xfId="29046"/>
    <cellStyle name="Standaard 26 2 3 2 4 2" xfId="29047"/>
    <cellStyle name="Standaard 26 2 3 2 4 2 2" xfId="29048"/>
    <cellStyle name="Standaard 26 2 3 2 4 2 2 2" xfId="29049"/>
    <cellStyle name="Standaard 26 2 3 2 4 2 3" xfId="29050"/>
    <cellStyle name="Standaard 26 2 3 2 4 3" xfId="29051"/>
    <cellStyle name="Standaard 26 2 3 2 4 3 2" xfId="29052"/>
    <cellStyle name="Standaard 26 2 3 2 4 4" xfId="29053"/>
    <cellStyle name="Standaard 26 2 3 2 5" xfId="29054"/>
    <cellStyle name="Standaard 26 2 3 2 5 2" xfId="29055"/>
    <cellStyle name="Standaard 26 2 3 2 5 2 2" xfId="29056"/>
    <cellStyle name="Standaard 26 2 3 2 5 3" xfId="29057"/>
    <cellStyle name="Standaard 26 2 3 2 6" xfId="29058"/>
    <cellStyle name="Standaard 26 2 3 2 6 2" xfId="29059"/>
    <cellStyle name="Standaard 26 2 3 2 7" xfId="29060"/>
    <cellStyle name="Standaard 26 2 3 2 8" xfId="29061"/>
    <cellStyle name="Standaard 26 2 3 3" xfId="29062"/>
    <cellStyle name="Standaard 26 2 3 3 2" xfId="29063"/>
    <cellStyle name="Standaard 26 2 3 3 2 2" xfId="29064"/>
    <cellStyle name="Standaard 26 2 3 3 2 2 2" xfId="29065"/>
    <cellStyle name="Standaard 26 2 3 3 2 2 2 2" xfId="29066"/>
    <cellStyle name="Standaard 26 2 3 3 2 2 2 2 2" xfId="29067"/>
    <cellStyle name="Standaard 26 2 3 3 2 2 2 3" xfId="29068"/>
    <cellStyle name="Standaard 26 2 3 3 2 2 3" xfId="29069"/>
    <cellStyle name="Standaard 26 2 3 3 2 2 3 2" xfId="29070"/>
    <cellStyle name="Standaard 26 2 3 3 2 2 4" xfId="29071"/>
    <cellStyle name="Standaard 26 2 3 3 2 3" xfId="29072"/>
    <cellStyle name="Standaard 26 2 3 3 2 3 2" xfId="29073"/>
    <cellStyle name="Standaard 26 2 3 3 2 3 2 2" xfId="29074"/>
    <cellStyle name="Standaard 26 2 3 3 2 3 3" xfId="29075"/>
    <cellStyle name="Standaard 26 2 3 3 2 4" xfId="29076"/>
    <cellStyle name="Standaard 26 2 3 3 2 4 2" xfId="29077"/>
    <cellStyle name="Standaard 26 2 3 3 2 5" xfId="29078"/>
    <cellStyle name="Standaard 26 2 3 3 2 6" xfId="29079"/>
    <cellStyle name="Standaard 26 2 3 3 3" xfId="29080"/>
    <cellStyle name="Standaard 26 2 3 3 3 2" xfId="29081"/>
    <cellStyle name="Standaard 26 2 3 3 3 2 2" xfId="29082"/>
    <cellStyle name="Standaard 26 2 3 3 3 2 2 2" xfId="29083"/>
    <cellStyle name="Standaard 26 2 3 3 3 2 3" xfId="29084"/>
    <cellStyle name="Standaard 26 2 3 3 3 3" xfId="29085"/>
    <cellStyle name="Standaard 26 2 3 3 3 3 2" xfId="29086"/>
    <cellStyle name="Standaard 26 2 3 3 3 4" xfId="29087"/>
    <cellStyle name="Standaard 26 2 3 3 4" xfId="29088"/>
    <cellStyle name="Standaard 26 2 3 3 4 2" xfId="29089"/>
    <cellStyle name="Standaard 26 2 3 3 4 2 2" xfId="29090"/>
    <cellStyle name="Standaard 26 2 3 3 4 3" xfId="29091"/>
    <cellStyle name="Standaard 26 2 3 3 5" xfId="29092"/>
    <cellStyle name="Standaard 26 2 3 3 5 2" xfId="29093"/>
    <cellStyle name="Standaard 26 2 3 3 6" xfId="29094"/>
    <cellStyle name="Standaard 26 2 3 3 7" xfId="29095"/>
    <cellStyle name="Standaard 26 2 3 4" xfId="29096"/>
    <cellStyle name="Standaard 26 2 3 4 2" xfId="29097"/>
    <cellStyle name="Standaard 26 2 3 4 2 2" xfId="29098"/>
    <cellStyle name="Standaard 26 2 3 4 2 2 2" xfId="29099"/>
    <cellStyle name="Standaard 26 2 3 4 2 2 2 2" xfId="29100"/>
    <cellStyle name="Standaard 26 2 3 4 2 2 3" xfId="29101"/>
    <cellStyle name="Standaard 26 2 3 4 2 3" xfId="29102"/>
    <cellStyle name="Standaard 26 2 3 4 2 3 2" xfId="29103"/>
    <cellStyle name="Standaard 26 2 3 4 2 4" xfId="29104"/>
    <cellStyle name="Standaard 26 2 3 4 3" xfId="29105"/>
    <cellStyle name="Standaard 26 2 3 4 3 2" xfId="29106"/>
    <cellStyle name="Standaard 26 2 3 4 3 2 2" xfId="29107"/>
    <cellStyle name="Standaard 26 2 3 4 3 3" xfId="29108"/>
    <cellStyle name="Standaard 26 2 3 4 4" xfId="29109"/>
    <cellStyle name="Standaard 26 2 3 4 4 2" xfId="29110"/>
    <cellStyle name="Standaard 26 2 3 4 5" xfId="29111"/>
    <cellStyle name="Standaard 26 2 3 4 6" xfId="29112"/>
    <cellStyle name="Standaard 26 2 3 5" xfId="29113"/>
    <cellStyle name="Standaard 26 2 3 5 2" xfId="29114"/>
    <cellStyle name="Standaard 26 2 3 5 2 2" xfId="29115"/>
    <cellStyle name="Standaard 26 2 3 5 2 2 2" xfId="29116"/>
    <cellStyle name="Standaard 26 2 3 5 2 3" xfId="29117"/>
    <cellStyle name="Standaard 26 2 3 5 3" xfId="29118"/>
    <cellStyle name="Standaard 26 2 3 5 3 2" xfId="29119"/>
    <cellStyle name="Standaard 26 2 3 5 4" xfId="29120"/>
    <cellStyle name="Standaard 26 2 3 6" xfId="29121"/>
    <cellStyle name="Standaard 26 2 3 6 2" xfId="29122"/>
    <cellStyle name="Standaard 26 2 3 6 2 2" xfId="29123"/>
    <cellStyle name="Standaard 26 2 3 6 3" xfId="29124"/>
    <cellStyle name="Standaard 26 2 3 7" xfId="29125"/>
    <cellStyle name="Standaard 26 2 3 7 2" xfId="29126"/>
    <cellStyle name="Standaard 26 2 3 8" xfId="29127"/>
    <cellStyle name="Standaard 26 2 3 9" xfId="29128"/>
    <cellStyle name="Standaard 26 2 4" xfId="29129"/>
    <cellStyle name="Standaard 26 2 4 2" xfId="29130"/>
    <cellStyle name="Standaard 26 2 4 2 2" xfId="29131"/>
    <cellStyle name="Standaard 26 2 4 2 2 2" xfId="29132"/>
    <cellStyle name="Standaard 26 2 4 2 2 2 2" xfId="29133"/>
    <cellStyle name="Standaard 26 2 4 2 2 2 2 2" xfId="29134"/>
    <cellStyle name="Standaard 26 2 4 2 2 2 2 2 2" xfId="29135"/>
    <cellStyle name="Standaard 26 2 4 2 2 2 2 3" xfId="29136"/>
    <cellStyle name="Standaard 26 2 4 2 2 2 3" xfId="29137"/>
    <cellStyle name="Standaard 26 2 4 2 2 2 3 2" xfId="29138"/>
    <cellStyle name="Standaard 26 2 4 2 2 2 4" xfId="29139"/>
    <cellStyle name="Standaard 26 2 4 2 2 3" xfId="29140"/>
    <cellStyle name="Standaard 26 2 4 2 2 3 2" xfId="29141"/>
    <cellStyle name="Standaard 26 2 4 2 2 3 2 2" xfId="29142"/>
    <cellStyle name="Standaard 26 2 4 2 2 3 3" xfId="29143"/>
    <cellStyle name="Standaard 26 2 4 2 2 4" xfId="29144"/>
    <cellStyle name="Standaard 26 2 4 2 2 4 2" xfId="29145"/>
    <cellStyle name="Standaard 26 2 4 2 2 5" xfId="29146"/>
    <cellStyle name="Standaard 26 2 4 2 2 6" xfId="29147"/>
    <cellStyle name="Standaard 26 2 4 2 3" xfId="29148"/>
    <cellStyle name="Standaard 26 2 4 2 3 2" xfId="29149"/>
    <cellStyle name="Standaard 26 2 4 2 3 2 2" xfId="29150"/>
    <cellStyle name="Standaard 26 2 4 2 3 2 2 2" xfId="29151"/>
    <cellStyle name="Standaard 26 2 4 2 3 2 3" xfId="29152"/>
    <cellStyle name="Standaard 26 2 4 2 3 3" xfId="29153"/>
    <cellStyle name="Standaard 26 2 4 2 3 3 2" xfId="29154"/>
    <cellStyle name="Standaard 26 2 4 2 3 4" xfId="29155"/>
    <cellStyle name="Standaard 26 2 4 2 4" xfId="29156"/>
    <cellStyle name="Standaard 26 2 4 2 4 2" xfId="29157"/>
    <cellStyle name="Standaard 26 2 4 2 4 2 2" xfId="29158"/>
    <cellStyle name="Standaard 26 2 4 2 4 3" xfId="29159"/>
    <cellStyle name="Standaard 26 2 4 2 5" xfId="29160"/>
    <cellStyle name="Standaard 26 2 4 2 5 2" xfId="29161"/>
    <cellStyle name="Standaard 26 2 4 2 6" xfId="29162"/>
    <cellStyle name="Standaard 26 2 4 2 7" xfId="29163"/>
    <cellStyle name="Standaard 26 2 4 3" xfId="29164"/>
    <cellStyle name="Standaard 26 2 4 3 2" xfId="29165"/>
    <cellStyle name="Standaard 26 2 4 3 2 2" xfId="29166"/>
    <cellStyle name="Standaard 26 2 4 3 2 2 2" xfId="29167"/>
    <cellStyle name="Standaard 26 2 4 3 2 2 2 2" xfId="29168"/>
    <cellStyle name="Standaard 26 2 4 3 2 2 3" xfId="29169"/>
    <cellStyle name="Standaard 26 2 4 3 2 3" xfId="29170"/>
    <cellStyle name="Standaard 26 2 4 3 2 3 2" xfId="29171"/>
    <cellStyle name="Standaard 26 2 4 3 2 4" xfId="29172"/>
    <cellStyle name="Standaard 26 2 4 3 3" xfId="29173"/>
    <cellStyle name="Standaard 26 2 4 3 3 2" xfId="29174"/>
    <cellStyle name="Standaard 26 2 4 3 3 2 2" xfId="29175"/>
    <cellStyle name="Standaard 26 2 4 3 3 3" xfId="29176"/>
    <cellStyle name="Standaard 26 2 4 3 4" xfId="29177"/>
    <cellStyle name="Standaard 26 2 4 3 4 2" xfId="29178"/>
    <cellStyle name="Standaard 26 2 4 3 5" xfId="29179"/>
    <cellStyle name="Standaard 26 2 4 3 6" xfId="29180"/>
    <cellStyle name="Standaard 26 2 4 4" xfId="29181"/>
    <cellStyle name="Standaard 26 2 4 4 2" xfId="29182"/>
    <cellStyle name="Standaard 26 2 4 4 2 2" xfId="29183"/>
    <cellStyle name="Standaard 26 2 4 4 2 2 2" xfId="29184"/>
    <cellStyle name="Standaard 26 2 4 4 2 3" xfId="29185"/>
    <cellStyle name="Standaard 26 2 4 4 3" xfId="29186"/>
    <cellStyle name="Standaard 26 2 4 4 3 2" xfId="29187"/>
    <cellStyle name="Standaard 26 2 4 4 4" xfId="29188"/>
    <cellStyle name="Standaard 26 2 4 5" xfId="29189"/>
    <cellStyle name="Standaard 26 2 4 5 2" xfId="29190"/>
    <cellStyle name="Standaard 26 2 4 5 2 2" xfId="29191"/>
    <cellStyle name="Standaard 26 2 4 5 3" xfId="29192"/>
    <cellStyle name="Standaard 26 2 4 6" xfId="29193"/>
    <cellStyle name="Standaard 26 2 4 6 2" xfId="29194"/>
    <cellStyle name="Standaard 26 2 4 7" xfId="29195"/>
    <cellStyle name="Standaard 26 2 4 8" xfId="29196"/>
    <cellStyle name="Standaard 26 2 5" xfId="29197"/>
    <cellStyle name="Standaard 26 2 5 2" xfId="29198"/>
    <cellStyle name="Standaard 26 2 5 2 2" xfId="29199"/>
    <cellStyle name="Standaard 26 2 5 2 2 2" xfId="29200"/>
    <cellStyle name="Standaard 26 2 5 2 2 2 2" xfId="29201"/>
    <cellStyle name="Standaard 26 2 5 2 2 2 2 2" xfId="29202"/>
    <cellStyle name="Standaard 26 2 5 2 2 2 2 2 2" xfId="29203"/>
    <cellStyle name="Standaard 26 2 5 2 2 2 2 3" xfId="29204"/>
    <cellStyle name="Standaard 26 2 5 2 2 2 3" xfId="29205"/>
    <cellStyle name="Standaard 26 2 5 2 2 2 3 2" xfId="29206"/>
    <cellStyle name="Standaard 26 2 5 2 2 2 4" xfId="29207"/>
    <cellStyle name="Standaard 26 2 5 2 2 3" xfId="29208"/>
    <cellStyle name="Standaard 26 2 5 2 2 3 2" xfId="29209"/>
    <cellStyle name="Standaard 26 2 5 2 2 3 2 2" xfId="29210"/>
    <cellStyle name="Standaard 26 2 5 2 2 3 3" xfId="29211"/>
    <cellStyle name="Standaard 26 2 5 2 2 4" xfId="29212"/>
    <cellStyle name="Standaard 26 2 5 2 2 4 2" xfId="29213"/>
    <cellStyle name="Standaard 26 2 5 2 2 5" xfId="29214"/>
    <cellStyle name="Standaard 26 2 5 2 2 6" xfId="29215"/>
    <cellStyle name="Standaard 26 2 5 2 3" xfId="29216"/>
    <cellStyle name="Standaard 26 2 5 2 3 2" xfId="29217"/>
    <cellStyle name="Standaard 26 2 5 2 3 2 2" xfId="29218"/>
    <cellStyle name="Standaard 26 2 5 2 3 2 2 2" xfId="29219"/>
    <cellStyle name="Standaard 26 2 5 2 3 2 3" xfId="29220"/>
    <cellStyle name="Standaard 26 2 5 2 3 3" xfId="29221"/>
    <cellStyle name="Standaard 26 2 5 2 3 3 2" xfId="29222"/>
    <cellStyle name="Standaard 26 2 5 2 3 4" xfId="29223"/>
    <cellStyle name="Standaard 26 2 5 2 4" xfId="29224"/>
    <cellStyle name="Standaard 26 2 5 2 4 2" xfId="29225"/>
    <cellStyle name="Standaard 26 2 5 2 4 2 2" xfId="29226"/>
    <cellStyle name="Standaard 26 2 5 2 4 3" xfId="29227"/>
    <cellStyle name="Standaard 26 2 5 2 5" xfId="29228"/>
    <cellStyle name="Standaard 26 2 5 2 5 2" xfId="29229"/>
    <cellStyle name="Standaard 26 2 5 2 6" xfId="29230"/>
    <cellStyle name="Standaard 26 2 5 2 7" xfId="29231"/>
    <cellStyle name="Standaard 26 2 5 3" xfId="29232"/>
    <cellStyle name="Standaard 26 2 5 3 2" xfId="29233"/>
    <cellStyle name="Standaard 26 2 5 3 2 2" xfId="29234"/>
    <cellStyle name="Standaard 26 2 5 3 2 2 2" xfId="29235"/>
    <cellStyle name="Standaard 26 2 5 3 2 2 2 2" xfId="29236"/>
    <cellStyle name="Standaard 26 2 5 3 2 2 3" xfId="29237"/>
    <cellStyle name="Standaard 26 2 5 3 2 3" xfId="29238"/>
    <cellStyle name="Standaard 26 2 5 3 2 3 2" xfId="29239"/>
    <cellStyle name="Standaard 26 2 5 3 2 4" xfId="29240"/>
    <cellStyle name="Standaard 26 2 5 3 3" xfId="29241"/>
    <cellStyle name="Standaard 26 2 5 3 3 2" xfId="29242"/>
    <cellStyle name="Standaard 26 2 5 3 3 2 2" xfId="29243"/>
    <cellStyle name="Standaard 26 2 5 3 3 3" xfId="29244"/>
    <cellStyle name="Standaard 26 2 5 3 4" xfId="29245"/>
    <cellStyle name="Standaard 26 2 5 3 4 2" xfId="29246"/>
    <cellStyle name="Standaard 26 2 5 3 5" xfId="29247"/>
    <cellStyle name="Standaard 26 2 5 3 6" xfId="29248"/>
    <cellStyle name="Standaard 26 2 5 4" xfId="29249"/>
    <cellStyle name="Standaard 26 2 5 4 2" xfId="29250"/>
    <cellStyle name="Standaard 26 2 5 4 2 2" xfId="29251"/>
    <cellStyle name="Standaard 26 2 5 4 2 2 2" xfId="29252"/>
    <cellStyle name="Standaard 26 2 5 4 2 3" xfId="29253"/>
    <cellStyle name="Standaard 26 2 5 4 3" xfId="29254"/>
    <cellStyle name="Standaard 26 2 5 4 3 2" xfId="29255"/>
    <cellStyle name="Standaard 26 2 5 4 4" xfId="29256"/>
    <cellStyle name="Standaard 26 2 5 5" xfId="29257"/>
    <cellStyle name="Standaard 26 2 5 5 2" xfId="29258"/>
    <cellStyle name="Standaard 26 2 5 5 2 2" xfId="29259"/>
    <cellStyle name="Standaard 26 2 5 5 3" xfId="29260"/>
    <cellStyle name="Standaard 26 2 5 6" xfId="29261"/>
    <cellStyle name="Standaard 26 2 5 6 2" xfId="29262"/>
    <cellStyle name="Standaard 26 2 5 7" xfId="29263"/>
    <cellStyle name="Standaard 26 2 5 8" xfId="29264"/>
    <cellStyle name="Standaard 26 2 6" xfId="29265"/>
    <cellStyle name="Standaard 26 2 6 2" xfId="29266"/>
    <cellStyle name="Standaard 26 2 6 2 2" xfId="29267"/>
    <cellStyle name="Standaard 26 2 6 2 2 2" xfId="29268"/>
    <cellStyle name="Standaard 26 2 6 2 2 2 2" xfId="29269"/>
    <cellStyle name="Standaard 26 2 6 2 2 2 2 2" xfId="29270"/>
    <cellStyle name="Standaard 26 2 6 2 2 2 3" xfId="29271"/>
    <cellStyle name="Standaard 26 2 6 2 2 3" xfId="29272"/>
    <cellStyle name="Standaard 26 2 6 2 2 3 2" xfId="29273"/>
    <cellStyle name="Standaard 26 2 6 2 2 4" xfId="29274"/>
    <cellStyle name="Standaard 26 2 6 2 3" xfId="29275"/>
    <cellStyle name="Standaard 26 2 6 2 3 2" xfId="29276"/>
    <cellStyle name="Standaard 26 2 6 2 3 2 2" xfId="29277"/>
    <cellStyle name="Standaard 26 2 6 2 3 3" xfId="29278"/>
    <cellStyle name="Standaard 26 2 6 2 4" xfId="29279"/>
    <cellStyle name="Standaard 26 2 6 2 4 2" xfId="29280"/>
    <cellStyle name="Standaard 26 2 6 2 5" xfId="29281"/>
    <cellStyle name="Standaard 26 2 6 2 6" xfId="29282"/>
    <cellStyle name="Standaard 26 2 6 3" xfId="29283"/>
    <cellStyle name="Standaard 26 2 6 3 2" xfId="29284"/>
    <cellStyle name="Standaard 26 2 6 3 2 2" xfId="29285"/>
    <cellStyle name="Standaard 26 2 6 3 2 2 2" xfId="29286"/>
    <cellStyle name="Standaard 26 2 6 3 2 3" xfId="29287"/>
    <cellStyle name="Standaard 26 2 6 3 3" xfId="29288"/>
    <cellStyle name="Standaard 26 2 6 3 3 2" xfId="29289"/>
    <cellStyle name="Standaard 26 2 6 3 4" xfId="29290"/>
    <cellStyle name="Standaard 26 2 6 4" xfId="29291"/>
    <cellStyle name="Standaard 26 2 6 4 2" xfId="29292"/>
    <cellStyle name="Standaard 26 2 6 4 2 2" xfId="29293"/>
    <cellStyle name="Standaard 26 2 6 4 3" xfId="29294"/>
    <cellStyle name="Standaard 26 2 6 5" xfId="29295"/>
    <cellStyle name="Standaard 26 2 6 5 2" xfId="29296"/>
    <cellStyle name="Standaard 26 2 6 6" xfId="29297"/>
    <cellStyle name="Standaard 26 2 6 7" xfId="29298"/>
    <cellStyle name="Standaard 26 2 7" xfId="29299"/>
    <cellStyle name="Standaard 26 2 7 2" xfId="29300"/>
    <cellStyle name="Standaard 26 2 7 2 2" xfId="29301"/>
    <cellStyle name="Standaard 26 2 7 2 2 2" xfId="29302"/>
    <cellStyle name="Standaard 26 2 7 2 2 2 2" xfId="29303"/>
    <cellStyle name="Standaard 26 2 7 2 2 3" xfId="29304"/>
    <cellStyle name="Standaard 26 2 7 2 3" xfId="29305"/>
    <cellStyle name="Standaard 26 2 7 2 3 2" xfId="29306"/>
    <cellStyle name="Standaard 26 2 7 2 4" xfId="29307"/>
    <cellStyle name="Standaard 26 2 7 3" xfId="29308"/>
    <cellStyle name="Standaard 26 2 7 3 2" xfId="29309"/>
    <cellStyle name="Standaard 26 2 7 3 2 2" xfId="29310"/>
    <cellStyle name="Standaard 26 2 7 3 3" xfId="29311"/>
    <cellStyle name="Standaard 26 2 7 4" xfId="29312"/>
    <cellStyle name="Standaard 26 2 7 4 2" xfId="29313"/>
    <cellStyle name="Standaard 26 2 7 5" xfId="29314"/>
    <cellStyle name="Standaard 26 2 7 6" xfId="29315"/>
    <cellStyle name="Standaard 26 2 8" xfId="29316"/>
    <cellStyle name="Standaard 26 2 8 2" xfId="29317"/>
    <cellStyle name="Standaard 26 2 8 2 2" xfId="29318"/>
    <cellStyle name="Standaard 26 2 8 2 2 2" xfId="29319"/>
    <cellStyle name="Standaard 26 2 8 2 3" xfId="29320"/>
    <cellStyle name="Standaard 26 2 8 3" xfId="29321"/>
    <cellStyle name="Standaard 26 2 8 3 2" xfId="29322"/>
    <cellStyle name="Standaard 26 2 8 4" xfId="29323"/>
    <cellStyle name="Standaard 26 2 9" xfId="29324"/>
    <cellStyle name="Standaard 26 2 9 2" xfId="29325"/>
    <cellStyle name="Standaard 26 2 9 2 2" xfId="29326"/>
    <cellStyle name="Standaard 26 2 9 3" xfId="29327"/>
    <cellStyle name="Standaard 26 3" xfId="29328"/>
    <cellStyle name="Standaard 26 3 10" xfId="29329"/>
    <cellStyle name="Standaard 26 3 11" xfId="29330"/>
    <cellStyle name="Standaard 26 3 2" xfId="29331"/>
    <cellStyle name="Standaard 26 3 2 2" xfId="29332"/>
    <cellStyle name="Standaard 26 3 2 2 2" xfId="29333"/>
    <cellStyle name="Standaard 26 3 2 2 2 2" xfId="29334"/>
    <cellStyle name="Standaard 26 3 2 2 2 2 2" xfId="29335"/>
    <cellStyle name="Standaard 26 3 2 2 2 2 2 2" xfId="29336"/>
    <cellStyle name="Standaard 26 3 2 2 2 2 2 2 2" xfId="29337"/>
    <cellStyle name="Standaard 26 3 2 2 2 2 2 2 2 2" xfId="29338"/>
    <cellStyle name="Standaard 26 3 2 2 2 2 2 2 3" xfId="29339"/>
    <cellStyle name="Standaard 26 3 2 2 2 2 2 3" xfId="29340"/>
    <cellStyle name="Standaard 26 3 2 2 2 2 2 3 2" xfId="29341"/>
    <cellStyle name="Standaard 26 3 2 2 2 2 2 4" xfId="29342"/>
    <cellStyle name="Standaard 26 3 2 2 2 2 3" xfId="29343"/>
    <cellStyle name="Standaard 26 3 2 2 2 2 3 2" xfId="29344"/>
    <cellStyle name="Standaard 26 3 2 2 2 2 3 2 2" xfId="29345"/>
    <cellStyle name="Standaard 26 3 2 2 2 2 3 3" xfId="29346"/>
    <cellStyle name="Standaard 26 3 2 2 2 2 4" xfId="29347"/>
    <cellStyle name="Standaard 26 3 2 2 2 2 4 2" xfId="29348"/>
    <cellStyle name="Standaard 26 3 2 2 2 2 5" xfId="29349"/>
    <cellStyle name="Standaard 26 3 2 2 2 2 6" xfId="29350"/>
    <cellStyle name="Standaard 26 3 2 2 2 3" xfId="29351"/>
    <cellStyle name="Standaard 26 3 2 2 2 3 2" xfId="29352"/>
    <cellStyle name="Standaard 26 3 2 2 2 3 2 2" xfId="29353"/>
    <cellStyle name="Standaard 26 3 2 2 2 3 2 2 2" xfId="29354"/>
    <cellStyle name="Standaard 26 3 2 2 2 3 2 3" xfId="29355"/>
    <cellStyle name="Standaard 26 3 2 2 2 3 3" xfId="29356"/>
    <cellStyle name="Standaard 26 3 2 2 2 3 3 2" xfId="29357"/>
    <cellStyle name="Standaard 26 3 2 2 2 3 4" xfId="29358"/>
    <cellStyle name="Standaard 26 3 2 2 2 4" xfId="29359"/>
    <cellStyle name="Standaard 26 3 2 2 2 4 2" xfId="29360"/>
    <cellStyle name="Standaard 26 3 2 2 2 4 2 2" xfId="29361"/>
    <cellStyle name="Standaard 26 3 2 2 2 4 3" xfId="29362"/>
    <cellStyle name="Standaard 26 3 2 2 2 5" xfId="29363"/>
    <cellStyle name="Standaard 26 3 2 2 2 5 2" xfId="29364"/>
    <cellStyle name="Standaard 26 3 2 2 2 6" xfId="29365"/>
    <cellStyle name="Standaard 26 3 2 2 2 7" xfId="29366"/>
    <cellStyle name="Standaard 26 3 2 2 3" xfId="29367"/>
    <cellStyle name="Standaard 26 3 2 2 3 2" xfId="29368"/>
    <cellStyle name="Standaard 26 3 2 2 3 2 2" xfId="29369"/>
    <cellStyle name="Standaard 26 3 2 2 3 2 2 2" xfId="29370"/>
    <cellStyle name="Standaard 26 3 2 2 3 2 2 2 2" xfId="29371"/>
    <cellStyle name="Standaard 26 3 2 2 3 2 2 3" xfId="29372"/>
    <cellStyle name="Standaard 26 3 2 2 3 2 3" xfId="29373"/>
    <cellStyle name="Standaard 26 3 2 2 3 2 3 2" xfId="29374"/>
    <cellStyle name="Standaard 26 3 2 2 3 2 4" xfId="29375"/>
    <cellStyle name="Standaard 26 3 2 2 3 3" xfId="29376"/>
    <cellStyle name="Standaard 26 3 2 2 3 3 2" xfId="29377"/>
    <cellStyle name="Standaard 26 3 2 2 3 3 2 2" xfId="29378"/>
    <cellStyle name="Standaard 26 3 2 2 3 3 3" xfId="29379"/>
    <cellStyle name="Standaard 26 3 2 2 3 4" xfId="29380"/>
    <cellStyle name="Standaard 26 3 2 2 3 4 2" xfId="29381"/>
    <cellStyle name="Standaard 26 3 2 2 3 5" xfId="29382"/>
    <cellStyle name="Standaard 26 3 2 2 3 6" xfId="29383"/>
    <cellStyle name="Standaard 26 3 2 2 4" xfId="29384"/>
    <cellStyle name="Standaard 26 3 2 2 4 2" xfId="29385"/>
    <cellStyle name="Standaard 26 3 2 2 4 2 2" xfId="29386"/>
    <cellStyle name="Standaard 26 3 2 2 4 2 2 2" xfId="29387"/>
    <cellStyle name="Standaard 26 3 2 2 4 2 3" xfId="29388"/>
    <cellStyle name="Standaard 26 3 2 2 4 3" xfId="29389"/>
    <cellStyle name="Standaard 26 3 2 2 4 3 2" xfId="29390"/>
    <cellStyle name="Standaard 26 3 2 2 4 4" xfId="29391"/>
    <cellStyle name="Standaard 26 3 2 2 5" xfId="29392"/>
    <cellStyle name="Standaard 26 3 2 2 5 2" xfId="29393"/>
    <cellStyle name="Standaard 26 3 2 2 5 2 2" xfId="29394"/>
    <cellStyle name="Standaard 26 3 2 2 5 3" xfId="29395"/>
    <cellStyle name="Standaard 26 3 2 2 6" xfId="29396"/>
    <cellStyle name="Standaard 26 3 2 2 6 2" xfId="29397"/>
    <cellStyle name="Standaard 26 3 2 2 7" xfId="29398"/>
    <cellStyle name="Standaard 26 3 2 2 8" xfId="29399"/>
    <cellStyle name="Standaard 26 3 2 3" xfId="29400"/>
    <cellStyle name="Standaard 26 3 2 3 2" xfId="29401"/>
    <cellStyle name="Standaard 26 3 2 3 2 2" xfId="29402"/>
    <cellStyle name="Standaard 26 3 2 3 2 2 2" xfId="29403"/>
    <cellStyle name="Standaard 26 3 2 3 2 2 2 2" xfId="29404"/>
    <cellStyle name="Standaard 26 3 2 3 2 2 2 2 2" xfId="29405"/>
    <cellStyle name="Standaard 26 3 2 3 2 2 2 3" xfId="29406"/>
    <cellStyle name="Standaard 26 3 2 3 2 2 3" xfId="29407"/>
    <cellStyle name="Standaard 26 3 2 3 2 2 3 2" xfId="29408"/>
    <cellStyle name="Standaard 26 3 2 3 2 2 4" xfId="29409"/>
    <cellStyle name="Standaard 26 3 2 3 2 3" xfId="29410"/>
    <cellStyle name="Standaard 26 3 2 3 2 3 2" xfId="29411"/>
    <cellStyle name="Standaard 26 3 2 3 2 3 2 2" xfId="29412"/>
    <cellStyle name="Standaard 26 3 2 3 2 3 3" xfId="29413"/>
    <cellStyle name="Standaard 26 3 2 3 2 4" xfId="29414"/>
    <cellStyle name="Standaard 26 3 2 3 2 4 2" xfId="29415"/>
    <cellStyle name="Standaard 26 3 2 3 2 5" xfId="29416"/>
    <cellStyle name="Standaard 26 3 2 3 2 6" xfId="29417"/>
    <cellStyle name="Standaard 26 3 2 3 3" xfId="29418"/>
    <cellStyle name="Standaard 26 3 2 3 3 2" xfId="29419"/>
    <cellStyle name="Standaard 26 3 2 3 3 2 2" xfId="29420"/>
    <cellStyle name="Standaard 26 3 2 3 3 2 2 2" xfId="29421"/>
    <cellStyle name="Standaard 26 3 2 3 3 2 3" xfId="29422"/>
    <cellStyle name="Standaard 26 3 2 3 3 3" xfId="29423"/>
    <cellStyle name="Standaard 26 3 2 3 3 3 2" xfId="29424"/>
    <cellStyle name="Standaard 26 3 2 3 3 4" xfId="29425"/>
    <cellStyle name="Standaard 26 3 2 3 4" xfId="29426"/>
    <cellStyle name="Standaard 26 3 2 3 4 2" xfId="29427"/>
    <cellStyle name="Standaard 26 3 2 3 4 2 2" xfId="29428"/>
    <cellStyle name="Standaard 26 3 2 3 4 3" xfId="29429"/>
    <cellStyle name="Standaard 26 3 2 3 5" xfId="29430"/>
    <cellStyle name="Standaard 26 3 2 3 5 2" xfId="29431"/>
    <cellStyle name="Standaard 26 3 2 3 6" xfId="29432"/>
    <cellStyle name="Standaard 26 3 2 3 7" xfId="29433"/>
    <cellStyle name="Standaard 26 3 2 4" xfId="29434"/>
    <cellStyle name="Standaard 26 3 2 4 2" xfId="29435"/>
    <cellStyle name="Standaard 26 3 2 4 2 2" xfId="29436"/>
    <cellStyle name="Standaard 26 3 2 4 2 2 2" xfId="29437"/>
    <cellStyle name="Standaard 26 3 2 4 2 2 2 2" xfId="29438"/>
    <cellStyle name="Standaard 26 3 2 4 2 2 3" xfId="29439"/>
    <cellStyle name="Standaard 26 3 2 4 2 3" xfId="29440"/>
    <cellStyle name="Standaard 26 3 2 4 2 3 2" xfId="29441"/>
    <cellStyle name="Standaard 26 3 2 4 2 4" xfId="29442"/>
    <cellStyle name="Standaard 26 3 2 4 3" xfId="29443"/>
    <cellStyle name="Standaard 26 3 2 4 3 2" xfId="29444"/>
    <cellStyle name="Standaard 26 3 2 4 3 2 2" xfId="29445"/>
    <cellStyle name="Standaard 26 3 2 4 3 3" xfId="29446"/>
    <cellStyle name="Standaard 26 3 2 4 4" xfId="29447"/>
    <cellStyle name="Standaard 26 3 2 4 4 2" xfId="29448"/>
    <cellStyle name="Standaard 26 3 2 4 5" xfId="29449"/>
    <cellStyle name="Standaard 26 3 2 4 6" xfId="29450"/>
    <cellStyle name="Standaard 26 3 2 5" xfId="29451"/>
    <cellStyle name="Standaard 26 3 2 5 2" xfId="29452"/>
    <cellStyle name="Standaard 26 3 2 5 2 2" xfId="29453"/>
    <cellStyle name="Standaard 26 3 2 5 2 2 2" xfId="29454"/>
    <cellStyle name="Standaard 26 3 2 5 2 3" xfId="29455"/>
    <cellStyle name="Standaard 26 3 2 5 3" xfId="29456"/>
    <cellStyle name="Standaard 26 3 2 5 3 2" xfId="29457"/>
    <cellStyle name="Standaard 26 3 2 5 4" xfId="29458"/>
    <cellStyle name="Standaard 26 3 2 6" xfId="29459"/>
    <cellStyle name="Standaard 26 3 2 6 2" xfId="29460"/>
    <cellStyle name="Standaard 26 3 2 6 2 2" xfId="29461"/>
    <cellStyle name="Standaard 26 3 2 6 3" xfId="29462"/>
    <cellStyle name="Standaard 26 3 2 7" xfId="29463"/>
    <cellStyle name="Standaard 26 3 2 7 2" xfId="29464"/>
    <cellStyle name="Standaard 26 3 2 8" xfId="29465"/>
    <cellStyle name="Standaard 26 3 2 9" xfId="29466"/>
    <cellStyle name="Standaard 26 3 3" xfId="29467"/>
    <cellStyle name="Standaard 26 3 3 2" xfId="29468"/>
    <cellStyle name="Standaard 26 3 3 2 2" xfId="29469"/>
    <cellStyle name="Standaard 26 3 3 2 2 2" xfId="29470"/>
    <cellStyle name="Standaard 26 3 3 2 2 2 2" xfId="29471"/>
    <cellStyle name="Standaard 26 3 3 2 2 2 2 2" xfId="29472"/>
    <cellStyle name="Standaard 26 3 3 2 2 2 2 2 2" xfId="29473"/>
    <cellStyle name="Standaard 26 3 3 2 2 2 2 3" xfId="29474"/>
    <cellStyle name="Standaard 26 3 3 2 2 2 3" xfId="29475"/>
    <cellStyle name="Standaard 26 3 3 2 2 2 3 2" xfId="29476"/>
    <cellStyle name="Standaard 26 3 3 2 2 2 4" xfId="29477"/>
    <cellStyle name="Standaard 26 3 3 2 2 3" xfId="29478"/>
    <cellStyle name="Standaard 26 3 3 2 2 3 2" xfId="29479"/>
    <cellStyle name="Standaard 26 3 3 2 2 3 2 2" xfId="29480"/>
    <cellStyle name="Standaard 26 3 3 2 2 3 3" xfId="29481"/>
    <cellStyle name="Standaard 26 3 3 2 2 4" xfId="29482"/>
    <cellStyle name="Standaard 26 3 3 2 2 4 2" xfId="29483"/>
    <cellStyle name="Standaard 26 3 3 2 2 5" xfId="29484"/>
    <cellStyle name="Standaard 26 3 3 2 2 6" xfId="29485"/>
    <cellStyle name="Standaard 26 3 3 2 3" xfId="29486"/>
    <cellStyle name="Standaard 26 3 3 2 3 2" xfId="29487"/>
    <cellStyle name="Standaard 26 3 3 2 3 2 2" xfId="29488"/>
    <cellStyle name="Standaard 26 3 3 2 3 2 2 2" xfId="29489"/>
    <cellStyle name="Standaard 26 3 3 2 3 2 3" xfId="29490"/>
    <cellStyle name="Standaard 26 3 3 2 3 3" xfId="29491"/>
    <cellStyle name="Standaard 26 3 3 2 3 3 2" xfId="29492"/>
    <cellStyle name="Standaard 26 3 3 2 3 4" xfId="29493"/>
    <cellStyle name="Standaard 26 3 3 2 4" xfId="29494"/>
    <cellStyle name="Standaard 26 3 3 2 4 2" xfId="29495"/>
    <cellStyle name="Standaard 26 3 3 2 4 2 2" xfId="29496"/>
    <cellStyle name="Standaard 26 3 3 2 4 3" xfId="29497"/>
    <cellStyle name="Standaard 26 3 3 2 5" xfId="29498"/>
    <cellStyle name="Standaard 26 3 3 2 5 2" xfId="29499"/>
    <cellStyle name="Standaard 26 3 3 2 6" xfId="29500"/>
    <cellStyle name="Standaard 26 3 3 2 7" xfId="29501"/>
    <cellStyle name="Standaard 26 3 3 3" xfId="29502"/>
    <cellStyle name="Standaard 26 3 3 3 2" xfId="29503"/>
    <cellStyle name="Standaard 26 3 3 3 2 2" xfId="29504"/>
    <cellStyle name="Standaard 26 3 3 3 2 2 2" xfId="29505"/>
    <cellStyle name="Standaard 26 3 3 3 2 2 2 2" xfId="29506"/>
    <cellStyle name="Standaard 26 3 3 3 2 2 3" xfId="29507"/>
    <cellStyle name="Standaard 26 3 3 3 2 3" xfId="29508"/>
    <cellStyle name="Standaard 26 3 3 3 2 3 2" xfId="29509"/>
    <cellStyle name="Standaard 26 3 3 3 2 4" xfId="29510"/>
    <cellStyle name="Standaard 26 3 3 3 3" xfId="29511"/>
    <cellStyle name="Standaard 26 3 3 3 3 2" xfId="29512"/>
    <cellStyle name="Standaard 26 3 3 3 3 2 2" xfId="29513"/>
    <cellStyle name="Standaard 26 3 3 3 3 3" xfId="29514"/>
    <cellStyle name="Standaard 26 3 3 3 4" xfId="29515"/>
    <cellStyle name="Standaard 26 3 3 3 4 2" xfId="29516"/>
    <cellStyle name="Standaard 26 3 3 3 5" xfId="29517"/>
    <cellStyle name="Standaard 26 3 3 3 6" xfId="29518"/>
    <cellStyle name="Standaard 26 3 3 4" xfId="29519"/>
    <cellStyle name="Standaard 26 3 3 4 2" xfId="29520"/>
    <cellStyle name="Standaard 26 3 3 4 2 2" xfId="29521"/>
    <cellStyle name="Standaard 26 3 3 4 2 2 2" xfId="29522"/>
    <cellStyle name="Standaard 26 3 3 4 2 3" xfId="29523"/>
    <cellStyle name="Standaard 26 3 3 4 3" xfId="29524"/>
    <cellStyle name="Standaard 26 3 3 4 3 2" xfId="29525"/>
    <cellStyle name="Standaard 26 3 3 4 4" xfId="29526"/>
    <cellStyle name="Standaard 26 3 3 5" xfId="29527"/>
    <cellStyle name="Standaard 26 3 3 5 2" xfId="29528"/>
    <cellStyle name="Standaard 26 3 3 5 2 2" xfId="29529"/>
    <cellStyle name="Standaard 26 3 3 5 3" xfId="29530"/>
    <cellStyle name="Standaard 26 3 3 6" xfId="29531"/>
    <cellStyle name="Standaard 26 3 3 6 2" xfId="29532"/>
    <cellStyle name="Standaard 26 3 3 7" xfId="29533"/>
    <cellStyle name="Standaard 26 3 3 8" xfId="29534"/>
    <cellStyle name="Standaard 26 3 4" xfId="29535"/>
    <cellStyle name="Standaard 26 3 4 2" xfId="29536"/>
    <cellStyle name="Standaard 26 3 4 2 2" xfId="29537"/>
    <cellStyle name="Standaard 26 3 4 2 2 2" xfId="29538"/>
    <cellStyle name="Standaard 26 3 4 2 2 2 2" xfId="29539"/>
    <cellStyle name="Standaard 26 3 4 2 2 2 2 2" xfId="29540"/>
    <cellStyle name="Standaard 26 3 4 2 2 2 2 2 2" xfId="29541"/>
    <cellStyle name="Standaard 26 3 4 2 2 2 2 3" xfId="29542"/>
    <cellStyle name="Standaard 26 3 4 2 2 2 3" xfId="29543"/>
    <cellStyle name="Standaard 26 3 4 2 2 2 3 2" xfId="29544"/>
    <cellStyle name="Standaard 26 3 4 2 2 2 4" xfId="29545"/>
    <cellStyle name="Standaard 26 3 4 2 2 3" xfId="29546"/>
    <cellStyle name="Standaard 26 3 4 2 2 3 2" xfId="29547"/>
    <cellStyle name="Standaard 26 3 4 2 2 3 2 2" xfId="29548"/>
    <cellStyle name="Standaard 26 3 4 2 2 3 3" xfId="29549"/>
    <cellStyle name="Standaard 26 3 4 2 2 4" xfId="29550"/>
    <cellStyle name="Standaard 26 3 4 2 2 4 2" xfId="29551"/>
    <cellStyle name="Standaard 26 3 4 2 2 5" xfId="29552"/>
    <cellStyle name="Standaard 26 3 4 2 2 6" xfId="29553"/>
    <cellStyle name="Standaard 26 3 4 2 3" xfId="29554"/>
    <cellStyle name="Standaard 26 3 4 2 3 2" xfId="29555"/>
    <cellStyle name="Standaard 26 3 4 2 3 2 2" xfId="29556"/>
    <cellStyle name="Standaard 26 3 4 2 3 2 2 2" xfId="29557"/>
    <cellStyle name="Standaard 26 3 4 2 3 2 3" xfId="29558"/>
    <cellStyle name="Standaard 26 3 4 2 3 3" xfId="29559"/>
    <cellStyle name="Standaard 26 3 4 2 3 3 2" xfId="29560"/>
    <cellStyle name="Standaard 26 3 4 2 3 4" xfId="29561"/>
    <cellStyle name="Standaard 26 3 4 2 4" xfId="29562"/>
    <cellStyle name="Standaard 26 3 4 2 4 2" xfId="29563"/>
    <cellStyle name="Standaard 26 3 4 2 4 2 2" xfId="29564"/>
    <cellStyle name="Standaard 26 3 4 2 4 3" xfId="29565"/>
    <cellStyle name="Standaard 26 3 4 2 5" xfId="29566"/>
    <cellStyle name="Standaard 26 3 4 2 5 2" xfId="29567"/>
    <cellStyle name="Standaard 26 3 4 2 6" xfId="29568"/>
    <cellStyle name="Standaard 26 3 4 2 7" xfId="29569"/>
    <cellStyle name="Standaard 26 3 4 3" xfId="29570"/>
    <cellStyle name="Standaard 26 3 4 3 2" xfId="29571"/>
    <cellStyle name="Standaard 26 3 4 3 2 2" xfId="29572"/>
    <cellStyle name="Standaard 26 3 4 3 2 2 2" xfId="29573"/>
    <cellStyle name="Standaard 26 3 4 3 2 2 2 2" xfId="29574"/>
    <cellStyle name="Standaard 26 3 4 3 2 2 3" xfId="29575"/>
    <cellStyle name="Standaard 26 3 4 3 2 3" xfId="29576"/>
    <cellStyle name="Standaard 26 3 4 3 2 3 2" xfId="29577"/>
    <cellStyle name="Standaard 26 3 4 3 2 4" xfId="29578"/>
    <cellStyle name="Standaard 26 3 4 3 3" xfId="29579"/>
    <cellStyle name="Standaard 26 3 4 3 3 2" xfId="29580"/>
    <cellStyle name="Standaard 26 3 4 3 3 2 2" xfId="29581"/>
    <cellStyle name="Standaard 26 3 4 3 3 3" xfId="29582"/>
    <cellStyle name="Standaard 26 3 4 3 4" xfId="29583"/>
    <cellStyle name="Standaard 26 3 4 3 4 2" xfId="29584"/>
    <cellStyle name="Standaard 26 3 4 3 5" xfId="29585"/>
    <cellStyle name="Standaard 26 3 4 3 6" xfId="29586"/>
    <cellStyle name="Standaard 26 3 4 4" xfId="29587"/>
    <cellStyle name="Standaard 26 3 4 4 2" xfId="29588"/>
    <cellStyle name="Standaard 26 3 4 4 2 2" xfId="29589"/>
    <cellStyle name="Standaard 26 3 4 4 2 2 2" xfId="29590"/>
    <cellStyle name="Standaard 26 3 4 4 2 3" xfId="29591"/>
    <cellStyle name="Standaard 26 3 4 4 3" xfId="29592"/>
    <cellStyle name="Standaard 26 3 4 4 3 2" xfId="29593"/>
    <cellStyle name="Standaard 26 3 4 4 4" xfId="29594"/>
    <cellStyle name="Standaard 26 3 4 5" xfId="29595"/>
    <cellStyle name="Standaard 26 3 4 5 2" xfId="29596"/>
    <cellStyle name="Standaard 26 3 4 5 2 2" xfId="29597"/>
    <cellStyle name="Standaard 26 3 4 5 3" xfId="29598"/>
    <cellStyle name="Standaard 26 3 4 6" xfId="29599"/>
    <cellStyle name="Standaard 26 3 4 6 2" xfId="29600"/>
    <cellStyle name="Standaard 26 3 4 7" xfId="29601"/>
    <cellStyle name="Standaard 26 3 4 8" xfId="29602"/>
    <cellStyle name="Standaard 26 3 5" xfId="29603"/>
    <cellStyle name="Standaard 26 3 5 2" xfId="29604"/>
    <cellStyle name="Standaard 26 3 5 2 2" xfId="29605"/>
    <cellStyle name="Standaard 26 3 5 2 2 2" xfId="29606"/>
    <cellStyle name="Standaard 26 3 5 2 2 2 2" xfId="29607"/>
    <cellStyle name="Standaard 26 3 5 2 2 2 2 2" xfId="29608"/>
    <cellStyle name="Standaard 26 3 5 2 2 2 3" xfId="29609"/>
    <cellStyle name="Standaard 26 3 5 2 2 3" xfId="29610"/>
    <cellStyle name="Standaard 26 3 5 2 2 3 2" xfId="29611"/>
    <cellStyle name="Standaard 26 3 5 2 2 4" xfId="29612"/>
    <cellStyle name="Standaard 26 3 5 2 3" xfId="29613"/>
    <cellStyle name="Standaard 26 3 5 2 3 2" xfId="29614"/>
    <cellStyle name="Standaard 26 3 5 2 3 2 2" xfId="29615"/>
    <cellStyle name="Standaard 26 3 5 2 3 3" xfId="29616"/>
    <cellStyle name="Standaard 26 3 5 2 4" xfId="29617"/>
    <cellStyle name="Standaard 26 3 5 2 4 2" xfId="29618"/>
    <cellStyle name="Standaard 26 3 5 2 5" xfId="29619"/>
    <cellStyle name="Standaard 26 3 5 2 6" xfId="29620"/>
    <cellStyle name="Standaard 26 3 5 3" xfId="29621"/>
    <cellStyle name="Standaard 26 3 5 3 2" xfId="29622"/>
    <cellStyle name="Standaard 26 3 5 3 2 2" xfId="29623"/>
    <cellStyle name="Standaard 26 3 5 3 2 2 2" xfId="29624"/>
    <cellStyle name="Standaard 26 3 5 3 2 3" xfId="29625"/>
    <cellStyle name="Standaard 26 3 5 3 3" xfId="29626"/>
    <cellStyle name="Standaard 26 3 5 3 3 2" xfId="29627"/>
    <cellStyle name="Standaard 26 3 5 3 4" xfId="29628"/>
    <cellStyle name="Standaard 26 3 5 4" xfId="29629"/>
    <cellStyle name="Standaard 26 3 5 4 2" xfId="29630"/>
    <cellStyle name="Standaard 26 3 5 4 2 2" xfId="29631"/>
    <cellStyle name="Standaard 26 3 5 4 3" xfId="29632"/>
    <cellStyle name="Standaard 26 3 5 5" xfId="29633"/>
    <cellStyle name="Standaard 26 3 5 5 2" xfId="29634"/>
    <cellStyle name="Standaard 26 3 5 6" xfId="29635"/>
    <cellStyle name="Standaard 26 3 5 7" xfId="29636"/>
    <cellStyle name="Standaard 26 3 6" xfId="29637"/>
    <cellStyle name="Standaard 26 3 6 2" xfId="29638"/>
    <cellStyle name="Standaard 26 3 6 2 2" xfId="29639"/>
    <cellStyle name="Standaard 26 3 6 2 2 2" xfId="29640"/>
    <cellStyle name="Standaard 26 3 6 2 2 2 2" xfId="29641"/>
    <cellStyle name="Standaard 26 3 6 2 2 3" xfId="29642"/>
    <cellStyle name="Standaard 26 3 6 2 3" xfId="29643"/>
    <cellStyle name="Standaard 26 3 6 2 3 2" xfId="29644"/>
    <cellStyle name="Standaard 26 3 6 2 4" xfId="29645"/>
    <cellStyle name="Standaard 26 3 6 3" xfId="29646"/>
    <cellStyle name="Standaard 26 3 6 3 2" xfId="29647"/>
    <cellStyle name="Standaard 26 3 6 3 2 2" xfId="29648"/>
    <cellStyle name="Standaard 26 3 6 3 3" xfId="29649"/>
    <cellStyle name="Standaard 26 3 6 4" xfId="29650"/>
    <cellStyle name="Standaard 26 3 6 4 2" xfId="29651"/>
    <cellStyle name="Standaard 26 3 6 5" xfId="29652"/>
    <cellStyle name="Standaard 26 3 6 6" xfId="29653"/>
    <cellStyle name="Standaard 26 3 7" xfId="29654"/>
    <cellStyle name="Standaard 26 3 7 2" xfId="29655"/>
    <cellStyle name="Standaard 26 3 7 2 2" xfId="29656"/>
    <cellStyle name="Standaard 26 3 7 2 2 2" xfId="29657"/>
    <cellStyle name="Standaard 26 3 7 2 3" xfId="29658"/>
    <cellStyle name="Standaard 26 3 7 3" xfId="29659"/>
    <cellStyle name="Standaard 26 3 7 3 2" xfId="29660"/>
    <cellStyle name="Standaard 26 3 7 4" xfId="29661"/>
    <cellStyle name="Standaard 26 3 8" xfId="29662"/>
    <cellStyle name="Standaard 26 3 8 2" xfId="29663"/>
    <cellStyle name="Standaard 26 3 8 2 2" xfId="29664"/>
    <cellStyle name="Standaard 26 3 8 3" xfId="29665"/>
    <cellStyle name="Standaard 26 3 9" xfId="29666"/>
    <cellStyle name="Standaard 26 3 9 2" xfId="29667"/>
    <cellStyle name="Standaard 26 4" xfId="29668"/>
    <cellStyle name="Standaard 26 4 2" xfId="29669"/>
    <cellStyle name="Standaard 26 4 2 2" xfId="29670"/>
    <cellStyle name="Standaard 26 4 2 2 2" xfId="29671"/>
    <cellStyle name="Standaard 26 4 2 2 2 2" xfId="29672"/>
    <cellStyle name="Standaard 26 4 2 2 2 2 2" xfId="29673"/>
    <cellStyle name="Standaard 26 4 2 2 2 2 2 2" xfId="29674"/>
    <cellStyle name="Standaard 26 4 2 2 2 2 2 2 2" xfId="29675"/>
    <cellStyle name="Standaard 26 4 2 2 2 2 2 3" xfId="29676"/>
    <cellStyle name="Standaard 26 4 2 2 2 2 3" xfId="29677"/>
    <cellStyle name="Standaard 26 4 2 2 2 2 3 2" xfId="29678"/>
    <cellStyle name="Standaard 26 4 2 2 2 2 4" xfId="29679"/>
    <cellStyle name="Standaard 26 4 2 2 2 3" xfId="29680"/>
    <cellStyle name="Standaard 26 4 2 2 2 3 2" xfId="29681"/>
    <cellStyle name="Standaard 26 4 2 2 2 3 2 2" xfId="29682"/>
    <cellStyle name="Standaard 26 4 2 2 2 3 3" xfId="29683"/>
    <cellStyle name="Standaard 26 4 2 2 2 4" xfId="29684"/>
    <cellStyle name="Standaard 26 4 2 2 2 4 2" xfId="29685"/>
    <cellStyle name="Standaard 26 4 2 2 2 5" xfId="29686"/>
    <cellStyle name="Standaard 26 4 2 2 2 6" xfId="29687"/>
    <cellStyle name="Standaard 26 4 2 2 3" xfId="29688"/>
    <cellStyle name="Standaard 26 4 2 2 3 2" xfId="29689"/>
    <cellStyle name="Standaard 26 4 2 2 3 2 2" xfId="29690"/>
    <cellStyle name="Standaard 26 4 2 2 3 2 2 2" xfId="29691"/>
    <cellStyle name="Standaard 26 4 2 2 3 2 3" xfId="29692"/>
    <cellStyle name="Standaard 26 4 2 2 3 3" xfId="29693"/>
    <cellStyle name="Standaard 26 4 2 2 3 3 2" xfId="29694"/>
    <cellStyle name="Standaard 26 4 2 2 3 4" xfId="29695"/>
    <cellStyle name="Standaard 26 4 2 2 4" xfId="29696"/>
    <cellStyle name="Standaard 26 4 2 2 4 2" xfId="29697"/>
    <cellStyle name="Standaard 26 4 2 2 4 2 2" xfId="29698"/>
    <cellStyle name="Standaard 26 4 2 2 4 3" xfId="29699"/>
    <cellStyle name="Standaard 26 4 2 2 5" xfId="29700"/>
    <cellStyle name="Standaard 26 4 2 2 5 2" xfId="29701"/>
    <cellStyle name="Standaard 26 4 2 2 6" xfId="29702"/>
    <cellStyle name="Standaard 26 4 2 2 7" xfId="29703"/>
    <cellStyle name="Standaard 26 4 2 3" xfId="29704"/>
    <cellStyle name="Standaard 26 4 2 3 2" xfId="29705"/>
    <cellStyle name="Standaard 26 4 2 3 2 2" xfId="29706"/>
    <cellStyle name="Standaard 26 4 2 3 2 2 2" xfId="29707"/>
    <cellStyle name="Standaard 26 4 2 3 2 2 2 2" xfId="29708"/>
    <cellStyle name="Standaard 26 4 2 3 2 2 3" xfId="29709"/>
    <cellStyle name="Standaard 26 4 2 3 2 3" xfId="29710"/>
    <cellStyle name="Standaard 26 4 2 3 2 3 2" xfId="29711"/>
    <cellStyle name="Standaard 26 4 2 3 2 4" xfId="29712"/>
    <cellStyle name="Standaard 26 4 2 3 3" xfId="29713"/>
    <cellStyle name="Standaard 26 4 2 3 3 2" xfId="29714"/>
    <cellStyle name="Standaard 26 4 2 3 3 2 2" xfId="29715"/>
    <cellStyle name="Standaard 26 4 2 3 3 3" xfId="29716"/>
    <cellStyle name="Standaard 26 4 2 3 4" xfId="29717"/>
    <cellStyle name="Standaard 26 4 2 3 4 2" xfId="29718"/>
    <cellStyle name="Standaard 26 4 2 3 5" xfId="29719"/>
    <cellStyle name="Standaard 26 4 2 3 6" xfId="29720"/>
    <cellStyle name="Standaard 26 4 2 4" xfId="29721"/>
    <cellStyle name="Standaard 26 4 2 4 2" xfId="29722"/>
    <cellStyle name="Standaard 26 4 2 4 2 2" xfId="29723"/>
    <cellStyle name="Standaard 26 4 2 4 2 2 2" xfId="29724"/>
    <cellStyle name="Standaard 26 4 2 4 2 3" xfId="29725"/>
    <cellStyle name="Standaard 26 4 2 4 3" xfId="29726"/>
    <cellStyle name="Standaard 26 4 2 4 3 2" xfId="29727"/>
    <cellStyle name="Standaard 26 4 2 4 4" xfId="29728"/>
    <cellStyle name="Standaard 26 4 2 5" xfId="29729"/>
    <cellStyle name="Standaard 26 4 2 5 2" xfId="29730"/>
    <cellStyle name="Standaard 26 4 2 5 2 2" xfId="29731"/>
    <cellStyle name="Standaard 26 4 2 5 3" xfId="29732"/>
    <cellStyle name="Standaard 26 4 2 6" xfId="29733"/>
    <cellStyle name="Standaard 26 4 2 6 2" xfId="29734"/>
    <cellStyle name="Standaard 26 4 2 7" xfId="29735"/>
    <cellStyle name="Standaard 26 4 2 8" xfId="29736"/>
    <cellStyle name="Standaard 26 4 3" xfId="29737"/>
    <cellStyle name="Standaard 26 4 3 2" xfId="29738"/>
    <cellStyle name="Standaard 26 4 3 2 2" xfId="29739"/>
    <cellStyle name="Standaard 26 4 3 2 2 2" xfId="29740"/>
    <cellStyle name="Standaard 26 4 3 2 2 2 2" xfId="29741"/>
    <cellStyle name="Standaard 26 4 3 2 2 2 2 2" xfId="29742"/>
    <cellStyle name="Standaard 26 4 3 2 2 2 3" xfId="29743"/>
    <cellStyle name="Standaard 26 4 3 2 2 3" xfId="29744"/>
    <cellStyle name="Standaard 26 4 3 2 2 3 2" xfId="29745"/>
    <cellStyle name="Standaard 26 4 3 2 2 4" xfId="29746"/>
    <cellStyle name="Standaard 26 4 3 2 3" xfId="29747"/>
    <cellStyle name="Standaard 26 4 3 2 3 2" xfId="29748"/>
    <cellStyle name="Standaard 26 4 3 2 3 2 2" xfId="29749"/>
    <cellStyle name="Standaard 26 4 3 2 3 3" xfId="29750"/>
    <cellStyle name="Standaard 26 4 3 2 4" xfId="29751"/>
    <cellStyle name="Standaard 26 4 3 2 4 2" xfId="29752"/>
    <cellStyle name="Standaard 26 4 3 2 5" xfId="29753"/>
    <cellStyle name="Standaard 26 4 3 2 6" xfId="29754"/>
    <cellStyle name="Standaard 26 4 3 3" xfId="29755"/>
    <cellStyle name="Standaard 26 4 3 3 2" xfId="29756"/>
    <cellStyle name="Standaard 26 4 3 3 2 2" xfId="29757"/>
    <cellStyle name="Standaard 26 4 3 3 2 2 2" xfId="29758"/>
    <cellStyle name="Standaard 26 4 3 3 2 3" xfId="29759"/>
    <cellStyle name="Standaard 26 4 3 3 3" xfId="29760"/>
    <cellStyle name="Standaard 26 4 3 3 3 2" xfId="29761"/>
    <cellStyle name="Standaard 26 4 3 3 4" xfId="29762"/>
    <cellStyle name="Standaard 26 4 3 4" xfId="29763"/>
    <cellStyle name="Standaard 26 4 3 4 2" xfId="29764"/>
    <cellStyle name="Standaard 26 4 3 4 2 2" xfId="29765"/>
    <cellStyle name="Standaard 26 4 3 4 3" xfId="29766"/>
    <cellStyle name="Standaard 26 4 3 5" xfId="29767"/>
    <cellStyle name="Standaard 26 4 3 5 2" xfId="29768"/>
    <cellStyle name="Standaard 26 4 3 6" xfId="29769"/>
    <cellStyle name="Standaard 26 4 3 7" xfId="29770"/>
    <cellStyle name="Standaard 26 4 4" xfId="29771"/>
    <cellStyle name="Standaard 26 4 4 2" xfId="29772"/>
    <cellStyle name="Standaard 26 4 4 2 2" xfId="29773"/>
    <cellStyle name="Standaard 26 4 4 2 2 2" xfId="29774"/>
    <cellStyle name="Standaard 26 4 4 2 2 2 2" xfId="29775"/>
    <cellStyle name="Standaard 26 4 4 2 2 3" xfId="29776"/>
    <cellStyle name="Standaard 26 4 4 2 3" xfId="29777"/>
    <cellStyle name="Standaard 26 4 4 2 3 2" xfId="29778"/>
    <cellStyle name="Standaard 26 4 4 2 4" xfId="29779"/>
    <cellStyle name="Standaard 26 4 4 3" xfId="29780"/>
    <cellStyle name="Standaard 26 4 4 3 2" xfId="29781"/>
    <cellStyle name="Standaard 26 4 4 3 2 2" xfId="29782"/>
    <cellStyle name="Standaard 26 4 4 3 3" xfId="29783"/>
    <cellStyle name="Standaard 26 4 4 4" xfId="29784"/>
    <cellStyle name="Standaard 26 4 4 4 2" xfId="29785"/>
    <cellStyle name="Standaard 26 4 4 5" xfId="29786"/>
    <cellStyle name="Standaard 26 4 4 6" xfId="29787"/>
    <cellStyle name="Standaard 26 4 5" xfId="29788"/>
    <cellStyle name="Standaard 26 4 5 2" xfId="29789"/>
    <cellStyle name="Standaard 26 4 5 2 2" xfId="29790"/>
    <cellStyle name="Standaard 26 4 5 2 2 2" xfId="29791"/>
    <cellStyle name="Standaard 26 4 5 2 3" xfId="29792"/>
    <cellStyle name="Standaard 26 4 5 3" xfId="29793"/>
    <cellStyle name="Standaard 26 4 5 3 2" xfId="29794"/>
    <cellStyle name="Standaard 26 4 5 4" xfId="29795"/>
    <cellStyle name="Standaard 26 4 6" xfId="29796"/>
    <cellStyle name="Standaard 26 4 6 2" xfId="29797"/>
    <cellStyle name="Standaard 26 4 6 2 2" xfId="29798"/>
    <cellStyle name="Standaard 26 4 6 3" xfId="29799"/>
    <cellStyle name="Standaard 26 4 7" xfId="29800"/>
    <cellStyle name="Standaard 26 4 7 2" xfId="29801"/>
    <cellStyle name="Standaard 26 4 8" xfId="29802"/>
    <cellStyle name="Standaard 26 4 9" xfId="29803"/>
    <cellStyle name="Standaard 26 5" xfId="29804"/>
    <cellStyle name="Standaard 26 5 2" xfId="29805"/>
    <cellStyle name="Standaard 26 5 2 2" xfId="29806"/>
    <cellStyle name="Standaard 26 5 2 2 2" xfId="29807"/>
    <cellStyle name="Standaard 26 5 2 2 2 2" xfId="29808"/>
    <cellStyle name="Standaard 26 5 2 2 2 2 2" xfId="29809"/>
    <cellStyle name="Standaard 26 5 2 2 2 2 2 2" xfId="29810"/>
    <cellStyle name="Standaard 26 5 2 2 2 2 3" xfId="29811"/>
    <cellStyle name="Standaard 26 5 2 2 2 3" xfId="29812"/>
    <cellStyle name="Standaard 26 5 2 2 2 3 2" xfId="29813"/>
    <cellStyle name="Standaard 26 5 2 2 2 4" xfId="29814"/>
    <cellStyle name="Standaard 26 5 2 2 3" xfId="29815"/>
    <cellStyle name="Standaard 26 5 2 2 3 2" xfId="29816"/>
    <cellStyle name="Standaard 26 5 2 2 3 2 2" xfId="29817"/>
    <cellStyle name="Standaard 26 5 2 2 3 3" xfId="29818"/>
    <cellStyle name="Standaard 26 5 2 2 4" xfId="29819"/>
    <cellStyle name="Standaard 26 5 2 2 4 2" xfId="29820"/>
    <cellStyle name="Standaard 26 5 2 2 5" xfId="29821"/>
    <cellStyle name="Standaard 26 5 2 2 6" xfId="29822"/>
    <cellStyle name="Standaard 26 5 2 3" xfId="29823"/>
    <cellStyle name="Standaard 26 5 2 3 2" xfId="29824"/>
    <cellStyle name="Standaard 26 5 2 3 2 2" xfId="29825"/>
    <cellStyle name="Standaard 26 5 2 3 2 2 2" xfId="29826"/>
    <cellStyle name="Standaard 26 5 2 3 2 3" xfId="29827"/>
    <cellStyle name="Standaard 26 5 2 3 3" xfId="29828"/>
    <cellStyle name="Standaard 26 5 2 3 3 2" xfId="29829"/>
    <cellStyle name="Standaard 26 5 2 3 4" xfId="29830"/>
    <cellStyle name="Standaard 26 5 2 4" xfId="29831"/>
    <cellStyle name="Standaard 26 5 2 4 2" xfId="29832"/>
    <cellStyle name="Standaard 26 5 2 4 2 2" xfId="29833"/>
    <cellStyle name="Standaard 26 5 2 4 3" xfId="29834"/>
    <cellStyle name="Standaard 26 5 2 5" xfId="29835"/>
    <cellStyle name="Standaard 26 5 2 5 2" xfId="29836"/>
    <cellStyle name="Standaard 26 5 2 6" xfId="29837"/>
    <cellStyle name="Standaard 26 5 2 7" xfId="29838"/>
    <cellStyle name="Standaard 26 5 3" xfId="29839"/>
    <cellStyle name="Standaard 26 5 3 2" xfId="29840"/>
    <cellStyle name="Standaard 26 5 3 2 2" xfId="29841"/>
    <cellStyle name="Standaard 26 5 3 2 2 2" xfId="29842"/>
    <cellStyle name="Standaard 26 5 3 2 2 2 2" xfId="29843"/>
    <cellStyle name="Standaard 26 5 3 2 2 3" xfId="29844"/>
    <cellStyle name="Standaard 26 5 3 2 3" xfId="29845"/>
    <cellStyle name="Standaard 26 5 3 2 3 2" xfId="29846"/>
    <cellStyle name="Standaard 26 5 3 2 4" xfId="29847"/>
    <cellStyle name="Standaard 26 5 3 3" xfId="29848"/>
    <cellStyle name="Standaard 26 5 3 3 2" xfId="29849"/>
    <cellStyle name="Standaard 26 5 3 3 2 2" xfId="29850"/>
    <cellStyle name="Standaard 26 5 3 3 3" xfId="29851"/>
    <cellStyle name="Standaard 26 5 3 4" xfId="29852"/>
    <cellStyle name="Standaard 26 5 3 4 2" xfId="29853"/>
    <cellStyle name="Standaard 26 5 3 5" xfId="29854"/>
    <cellStyle name="Standaard 26 5 3 6" xfId="29855"/>
    <cellStyle name="Standaard 26 5 4" xfId="29856"/>
    <cellStyle name="Standaard 26 5 4 2" xfId="29857"/>
    <cellStyle name="Standaard 26 5 4 2 2" xfId="29858"/>
    <cellStyle name="Standaard 26 5 4 2 2 2" xfId="29859"/>
    <cellStyle name="Standaard 26 5 4 2 3" xfId="29860"/>
    <cellStyle name="Standaard 26 5 4 3" xfId="29861"/>
    <cellStyle name="Standaard 26 5 4 3 2" xfId="29862"/>
    <cellStyle name="Standaard 26 5 4 4" xfId="29863"/>
    <cellStyle name="Standaard 26 5 5" xfId="29864"/>
    <cellStyle name="Standaard 26 5 5 2" xfId="29865"/>
    <cellStyle name="Standaard 26 5 5 2 2" xfId="29866"/>
    <cellStyle name="Standaard 26 5 5 3" xfId="29867"/>
    <cellStyle name="Standaard 26 5 6" xfId="29868"/>
    <cellStyle name="Standaard 26 5 6 2" xfId="29869"/>
    <cellStyle name="Standaard 26 5 7" xfId="29870"/>
    <cellStyle name="Standaard 26 5 8" xfId="29871"/>
    <cellStyle name="Standaard 26 6" xfId="29872"/>
    <cellStyle name="Standaard 26 6 2" xfId="29873"/>
    <cellStyle name="Standaard 26 6 2 2" xfId="29874"/>
    <cellStyle name="Standaard 26 6 2 2 2" xfId="29875"/>
    <cellStyle name="Standaard 26 6 2 2 2 2" xfId="29876"/>
    <cellStyle name="Standaard 26 6 2 2 2 2 2" xfId="29877"/>
    <cellStyle name="Standaard 26 6 2 2 2 2 2 2" xfId="29878"/>
    <cellStyle name="Standaard 26 6 2 2 2 2 3" xfId="29879"/>
    <cellStyle name="Standaard 26 6 2 2 2 3" xfId="29880"/>
    <cellStyle name="Standaard 26 6 2 2 2 3 2" xfId="29881"/>
    <cellStyle name="Standaard 26 6 2 2 2 4" xfId="29882"/>
    <cellStyle name="Standaard 26 6 2 2 3" xfId="29883"/>
    <cellStyle name="Standaard 26 6 2 2 3 2" xfId="29884"/>
    <cellStyle name="Standaard 26 6 2 2 3 2 2" xfId="29885"/>
    <cellStyle name="Standaard 26 6 2 2 3 3" xfId="29886"/>
    <cellStyle name="Standaard 26 6 2 2 4" xfId="29887"/>
    <cellStyle name="Standaard 26 6 2 2 4 2" xfId="29888"/>
    <cellStyle name="Standaard 26 6 2 2 5" xfId="29889"/>
    <cellStyle name="Standaard 26 6 2 2 6" xfId="29890"/>
    <cellStyle name="Standaard 26 6 2 3" xfId="29891"/>
    <cellStyle name="Standaard 26 6 2 3 2" xfId="29892"/>
    <cellStyle name="Standaard 26 6 2 3 2 2" xfId="29893"/>
    <cellStyle name="Standaard 26 6 2 3 2 2 2" xfId="29894"/>
    <cellStyle name="Standaard 26 6 2 3 2 3" xfId="29895"/>
    <cellStyle name="Standaard 26 6 2 3 3" xfId="29896"/>
    <cellStyle name="Standaard 26 6 2 3 3 2" xfId="29897"/>
    <cellStyle name="Standaard 26 6 2 3 4" xfId="29898"/>
    <cellStyle name="Standaard 26 6 2 4" xfId="29899"/>
    <cellStyle name="Standaard 26 6 2 4 2" xfId="29900"/>
    <cellStyle name="Standaard 26 6 2 4 2 2" xfId="29901"/>
    <cellStyle name="Standaard 26 6 2 4 3" xfId="29902"/>
    <cellStyle name="Standaard 26 6 2 5" xfId="29903"/>
    <cellStyle name="Standaard 26 6 2 5 2" xfId="29904"/>
    <cellStyle name="Standaard 26 6 2 6" xfId="29905"/>
    <cellStyle name="Standaard 26 6 2 7" xfId="29906"/>
    <cellStyle name="Standaard 26 6 3" xfId="29907"/>
    <cellStyle name="Standaard 26 6 3 2" xfId="29908"/>
    <cellStyle name="Standaard 26 6 3 2 2" xfId="29909"/>
    <cellStyle name="Standaard 26 6 3 2 2 2" xfId="29910"/>
    <cellStyle name="Standaard 26 6 3 2 2 2 2" xfId="29911"/>
    <cellStyle name="Standaard 26 6 3 2 2 3" xfId="29912"/>
    <cellStyle name="Standaard 26 6 3 2 3" xfId="29913"/>
    <cellStyle name="Standaard 26 6 3 2 3 2" xfId="29914"/>
    <cellStyle name="Standaard 26 6 3 2 4" xfId="29915"/>
    <cellStyle name="Standaard 26 6 3 3" xfId="29916"/>
    <cellStyle name="Standaard 26 6 3 3 2" xfId="29917"/>
    <cellStyle name="Standaard 26 6 3 3 2 2" xfId="29918"/>
    <cellStyle name="Standaard 26 6 3 3 3" xfId="29919"/>
    <cellStyle name="Standaard 26 6 3 4" xfId="29920"/>
    <cellStyle name="Standaard 26 6 3 4 2" xfId="29921"/>
    <cellStyle name="Standaard 26 6 3 5" xfId="29922"/>
    <cellStyle name="Standaard 26 6 3 6" xfId="29923"/>
    <cellStyle name="Standaard 26 6 4" xfId="29924"/>
    <cellStyle name="Standaard 26 6 4 2" xfId="29925"/>
    <cellStyle name="Standaard 26 6 4 2 2" xfId="29926"/>
    <cellStyle name="Standaard 26 6 4 2 2 2" xfId="29927"/>
    <cellStyle name="Standaard 26 6 4 2 3" xfId="29928"/>
    <cellStyle name="Standaard 26 6 4 3" xfId="29929"/>
    <cellStyle name="Standaard 26 6 4 3 2" xfId="29930"/>
    <cellStyle name="Standaard 26 6 4 4" xfId="29931"/>
    <cellStyle name="Standaard 26 6 5" xfId="29932"/>
    <cellStyle name="Standaard 26 6 5 2" xfId="29933"/>
    <cellStyle name="Standaard 26 6 5 2 2" xfId="29934"/>
    <cellStyle name="Standaard 26 6 5 3" xfId="29935"/>
    <cellStyle name="Standaard 26 6 6" xfId="29936"/>
    <cellStyle name="Standaard 26 6 6 2" xfId="29937"/>
    <cellStyle name="Standaard 26 6 7" xfId="29938"/>
    <cellStyle name="Standaard 26 6 8" xfId="29939"/>
    <cellStyle name="Standaard 26 7" xfId="29940"/>
    <cellStyle name="Standaard 26 7 2" xfId="29941"/>
    <cellStyle name="Standaard 26 7 2 2" xfId="29942"/>
    <cellStyle name="Standaard 26 7 2 2 2" xfId="29943"/>
    <cellStyle name="Standaard 26 7 2 2 2 2" xfId="29944"/>
    <cellStyle name="Standaard 26 7 2 2 2 2 2" xfId="29945"/>
    <cellStyle name="Standaard 26 7 2 2 2 3" xfId="29946"/>
    <cellStyle name="Standaard 26 7 2 2 3" xfId="29947"/>
    <cellStyle name="Standaard 26 7 2 2 3 2" xfId="29948"/>
    <cellStyle name="Standaard 26 7 2 2 4" xfId="29949"/>
    <cellStyle name="Standaard 26 7 2 3" xfId="29950"/>
    <cellStyle name="Standaard 26 7 2 3 2" xfId="29951"/>
    <cellStyle name="Standaard 26 7 2 3 2 2" xfId="29952"/>
    <cellStyle name="Standaard 26 7 2 3 3" xfId="29953"/>
    <cellStyle name="Standaard 26 7 2 4" xfId="29954"/>
    <cellStyle name="Standaard 26 7 2 4 2" xfId="29955"/>
    <cellStyle name="Standaard 26 7 2 5" xfId="29956"/>
    <cellStyle name="Standaard 26 7 2 6" xfId="29957"/>
    <cellStyle name="Standaard 26 7 3" xfId="29958"/>
    <cellStyle name="Standaard 26 7 3 2" xfId="29959"/>
    <cellStyle name="Standaard 26 7 3 2 2" xfId="29960"/>
    <cellStyle name="Standaard 26 7 3 2 2 2" xfId="29961"/>
    <cellStyle name="Standaard 26 7 3 2 3" xfId="29962"/>
    <cellStyle name="Standaard 26 7 3 3" xfId="29963"/>
    <cellStyle name="Standaard 26 7 3 3 2" xfId="29964"/>
    <cellStyle name="Standaard 26 7 3 4" xfId="29965"/>
    <cellStyle name="Standaard 26 7 4" xfId="29966"/>
    <cellStyle name="Standaard 26 7 4 2" xfId="29967"/>
    <cellStyle name="Standaard 26 7 4 2 2" xfId="29968"/>
    <cellStyle name="Standaard 26 7 4 3" xfId="29969"/>
    <cellStyle name="Standaard 26 7 5" xfId="29970"/>
    <cellStyle name="Standaard 26 7 5 2" xfId="29971"/>
    <cellStyle name="Standaard 26 7 6" xfId="29972"/>
    <cellStyle name="Standaard 26 7 7" xfId="29973"/>
    <cellStyle name="Standaard 26 8" xfId="29974"/>
    <cellStyle name="Standaard 26 8 2" xfId="29975"/>
    <cellStyle name="Standaard 26 8 2 2" xfId="29976"/>
    <cellStyle name="Standaard 26 8 2 2 2" xfId="29977"/>
    <cellStyle name="Standaard 26 8 2 2 2 2" xfId="29978"/>
    <cellStyle name="Standaard 26 8 2 2 3" xfId="29979"/>
    <cellStyle name="Standaard 26 8 2 3" xfId="29980"/>
    <cellStyle name="Standaard 26 8 2 3 2" xfId="29981"/>
    <cellStyle name="Standaard 26 8 2 4" xfId="29982"/>
    <cellStyle name="Standaard 26 8 3" xfId="29983"/>
    <cellStyle name="Standaard 26 8 3 2" xfId="29984"/>
    <cellStyle name="Standaard 26 8 3 2 2" xfId="29985"/>
    <cellStyle name="Standaard 26 8 3 3" xfId="29986"/>
    <cellStyle name="Standaard 26 8 4" xfId="29987"/>
    <cellStyle name="Standaard 26 8 4 2" xfId="29988"/>
    <cellStyle name="Standaard 26 8 5" xfId="29989"/>
    <cellStyle name="Standaard 26 8 6" xfId="29990"/>
    <cellStyle name="Standaard 26 9" xfId="29991"/>
    <cellStyle name="Standaard 26 9 2" xfId="29992"/>
    <cellStyle name="Standaard 26 9 2 2" xfId="29993"/>
    <cellStyle name="Standaard 26 9 2 2 2" xfId="29994"/>
    <cellStyle name="Standaard 26 9 2 3" xfId="29995"/>
    <cellStyle name="Standaard 26 9 3" xfId="29996"/>
    <cellStyle name="Standaard 26 9 3 2" xfId="29997"/>
    <cellStyle name="Standaard 26 9 4" xfId="29998"/>
    <cellStyle name="Standaard 27" xfId="29999"/>
    <cellStyle name="Standaard 27 10" xfId="30000"/>
    <cellStyle name="Standaard 27 10 2" xfId="30001"/>
    <cellStyle name="Standaard 27 10 2 2" xfId="30002"/>
    <cellStyle name="Standaard 27 10 3" xfId="30003"/>
    <cellStyle name="Standaard 27 11" xfId="30004"/>
    <cellStyle name="Standaard 27 11 2" xfId="30005"/>
    <cellStyle name="Standaard 27 12" xfId="30006"/>
    <cellStyle name="Standaard 27 13" xfId="30007"/>
    <cellStyle name="Standaard 27 2" xfId="30008"/>
    <cellStyle name="Standaard 27 2 10" xfId="30009"/>
    <cellStyle name="Standaard 27 2 10 2" xfId="30010"/>
    <cellStyle name="Standaard 27 2 11" xfId="30011"/>
    <cellStyle name="Standaard 27 2 12" xfId="30012"/>
    <cellStyle name="Standaard 27 2 2" xfId="30013"/>
    <cellStyle name="Standaard 27 2 2 10" xfId="30014"/>
    <cellStyle name="Standaard 27 2 2 11" xfId="30015"/>
    <cellStyle name="Standaard 27 2 2 2" xfId="30016"/>
    <cellStyle name="Standaard 27 2 2 2 2" xfId="30017"/>
    <cellStyle name="Standaard 27 2 2 2 2 2" xfId="30018"/>
    <cellStyle name="Standaard 27 2 2 2 2 2 2" xfId="30019"/>
    <cellStyle name="Standaard 27 2 2 2 2 2 2 2" xfId="30020"/>
    <cellStyle name="Standaard 27 2 2 2 2 2 2 2 2" xfId="30021"/>
    <cellStyle name="Standaard 27 2 2 2 2 2 2 2 2 2" xfId="30022"/>
    <cellStyle name="Standaard 27 2 2 2 2 2 2 2 2 2 2" xfId="30023"/>
    <cellStyle name="Standaard 27 2 2 2 2 2 2 2 2 3" xfId="30024"/>
    <cellStyle name="Standaard 27 2 2 2 2 2 2 2 3" xfId="30025"/>
    <cellStyle name="Standaard 27 2 2 2 2 2 2 2 3 2" xfId="30026"/>
    <cellStyle name="Standaard 27 2 2 2 2 2 2 2 4" xfId="30027"/>
    <cellStyle name="Standaard 27 2 2 2 2 2 2 3" xfId="30028"/>
    <cellStyle name="Standaard 27 2 2 2 2 2 2 3 2" xfId="30029"/>
    <cellStyle name="Standaard 27 2 2 2 2 2 2 3 2 2" xfId="30030"/>
    <cellStyle name="Standaard 27 2 2 2 2 2 2 3 3" xfId="30031"/>
    <cellStyle name="Standaard 27 2 2 2 2 2 2 4" xfId="30032"/>
    <cellStyle name="Standaard 27 2 2 2 2 2 2 4 2" xfId="30033"/>
    <cellStyle name="Standaard 27 2 2 2 2 2 2 5" xfId="30034"/>
    <cellStyle name="Standaard 27 2 2 2 2 2 2 6" xfId="30035"/>
    <cellStyle name="Standaard 27 2 2 2 2 2 3" xfId="30036"/>
    <cellStyle name="Standaard 27 2 2 2 2 2 3 2" xfId="30037"/>
    <cellStyle name="Standaard 27 2 2 2 2 2 3 2 2" xfId="30038"/>
    <cellStyle name="Standaard 27 2 2 2 2 2 3 2 2 2" xfId="30039"/>
    <cellStyle name="Standaard 27 2 2 2 2 2 3 2 3" xfId="30040"/>
    <cellStyle name="Standaard 27 2 2 2 2 2 3 3" xfId="30041"/>
    <cellStyle name="Standaard 27 2 2 2 2 2 3 3 2" xfId="30042"/>
    <cellStyle name="Standaard 27 2 2 2 2 2 3 4" xfId="30043"/>
    <cellStyle name="Standaard 27 2 2 2 2 2 4" xfId="30044"/>
    <cellStyle name="Standaard 27 2 2 2 2 2 4 2" xfId="30045"/>
    <cellStyle name="Standaard 27 2 2 2 2 2 4 2 2" xfId="30046"/>
    <cellStyle name="Standaard 27 2 2 2 2 2 4 3" xfId="30047"/>
    <cellStyle name="Standaard 27 2 2 2 2 2 5" xfId="30048"/>
    <cellStyle name="Standaard 27 2 2 2 2 2 5 2" xfId="30049"/>
    <cellStyle name="Standaard 27 2 2 2 2 2 6" xfId="30050"/>
    <cellStyle name="Standaard 27 2 2 2 2 2 7" xfId="30051"/>
    <cellStyle name="Standaard 27 2 2 2 2 3" xfId="30052"/>
    <cellStyle name="Standaard 27 2 2 2 2 3 2" xfId="30053"/>
    <cellStyle name="Standaard 27 2 2 2 2 3 2 2" xfId="30054"/>
    <cellStyle name="Standaard 27 2 2 2 2 3 2 2 2" xfId="30055"/>
    <cellStyle name="Standaard 27 2 2 2 2 3 2 2 2 2" xfId="30056"/>
    <cellStyle name="Standaard 27 2 2 2 2 3 2 2 3" xfId="30057"/>
    <cellStyle name="Standaard 27 2 2 2 2 3 2 3" xfId="30058"/>
    <cellStyle name="Standaard 27 2 2 2 2 3 2 3 2" xfId="30059"/>
    <cellStyle name="Standaard 27 2 2 2 2 3 2 4" xfId="30060"/>
    <cellStyle name="Standaard 27 2 2 2 2 3 3" xfId="30061"/>
    <cellStyle name="Standaard 27 2 2 2 2 3 3 2" xfId="30062"/>
    <cellStyle name="Standaard 27 2 2 2 2 3 3 2 2" xfId="30063"/>
    <cellStyle name="Standaard 27 2 2 2 2 3 3 3" xfId="30064"/>
    <cellStyle name="Standaard 27 2 2 2 2 3 4" xfId="30065"/>
    <cellStyle name="Standaard 27 2 2 2 2 3 4 2" xfId="30066"/>
    <cellStyle name="Standaard 27 2 2 2 2 3 5" xfId="30067"/>
    <cellStyle name="Standaard 27 2 2 2 2 3 6" xfId="30068"/>
    <cellStyle name="Standaard 27 2 2 2 2 4" xfId="30069"/>
    <cellStyle name="Standaard 27 2 2 2 2 4 2" xfId="30070"/>
    <cellStyle name="Standaard 27 2 2 2 2 4 2 2" xfId="30071"/>
    <cellStyle name="Standaard 27 2 2 2 2 4 2 2 2" xfId="30072"/>
    <cellStyle name="Standaard 27 2 2 2 2 4 2 3" xfId="30073"/>
    <cellStyle name="Standaard 27 2 2 2 2 4 3" xfId="30074"/>
    <cellStyle name="Standaard 27 2 2 2 2 4 3 2" xfId="30075"/>
    <cellStyle name="Standaard 27 2 2 2 2 4 4" xfId="30076"/>
    <cellStyle name="Standaard 27 2 2 2 2 5" xfId="30077"/>
    <cellStyle name="Standaard 27 2 2 2 2 5 2" xfId="30078"/>
    <cellStyle name="Standaard 27 2 2 2 2 5 2 2" xfId="30079"/>
    <cellStyle name="Standaard 27 2 2 2 2 5 3" xfId="30080"/>
    <cellStyle name="Standaard 27 2 2 2 2 6" xfId="30081"/>
    <cellStyle name="Standaard 27 2 2 2 2 6 2" xfId="30082"/>
    <cellStyle name="Standaard 27 2 2 2 2 7" xfId="30083"/>
    <cellStyle name="Standaard 27 2 2 2 2 8" xfId="30084"/>
    <cellStyle name="Standaard 27 2 2 2 3" xfId="30085"/>
    <cellStyle name="Standaard 27 2 2 2 3 2" xfId="30086"/>
    <cellStyle name="Standaard 27 2 2 2 3 2 2" xfId="30087"/>
    <cellStyle name="Standaard 27 2 2 2 3 2 2 2" xfId="30088"/>
    <cellStyle name="Standaard 27 2 2 2 3 2 2 2 2" xfId="30089"/>
    <cellStyle name="Standaard 27 2 2 2 3 2 2 2 2 2" xfId="30090"/>
    <cellStyle name="Standaard 27 2 2 2 3 2 2 2 3" xfId="30091"/>
    <cellStyle name="Standaard 27 2 2 2 3 2 2 3" xfId="30092"/>
    <cellStyle name="Standaard 27 2 2 2 3 2 2 3 2" xfId="30093"/>
    <cellStyle name="Standaard 27 2 2 2 3 2 2 4" xfId="30094"/>
    <cellStyle name="Standaard 27 2 2 2 3 2 3" xfId="30095"/>
    <cellStyle name="Standaard 27 2 2 2 3 2 3 2" xfId="30096"/>
    <cellStyle name="Standaard 27 2 2 2 3 2 3 2 2" xfId="30097"/>
    <cellStyle name="Standaard 27 2 2 2 3 2 3 3" xfId="30098"/>
    <cellStyle name="Standaard 27 2 2 2 3 2 4" xfId="30099"/>
    <cellStyle name="Standaard 27 2 2 2 3 2 4 2" xfId="30100"/>
    <cellStyle name="Standaard 27 2 2 2 3 2 5" xfId="30101"/>
    <cellStyle name="Standaard 27 2 2 2 3 2 6" xfId="30102"/>
    <cellStyle name="Standaard 27 2 2 2 3 3" xfId="30103"/>
    <cellStyle name="Standaard 27 2 2 2 3 3 2" xfId="30104"/>
    <cellStyle name="Standaard 27 2 2 2 3 3 2 2" xfId="30105"/>
    <cellStyle name="Standaard 27 2 2 2 3 3 2 2 2" xfId="30106"/>
    <cellStyle name="Standaard 27 2 2 2 3 3 2 3" xfId="30107"/>
    <cellStyle name="Standaard 27 2 2 2 3 3 3" xfId="30108"/>
    <cellStyle name="Standaard 27 2 2 2 3 3 3 2" xfId="30109"/>
    <cellStyle name="Standaard 27 2 2 2 3 3 4" xfId="30110"/>
    <cellStyle name="Standaard 27 2 2 2 3 4" xfId="30111"/>
    <cellStyle name="Standaard 27 2 2 2 3 4 2" xfId="30112"/>
    <cellStyle name="Standaard 27 2 2 2 3 4 2 2" xfId="30113"/>
    <cellStyle name="Standaard 27 2 2 2 3 4 3" xfId="30114"/>
    <cellStyle name="Standaard 27 2 2 2 3 5" xfId="30115"/>
    <cellStyle name="Standaard 27 2 2 2 3 5 2" xfId="30116"/>
    <cellStyle name="Standaard 27 2 2 2 3 6" xfId="30117"/>
    <cellStyle name="Standaard 27 2 2 2 3 7" xfId="30118"/>
    <cellStyle name="Standaard 27 2 2 2 4" xfId="30119"/>
    <cellStyle name="Standaard 27 2 2 2 4 2" xfId="30120"/>
    <cellStyle name="Standaard 27 2 2 2 4 2 2" xfId="30121"/>
    <cellStyle name="Standaard 27 2 2 2 4 2 2 2" xfId="30122"/>
    <cellStyle name="Standaard 27 2 2 2 4 2 2 2 2" xfId="30123"/>
    <cellStyle name="Standaard 27 2 2 2 4 2 2 3" xfId="30124"/>
    <cellStyle name="Standaard 27 2 2 2 4 2 3" xfId="30125"/>
    <cellStyle name="Standaard 27 2 2 2 4 2 3 2" xfId="30126"/>
    <cellStyle name="Standaard 27 2 2 2 4 2 4" xfId="30127"/>
    <cellStyle name="Standaard 27 2 2 2 4 3" xfId="30128"/>
    <cellStyle name="Standaard 27 2 2 2 4 3 2" xfId="30129"/>
    <cellStyle name="Standaard 27 2 2 2 4 3 2 2" xfId="30130"/>
    <cellStyle name="Standaard 27 2 2 2 4 3 3" xfId="30131"/>
    <cellStyle name="Standaard 27 2 2 2 4 4" xfId="30132"/>
    <cellStyle name="Standaard 27 2 2 2 4 4 2" xfId="30133"/>
    <cellStyle name="Standaard 27 2 2 2 4 5" xfId="30134"/>
    <cellStyle name="Standaard 27 2 2 2 4 6" xfId="30135"/>
    <cellStyle name="Standaard 27 2 2 2 5" xfId="30136"/>
    <cellStyle name="Standaard 27 2 2 2 5 2" xfId="30137"/>
    <cellStyle name="Standaard 27 2 2 2 5 2 2" xfId="30138"/>
    <cellStyle name="Standaard 27 2 2 2 5 2 2 2" xfId="30139"/>
    <cellStyle name="Standaard 27 2 2 2 5 2 3" xfId="30140"/>
    <cellStyle name="Standaard 27 2 2 2 5 3" xfId="30141"/>
    <cellStyle name="Standaard 27 2 2 2 5 3 2" xfId="30142"/>
    <cellStyle name="Standaard 27 2 2 2 5 4" xfId="30143"/>
    <cellStyle name="Standaard 27 2 2 2 6" xfId="30144"/>
    <cellStyle name="Standaard 27 2 2 2 6 2" xfId="30145"/>
    <cellStyle name="Standaard 27 2 2 2 6 2 2" xfId="30146"/>
    <cellStyle name="Standaard 27 2 2 2 6 3" xfId="30147"/>
    <cellStyle name="Standaard 27 2 2 2 7" xfId="30148"/>
    <cellStyle name="Standaard 27 2 2 2 7 2" xfId="30149"/>
    <cellStyle name="Standaard 27 2 2 2 8" xfId="30150"/>
    <cellStyle name="Standaard 27 2 2 2 9" xfId="30151"/>
    <cellStyle name="Standaard 27 2 2 3" xfId="30152"/>
    <cellStyle name="Standaard 27 2 2 3 2" xfId="30153"/>
    <cellStyle name="Standaard 27 2 2 3 2 2" xfId="30154"/>
    <cellStyle name="Standaard 27 2 2 3 2 2 2" xfId="30155"/>
    <cellStyle name="Standaard 27 2 2 3 2 2 2 2" xfId="30156"/>
    <cellStyle name="Standaard 27 2 2 3 2 2 2 2 2" xfId="30157"/>
    <cellStyle name="Standaard 27 2 2 3 2 2 2 2 2 2" xfId="30158"/>
    <cellStyle name="Standaard 27 2 2 3 2 2 2 2 3" xfId="30159"/>
    <cellStyle name="Standaard 27 2 2 3 2 2 2 3" xfId="30160"/>
    <cellStyle name="Standaard 27 2 2 3 2 2 2 3 2" xfId="30161"/>
    <cellStyle name="Standaard 27 2 2 3 2 2 2 4" xfId="30162"/>
    <cellStyle name="Standaard 27 2 2 3 2 2 3" xfId="30163"/>
    <cellStyle name="Standaard 27 2 2 3 2 2 3 2" xfId="30164"/>
    <cellStyle name="Standaard 27 2 2 3 2 2 3 2 2" xfId="30165"/>
    <cellStyle name="Standaard 27 2 2 3 2 2 3 3" xfId="30166"/>
    <cellStyle name="Standaard 27 2 2 3 2 2 4" xfId="30167"/>
    <cellStyle name="Standaard 27 2 2 3 2 2 4 2" xfId="30168"/>
    <cellStyle name="Standaard 27 2 2 3 2 2 5" xfId="30169"/>
    <cellStyle name="Standaard 27 2 2 3 2 2 6" xfId="30170"/>
    <cellStyle name="Standaard 27 2 2 3 2 3" xfId="30171"/>
    <cellStyle name="Standaard 27 2 2 3 2 3 2" xfId="30172"/>
    <cellStyle name="Standaard 27 2 2 3 2 3 2 2" xfId="30173"/>
    <cellStyle name="Standaard 27 2 2 3 2 3 2 2 2" xfId="30174"/>
    <cellStyle name="Standaard 27 2 2 3 2 3 2 3" xfId="30175"/>
    <cellStyle name="Standaard 27 2 2 3 2 3 3" xfId="30176"/>
    <cellStyle name="Standaard 27 2 2 3 2 3 3 2" xfId="30177"/>
    <cellStyle name="Standaard 27 2 2 3 2 3 4" xfId="30178"/>
    <cellStyle name="Standaard 27 2 2 3 2 4" xfId="30179"/>
    <cellStyle name="Standaard 27 2 2 3 2 4 2" xfId="30180"/>
    <cellStyle name="Standaard 27 2 2 3 2 4 2 2" xfId="30181"/>
    <cellStyle name="Standaard 27 2 2 3 2 4 3" xfId="30182"/>
    <cellStyle name="Standaard 27 2 2 3 2 5" xfId="30183"/>
    <cellStyle name="Standaard 27 2 2 3 2 5 2" xfId="30184"/>
    <cellStyle name="Standaard 27 2 2 3 2 6" xfId="30185"/>
    <cellStyle name="Standaard 27 2 2 3 2 7" xfId="30186"/>
    <cellStyle name="Standaard 27 2 2 3 3" xfId="30187"/>
    <cellStyle name="Standaard 27 2 2 3 3 2" xfId="30188"/>
    <cellStyle name="Standaard 27 2 2 3 3 2 2" xfId="30189"/>
    <cellStyle name="Standaard 27 2 2 3 3 2 2 2" xfId="30190"/>
    <cellStyle name="Standaard 27 2 2 3 3 2 2 2 2" xfId="30191"/>
    <cellStyle name="Standaard 27 2 2 3 3 2 2 3" xfId="30192"/>
    <cellStyle name="Standaard 27 2 2 3 3 2 3" xfId="30193"/>
    <cellStyle name="Standaard 27 2 2 3 3 2 3 2" xfId="30194"/>
    <cellStyle name="Standaard 27 2 2 3 3 2 4" xfId="30195"/>
    <cellStyle name="Standaard 27 2 2 3 3 3" xfId="30196"/>
    <cellStyle name="Standaard 27 2 2 3 3 3 2" xfId="30197"/>
    <cellStyle name="Standaard 27 2 2 3 3 3 2 2" xfId="30198"/>
    <cellStyle name="Standaard 27 2 2 3 3 3 3" xfId="30199"/>
    <cellStyle name="Standaard 27 2 2 3 3 4" xfId="30200"/>
    <cellStyle name="Standaard 27 2 2 3 3 4 2" xfId="30201"/>
    <cellStyle name="Standaard 27 2 2 3 3 5" xfId="30202"/>
    <cellStyle name="Standaard 27 2 2 3 3 6" xfId="30203"/>
    <cellStyle name="Standaard 27 2 2 3 4" xfId="30204"/>
    <cellStyle name="Standaard 27 2 2 3 4 2" xfId="30205"/>
    <cellStyle name="Standaard 27 2 2 3 4 2 2" xfId="30206"/>
    <cellStyle name="Standaard 27 2 2 3 4 2 2 2" xfId="30207"/>
    <cellStyle name="Standaard 27 2 2 3 4 2 3" xfId="30208"/>
    <cellStyle name="Standaard 27 2 2 3 4 3" xfId="30209"/>
    <cellStyle name="Standaard 27 2 2 3 4 3 2" xfId="30210"/>
    <cellStyle name="Standaard 27 2 2 3 4 4" xfId="30211"/>
    <cellStyle name="Standaard 27 2 2 3 5" xfId="30212"/>
    <cellStyle name="Standaard 27 2 2 3 5 2" xfId="30213"/>
    <cellStyle name="Standaard 27 2 2 3 5 2 2" xfId="30214"/>
    <cellStyle name="Standaard 27 2 2 3 5 3" xfId="30215"/>
    <cellStyle name="Standaard 27 2 2 3 6" xfId="30216"/>
    <cellStyle name="Standaard 27 2 2 3 6 2" xfId="30217"/>
    <cellStyle name="Standaard 27 2 2 3 7" xfId="30218"/>
    <cellStyle name="Standaard 27 2 2 3 8" xfId="30219"/>
    <cellStyle name="Standaard 27 2 2 4" xfId="30220"/>
    <cellStyle name="Standaard 27 2 2 4 2" xfId="30221"/>
    <cellStyle name="Standaard 27 2 2 4 2 2" xfId="30222"/>
    <cellStyle name="Standaard 27 2 2 4 2 2 2" xfId="30223"/>
    <cellStyle name="Standaard 27 2 2 4 2 2 2 2" xfId="30224"/>
    <cellStyle name="Standaard 27 2 2 4 2 2 2 2 2" xfId="30225"/>
    <cellStyle name="Standaard 27 2 2 4 2 2 2 2 2 2" xfId="30226"/>
    <cellStyle name="Standaard 27 2 2 4 2 2 2 2 3" xfId="30227"/>
    <cellStyle name="Standaard 27 2 2 4 2 2 2 3" xfId="30228"/>
    <cellStyle name="Standaard 27 2 2 4 2 2 2 3 2" xfId="30229"/>
    <cellStyle name="Standaard 27 2 2 4 2 2 2 4" xfId="30230"/>
    <cellStyle name="Standaard 27 2 2 4 2 2 3" xfId="30231"/>
    <cellStyle name="Standaard 27 2 2 4 2 2 3 2" xfId="30232"/>
    <cellStyle name="Standaard 27 2 2 4 2 2 3 2 2" xfId="30233"/>
    <cellStyle name="Standaard 27 2 2 4 2 2 3 3" xfId="30234"/>
    <cellStyle name="Standaard 27 2 2 4 2 2 4" xfId="30235"/>
    <cellStyle name="Standaard 27 2 2 4 2 2 4 2" xfId="30236"/>
    <cellStyle name="Standaard 27 2 2 4 2 2 5" xfId="30237"/>
    <cellStyle name="Standaard 27 2 2 4 2 2 6" xfId="30238"/>
    <cellStyle name="Standaard 27 2 2 4 2 3" xfId="30239"/>
    <cellStyle name="Standaard 27 2 2 4 2 3 2" xfId="30240"/>
    <cellStyle name="Standaard 27 2 2 4 2 3 2 2" xfId="30241"/>
    <cellStyle name="Standaard 27 2 2 4 2 3 2 2 2" xfId="30242"/>
    <cellStyle name="Standaard 27 2 2 4 2 3 2 3" xfId="30243"/>
    <cellStyle name="Standaard 27 2 2 4 2 3 3" xfId="30244"/>
    <cellStyle name="Standaard 27 2 2 4 2 3 3 2" xfId="30245"/>
    <cellStyle name="Standaard 27 2 2 4 2 3 4" xfId="30246"/>
    <cellStyle name="Standaard 27 2 2 4 2 4" xfId="30247"/>
    <cellStyle name="Standaard 27 2 2 4 2 4 2" xfId="30248"/>
    <cellStyle name="Standaard 27 2 2 4 2 4 2 2" xfId="30249"/>
    <cellStyle name="Standaard 27 2 2 4 2 4 3" xfId="30250"/>
    <cellStyle name="Standaard 27 2 2 4 2 5" xfId="30251"/>
    <cellStyle name="Standaard 27 2 2 4 2 5 2" xfId="30252"/>
    <cellStyle name="Standaard 27 2 2 4 2 6" xfId="30253"/>
    <cellStyle name="Standaard 27 2 2 4 2 7" xfId="30254"/>
    <cellStyle name="Standaard 27 2 2 4 3" xfId="30255"/>
    <cellStyle name="Standaard 27 2 2 4 3 2" xfId="30256"/>
    <cellStyle name="Standaard 27 2 2 4 3 2 2" xfId="30257"/>
    <cellStyle name="Standaard 27 2 2 4 3 2 2 2" xfId="30258"/>
    <cellStyle name="Standaard 27 2 2 4 3 2 2 2 2" xfId="30259"/>
    <cellStyle name="Standaard 27 2 2 4 3 2 2 3" xfId="30260"/>
    <cellStyle name="Standaard 27 2 2 4 3 2 3" xfId="30261"/>
    <cellStyle name="Standaard 27 2 2 4 3 2 3 2" xfId="30262"/>
    <cellStyle name="Standaard 27 2 2 4 3 2 4" xfId="30263"/>
    <cellStyle name="Standaard 27 2 2 4 3 3" xfId="30264"/>
    <cellStyle name="Standaard 27 2 2 4 3 3 2" xfId="30265"/>
    <cellStyle name="Standaard 27 2 2 4 3 3 2 2" xfId="30266"/>
    <cellStyle name="Standaard 27 2 2 4 3 3 3" xfId="30267"/>
    <cellStyle name="Standaard 27 2 2 4 3 4" xfId="30268"/>
    <cellStyle name="Standaard 27 2 2 4 3 4 2" xfId="30269"/>
    <cellStyle name="Standaard 27 2 2 4 3 5" xfId="30270"/>
    <cellStyle name="Standaard 27 2 2 4 3 6" xfId="30271"/>
    <cellStyle name="Standaard 27 2 2 4 4" xfId="30272"/>
    <cellStyle name="Standaard 27 2 2 4 4 2" xfId="30273"/>
    <cellStyle name="Standaard 27 2 2 4 4 2 2" xfId="30274"/>
    <cellStyle name="Standaard 27 2 2 4 4 2 2 2" xfId="30275"/>
    <cellStyle name="Standaard 27 2 2 4 4 2 3" xfId="30276"/>
    <cellStyle name="Standaard 27 2 2 4 4 3" xfId="30277"/>
    <cellStyle name="Standaard 27 2 2 4 4 3 2" xfId="30278"/>
    <cellStyle name="Standaard 27 2 2 4 4 4" xfId="30279"/>
    <cellStyle name="Standaard 27 2 2 4 5" xfId="30280"/>
    <cellStyle name="Standaard 27 2 2 4 5 2" xfId="30281"/>
    <cellStyle name="Standaard 27 2 2 4 5 2 2" xfId="30282"/>
    <cellStyle name="Standaard 27 2 2 4 5 3" xfId="30283"/>
    <cellStyle name="Standaard 27 2 2 4 6" xfId="30284"/>
    <cellStyle name="Standaard 27 2 2 4 6 2" xfId="30285"/>
    <cellStyle name="Standaard 27 2 2 4 7" xfId="30286"/>
    <cellStyle name="Standaard 27 2 2 4 8" xfId="30287"/>
    <cellStyle name="Standaard 27 2 2 5" xfId="30288"/>
    <cellStyle name="Standaard 27 2 2 5 2" xfId="30289"/>
    <cellStyle name="Standaard 27 2 2 5 2 2" xfId="30290"/>
    <cellStyle name="Standaard 27 2 2 5 2 2 2" xfId="30291"/>
    <cellStyle name="Standaard 27 2 2 5 2 2 2 2" xfId="30292"/>
    <cellStyle name="Standaard 27 2 2 5 2 2 2 2 2" xfId="30293"/>
    <cellStyle name="Standaard 27 2 2 5 2 2 2 3" xfId="30294"/>
    <cellStyle name="Standaard 27 2 2 5 2 2 3" xfId="30295"/>
    <cellStyle name="Standaard 27 2 2 5 2 2 3 2" xfId="30296"/>
    <cellStyle name="Standaard 27 2 2 5 2 2 4" xfId="30297"/>
    <cellStyle name="Standaard 27 2 2 5 2 3" xfId="30298"/>
    <cellStyle name="Standaard 27 2 2 5 2 3 2" xfId="30299"/>
    <cellStyle name="Standaard 27 2 2 5 2 3 2 2" xfId="30300"/>
    <cellStyle name="Standaard 27 2 2 5 2 3 3" xfId="30301"/>
    <cellStyle name="Standaard 27 2 2 5 2 4" xfId="30302"/>
    <cellStyle name="Standaard 27 2 2 5 2 4 2" xfId="30303"/>
    <cellStyle name="Standaard 27 2 2 5 2 5" xfId="30304"/>
    <cellStyle name="Standaard 27 2 2 5 2 6" xfId="30305"/>
    <cellStyle name="Standaard 27 2 2 5 3" xfId="30306"/>
    <cellStyle name="Standaard 27 2 2 5 3 2" xfId="30307"/>
    <cellStyle name="Standaard 27 2 2 5 3 2 2" xfId="30308"/>
    <cellStyle name="Standaard 27 2 2 5 3 2 2 2" xfId="30309"/>
    <cellStyle name="Standaard 27 2 2 5 3 2 3" xfId="30310"/>
    <cellStyle name="Standaard 27 2 2 5 3 3" xfId="30311"/>
    <cellStyle name="Standaard 27 2 2 5 3 3 2" xfId="30312"/>
    <cellStyle name="Standaard 27 2 2 5 3 4" xfId="30313"/>
    <cellStyle name="Standaard 27 2 2 5 4" xfId="30314"/>
    <cellStyle name="Standaard 27 2 2 5 4 2" xfId="30315"/>
    <cellStyle name="Standaard 27 2 2 5 4 2 2" xfId="30316"/>
    <cellStyle name="Standaard 27 2 2 5 4 3" xfId="30317"/>
    <cellStyle name="Standaard 27 2 2 5 5" xfId="30318"/>
    <cellStyle name="Standaard 27 2 2 5 5 2" xfId="30319"/>
    <cellStyle name="Standaard 27 2 2 5 6" xfId="30320"/>
    <cellStyle name="Standaard 27 2 2 5 7" xfId="30321"/>
    <cellStyle name="Standaard 27 2 2 6" xfId="30322"/>
    <cellStyle name="Standaard 27 2 2 6 2" xfId="30323"/>
    <cellStyle name="Standaard 27 2 2 6 2 2" xfId="30324"/>
    <cellStyle name="Standaard 27 2 2 6 2 2 2" xfId="30325"/>
    <cellStyle name="Standaard 27 2 2 6 2 2 2 2" xfId="30326"/>
    <cellStyle name="Standaard 27 2 2 6 2 2 3" xfId="30327"/>
    <cellStyle name="Standaard 27 2 2 6 2 3" xfId="30328"/>
    <cellStyle name="Standaard 27 2 2 6 2 3 2" xfId="30329"/>
    <cellStyle name="Standaard 27 2 2 6 2 4" xfId="30330"/>
    <cellStyle name="Standaard 27 2 2 6 3" xfId="30331"/>
    <cellStyle name="Standaard 27 2 2 6 3 2" xfId="30332"/>
    <cellStyle name="Standaard 27 2 2 6 3 2 2" xfId="30333"/>
    <cellStyle name="Standaard 27 2 2 6 3 3" xfId="30334"/>
    <cellStyle name="Standaard 27 2 2 6 4" xfId="30335"/>
    <cellStyle name="Standaard 27 2 2 6 4 2" xfId="30336"/>
    <cellStyle name="Standaard 27 2 2 6 5" xfId="30337"/>
    <cellStyle name="Standaard 27 2 2 6 6" xfId="30338"/>
    <cellStyle name="Standaard 27 2 2 7" xfId="30339"/>
    <cellStyle name="Standaard 27 2 2 7 2" xfId="30340"/>
    <cellStyle name="Standaard 27 2 2 7 2 2" xfId="30341"/>
    <cellStyle name="Standaard 27 2 2 7 2 2 2" xfId="30342"/>
    <cellStyle name="Standaard 27 2 2 7 2 3" xfId="30343"/>
    <cellStyle name="Standaard 27 2 2 7 3" xfId="30344"/>
    <cellStyle name="Standaard 27 2 2 7 3 2" xfId="30345"/>
    <cellStyle name="Standaard 27 2 2 7 4" xfId="30346"/>
    <cellStyle name="Standaard 27 2 2 8" xfId="30347"/>
    <cellStyle name="Standaard 27 2 2 8 2" xfId="30348"/>
    <cellStyle name="Standaard 27 2 2 8 2 2" xfId="30349"/>
    <cellStyle name="Standaard 27 2 2 8 3" xfId="30350"/>
    <cellStyle name="Standaard 27 2 2 9" xfId="30351"/>
    <cellStyle name="Standaard 27 2 2 9 2" xfId="30352"/>
    <cellStyle name="Standaard 27 2 3" xfId="30353"/>
    <cellStyle name="Standaard 27 2 3 2" xfId="30354"/>
    <cellStyle name="Standaard 27 2 3 2 2" xfId="30355"/>
    <cellStyle name="Standaard 27 2 3 2 2 2" xfId="30356"/>
    <cellStyle name="Standaard 27 2 3 2 2 2 2" xfId="30357"/>
    <cellStyle name="Standaard 27 2 3 2 2 2 2 2" xfId="30358"/>
    <cellStyle name="Standaard 27 2 3 2 2 2 2 2 2" xfId="30359"/>
    <cellStyle name="Standaard 27 2 3 2 2 2 2 2 2 2" xfId="30360"/>
    <cellStyle name="Standaard 27 2 3 2 2 2 2 2 3" xfId="30361"/>
    <cellStyle name="Standaard 27 2 3 2 2 2 2 3" xfId="30362"/>
    <cellStyle name="Standaard 27 2 3 2 2 2 2 3 2" xfId="30363"/>
    <cellStyle name="Standaard 27 2 3 2 2 2 2 4" xfId="30364"/>
    <cellStyle name="Standaard 27 2 3 2 2 2 3" xfId="30365"/>
    <cellStyle name="Standaard 27 2 3 2 2 2 3 2" xfId="30366"/>
    <cellStyle name="Standaard 27 2 3 2 2 2 3 2 2" xfId="30367"/>
    <cellStyle name="Standaard 27 2 3 2 2 2 3 3" xfId="30368"/>
    <cellStyle name="Standaard 27 2 3 2 2 2 4" xfId="30369"/>
    <cellStyle name="Standaard 27 2 3 2 2 2 4 2" xfId="30370"/>
    <cellStyle name="Standaard 27 2 3 2 2 2 5" xfId="30371"/>
    <cellStyle name="Standaard 27 2 3 2 2 2 6" xfId="30372"/>
    <cellStyle name="Standaard 27 2 3 2 2 3" xfId="30373"/>
    <cellStyle name="Standaard 27 2 3 2 2 3 2" xfId="30374"/>
    <cellStyle name="Standaard 27 2 3 2 2 3 2 2" xfId="30375"/>
    <cellStyle name="Standaard 27 2 3 2 2 3 2 2 2" xfId="30376"/>
    <cellStyle name="Standaard 27 2 3 2 2 3 2 3" xfId="30377"/>
    <cellStyle name="Standaard 27 2 3 2 2 3 3" xfId="30378"/>
    <cellStyle name="Standaard 27 2 3 2 2 3 3 2" xfId="30379"/>
    <cellStyle name="Standaard 27 2 3 2 2 3 4" xfId="30380"/>
    <cellStyle name="Standaard 27 2 3 2 2 4" xfId="30381"/>
    <cellStyle name="Standaard 27 2 3 2 2 4 2" xfId="30382"/>
    <cellStyle name="Standaard 27 2 3 2 2 4 2 2" xfId="30383"/>
    <cellStyle name="Standaard 27 2 3 2 2 4 3" xfId="30384"/>
    <cellStyle name="Standaard 27 2 3 2 2 5" xfId="30385"/>
    <cellStyle name="Standaard 27 2 3 2 2 5 2" xfId="30386"/>
    <cellStyle name="Standaard 27 2 3 2 2 6" xfId="30387"/>
    <cellStyle name="Standaard 27 2 3 2 2 7" xfId="30388"/>
    <cellStyle name="Standaard 27 2 3 2 3" xfId="30389"/>
    <cellStyle name="Standaard 27 2 3 2 3 2" xfId="30390"/>
    <cellStyle name="Standaard 27 2 3 2 3 2 2" xfId="30391"/>
    <cellStyle name="Standaard 27 2 3 2 3 2 2 2" xfId="30392"/>
    <cellStyle name="Standaard 27 2 3 2 3 2 2 2 2" xfId="30393"/>
    <cellStyle name="Standaard 27 2 3 2 3 2 2 3" xfId="30394"/>
    <cellStyle name="Standaard 27 2 3 2 3 2 3" xfId="30395"/>
    <cellStyle name="Standaard 27 2 3 2 3 2 3 2" xfId="30396"/>
    <cellStyle name="Standaard 27 2 3 2 3 2 4" xfId="30397"/>
    <cellStyle name="Standaard 27 2 3 2 3 3" xfId="30398"/>
    <cellStyle name="Standaard 27 2 3 2 3 3 2" xfId="30399"/>
    <cellStyle name="Standaard 27 2 3 2 3 3 2 2" xfId="30400"/>
    <cellStyle name="Standaard 27 2 3 2 3 3 3" xfId="30401"/>
    <cellStyle name="Standaard 27 2 3 2 3 4" xfId="30402"/>
    <cellStyle name="Standaard 27 2 3 2 3 4 2" xfId="30403"/>
    <cellStyle name="Standaard 27 2 3 2 3 5" xfId="30404"/>
    <cellStyle name="Standaard 27 2 3 2 3 6" xfId="30405"/>
    <cellStyle name="Standaard 27 2 3 2 4" xfId="30406"/>
    <cellStyle name="Standaard 27 2 3 2 4 2" xfId="30407"/>
    <cellStyle name="Standaard 27 2 3 2 4 2 2" xfId="30408"/>
    <cellStyle name="Standaard 27 2 3 2 4 2 2 2" xfId="30409"/>
    <cellStyle name="Standaard 27 2 3 2 4 2 3" xfId="30410"/>
    <cellStyle name="Standaard 27 2 3 2 4 3" xfId="30411"/>
    <cellStyle name="Standaard 27 2 3 2 4 3 2" xfId="30412"/>
    <cellStyle name="Standaard 27 2 3 2 4 4" xfId="30413"/>
    <cellStyle name="Standaard 27 2 3 2 5" xfId="30414"/>
    <cellStyle name="Standaard 27 2 3 2 5 2" xfId="30415"/>
    <cellStyle name="Standaard 27 2 3 2 5 2 2" xfId="30416"/>
    <cellStyle name="Standaard 27 2 3 2 5 3" xfId="30417"/>
    <cellStyle name="Standaard 27 2 3 2 6" xfId="30418"/>
    <cellStyle name="Standaard 27 2 3 2 6 2" xfId="30419"/>
    <cellStyle name="Standaard 27 2 3 2 7" xfId="30420"/>
    <cellStyle name="Standaard 27 2 3 2 8" xfId="30421"/>
    <cellStyle name="Standaard 27 2 3 3" xfId="30422"/>
    <cellStyle name="Standaard 27 2 3 3 2" xfId="30423"/>
    <cellStyle name="Standaard 27 2 3 3 2 2" xfId="30424"/>
    <cellStyle name="Standaard 27 2 3 3 2 2 2" xfId="30425"/>
    <cellStyle name="Standaard 27 2 3 3 2 2 2 2" xfId="30426"/>
    <cellStyle name="Standaard 27 2 3 3 2 2 2 2 2" xfId="30427"/>
    <cellStyle name="Standaard 27 2 3 3 2 2 2 3" xfId="30428"/>
    <cellStyle name="Standaard 27 2 3 3 2 2 3" xfId="30429"/>
    <cellStyle name="Standaard 27 2 3 3 2 2 3 2" xfId="30430"/>
    <cellStyle name="Standaard 27 2 3 3 2 2 4" xfId="30431"/>
    <cellStyle name="Standaard 27 2 3 3 2 3" xfId="30432"/>
    <cellStyle name="Standaard 27 2 3 3 2 3 2" xfId="30433"/>
    <cellStyle name="Standaard 27 2 3 3 2 3 2 2" xfId="30434"/>
    <cellStyle name="Standaard 27 2 3 3 2 3 3" xfId="30435"/>
    <cellStyle name="Standaard 27 2 3 3 2 4" xfId="30436"/>
    <cellStyle name="Standaard 27 2 3 3 2 4 2" xfId="30437"/>
    <cellStyle name="Standaard 27 2 3 3 2 5" xfId="30438"/>
    <cellStyle name="Standaard 27 2 3 3 2 6" xfId="30439"/>
    <cellStyle name="Standaard 27 2 3 3 3" xfId="30440"/>
    <cellStyle name="Standaard 27 2 3 3 3 2" xfId="30441"/>
    <cellStyle name="Standaard 27 2 3 3 3 2 2" xfId="30442"/>
    <cellStyle name="Standaard 27 2 3 3 3 2 2 2" xfId="30443"/>
    <cellStyle name="Standaard 27 2 3 3 3 2 3" xfId="30444"/>
    <cellStyle name="Standaard 27 2 3 3 3 3" xfId="30445"/>
    <cellStyle name="Standaard 27 2 3 3 3 3 2" xfId="30446"/>
    <cellStyle name="Standaard 27 2 3 3 3 4" xfId="30447"/>
    <cellStyle name="Standaard 27 2 3 3 4" xfId="30448"/>
    <cellStyle name="Standaard 27 2 3 3 4 2" xfId="30449"/>
    <cellStyle name="Standaard 27 2 3 3 4 2 2" xfId="30450"/>
    <cellStyle name="Standaard 27 2 3 3 4 3" xfId="30451"/>
    <cellStyle name="Standaard 27 2 3 3 5" xfId="30452"/>
    <cellStyle name="Standaard 27 2 3 3 5 2" xfId="30453"/>
    <cellStyle name="Standaard 27 2 3 3 6" xfId="30454"/>
    <cellStyle name="Standaard 27 2 3 3 7" xfId="30455"/>
    <cellStyle name="Standaard 27 2 3 4" xfId="30456"/>
    <cellStyle name="Standaard 27 2 3 4 2" xfId="30457"/>
    <cellStyle name="Standaard 27 2 3 4 2 2" xfId="30458"/>
    <cellStyle name="Standaard 27 2 3 4 2 2 2" xfId="30459"/>
    <cellStyle name="Standaard 27 2 3 4 2 2 2 2" xfId="30460"/>
    <cellStyle name="Standaard 27 2 3 4 2 2 3" xfId="30461"/>
    <cellStyle name="Standaard 27 2 3 4 2 3" xfId="30462"/>
    <cellStyle name="Standaard 27 2 3 4 2 3 2" xfId="30463"/>
    <cellStyle name="Standaard 27 2 3 4 2 4" xfId="30464"/>
    <cellStyle name="Standaard 27 2 3 4 3" xfId="30465"/>
    <cellStyle name="Standaard 27 2 3 4 3 2" xfId="30466"/>
    <cellStyle name="Standaard 27 2 3 4 3 2 2" xfId="30467"/>
    <cellStyle name="Standaard 27 2 3 4 3 3" xfId="30468"/>
    <cellStyle name="Standaard 27 2 3 4 4" xfId="30469"/>
    <cellStyle name="Standaard 27 2 3 4 4 2" xfId="30470"/>
    <cellStyle name="Standaard 27 2 3 4 5" xfId="30471"/>
    <cellStyle name="Standaard 27 2 3 4 6" xfId="30472"/>
    <cellStyle name="Standaard 27 2 3 5" xfId="30473"/>
    <cellStyle name="Standaard 27 2 3 5 2" xfId="30474"/>
    <cellStyle name="Standaard 27 2 3 5 2 2" xfId="30475"/>
    <cellStyle name="Standaard 27 2 3 5 2 2 2" xfId="30476"/>
    <cellStyle name="Standaard 27 2 3 5 2 3" xfId="30477"/>
    <cellStyle name="Standaard 27 2 3 5 3" xfId="30478"/>
    <cellStyle name="Standaard 27 2 3 5 3 2" xfId="30479"/>
    <cellStyle name="Standaard 27 2 3 5 4" xfId="30480"/>
    <cellStyle name="Standaard 27 2 3 6" xfId="30481"/>
    <cellStyle name="Standaard 27 2 3 6 2" xfId="30482"/>
    <cellStyle name="Standaard 27 2 3 6 2 2" xfId="30483"/>
    <cellStyle name="Standaard 27 2 3 6 3" xfId="30484"/>
    <cellStyle name="Standaard 27 2 3 7" xfId="30485"/>
    <cellStyle name="Standaard 27 2 3 7 2" xfId="30486"/>
    <cellStyle name="Standaard 27 2 3 8" xfId="30487"/>
    <cellStyle name="Standaard 27 2 3 9" xfId="30488"/>
    <cellStyle name="Standaard 27 2 4" xfId="30489"/>
    <cellStyle name="Standaard 27 2 4 2" xfId="30490"/>
    <cellStyle name="Standaard 27 2 4 2 2" xfId="30491"/>
    <cellStyle name="Standaard 27 2 4 2 2 2" xfId="30492"/>
    <cellStyle name="Standaard 27 2 4 2 2 2 2" xfId="30493"/>
    <cellStyle name="Standaard 27 2 4 2 2 2 2 2" xfId="30494"/>
    <cellStyle name="Standaard 27 2 4 2 2 2 2 2 2" xfId="30495"/>
    <cellStyle name="Standaard 27 2 4 2 2 2 2 3" xfId="30496"/>
    <cellStyle name="Standaard 27 2 4 2 2 2 3" xfId="30497"/>
    <cellStyle name="Standaard 27 2 4 2 2 2 3 2" xfId="30498"/>
    <cellStyle name="Standaard 27 2 4 2 2 2 4" xfId="30499"/>
    <cellStyle name="Standaard 27 2 4 2 2 3" xfId="30500"/>
    <cellStyle name="Standaard 27 2 4 2 2 3 2" xfId="30501"/>
    <cellStyle name="Standaard 27 2 4 2 2 3 2 2" xfId="30502"/>
    <cellStyle name="Standaard 27 2 4 2 2 3 3" xfId="30503"/>
    <cellStyle name="Standaard 27 2 4 2 2 4" xfId="30504"/>
    <cellStyle name="Standaard 27 2 4 2 2 4 2" xfId="30505"/>
    <cellStyle name="Standaard 27 2 4 2 2 5" xfId="30506"/>
    <cellStyle name="Standaard 27 2 4 2 2 6" xfId="30507"/>
    <cellStyle name="Standaard 27 2 4 2 3" xfId="30508"/>
    <cellStyle name="Standaard 27 2 4 2 3 2" xfId="30509"/>
    <cellStyle name="Standaard 27 2 4 2 3 2 2" xfId="30510"/>
    <cellStyle name="Standaard 27 2 4 2 3 2 2 2" xfId="30511"/>
    <cellStyle name="Standaard 27 2 4 2 3 2 3" xfId="30512"/>
    <cellStyle name="Standaard 27 2 4 2 3 3" xfId="30513"/>
    <cellStyle name="Standaard 27 2 4 2 3 3 2" xfId="30514"/>
    <cellStyle name="Standaard 27 2 4 2 3 4" xfId="30515"/>
    <cellStyle name="Standaard 27 2 4 2 4" xfId="30516"/>
    <cellStyle name="Standaard 27 2 4 2 4 2" xfId="30517"/>
    <cellStyle name="Standaard 27 2 4 2 4 2 2" xfId="30518"/>
    <cellStyle name="Standaard 27 2 4 2 4 3" xfId="30519"/>
    <cellStyle name="Standaard 27 2 4 2 5" xfId="30520"/>
    <cellStyle name="Standaard 27 2 4 2 5 2" xfId="30521"/>
    <cellStyle name="Standaard 27 2 4 2 6" xfId="30522"/>
    <cellStyle name="Standaard 27 2 4 2 7" xfId="30523"/>
    <cellStyle name="Standaard 27 2 4 3" xfId="30524"/>
    <cellStyle name="Standaard 27 2 4 3 2" xfId="30525"/>
    <cellStyle name="Standaard 27 2 4 3 2 2" xfId="30526"/>
    <cellStyle name="Standaard 27 2 4 3 2 2 2" xfId="30527"/>
    <cellStyle name="Standaard 27 2 4 3 2 2 2 2" xfId="30528"/>
    <cellStyle name="Standaard 27 2 4 3 2 2 3" xfId="30529"/>
    <cellStyle name="Standaard 27 2 4 3 2 3" xfId="30530"/>
    <cellStyle name="Standaard 27 2 4 3 2 3 2" xfId="30531"/>
    <cellStyle name="Standaard 27 2 4 3 2 4" xfId="30532"/>
    <cellStyle name="Standaard 27 2 4 3 3" xfId="30533"/>
    <cellStyle name="Standaard 27 2 4 3 3 2" xfId="30534"/>
    <cellStyle name="Standaard 27 2 4 3 3 2 2" xfId="30535"/>
    <cellStyle name="Standaard 27 2 4 3 3 3" xfId="30536"/>
    <cellStyle name="Standaard 27 2 4 3 4" xfId="30537"/>
    <cellStyle name="Standaard 27 2 4 3 4 2" xfId="30538"/>
    <cellStyle name="Standaard 27 2 4 3 5" xfId="30539"/>
    <cellStyle name="Standaard 27 2 4 3 6" xfId="30540"/>
    <cellStyle name="Standaard 27 2 4 4" xfId="30541"/>
    <cellStyle name="Standaard 27 2 4 4 2" xfId="30542"/>
    <cellStyle name="Standaard 27 2 4 4 2 2" xfId="30543"/>
    <cellStyle name="Standaard 27 2 4 4 2 2 2" xfId="30544"/>
    <cellStyle name="Standaard 27 2 4 4 2 3" xfId="30545"/>
    <cellStyle name="Standaard 27 2 4 4 3" xfId="30546"/>
    <cellStyle name="Standaard 27 2 4 4 3 2" xfId="30547"/>
    <cellStyle name="Standaard 27 2 4 4 4" xfId="30548"/>
    <cellStyle name="Standaard 27 2 4 5" xfId="30549"/>
    <cellStyle name="Standaard 27 2 4 5 2" xfId="30550"/>
    <cellStyle name="Standaard 27 2 4 5 2 2" xfId="30551"/>
    <cellStyle name="Standaard 27 2 4 5 3" xfId="30552"/>
    <cellStyle name="Standaard 27 2 4 6" xfId="30553"/>
    <cellStyle name="Standaard 27 2 4 6 2" xfId="30554"/>
    <cellStyle name="Standaard 27 2 4 7" xfId="30555"/>
    <cellStyle name="Standaard 27 2 4 8" xfId="30556"/>
    <cellStyle name="Standaard 27 2 5" xfId="30557"/>
    <cellStyle name="Standaard 27 2 5 2" xfId="30558"/>
    <cellStyle name="Standaard 27 2 5 2 2" xfId="30559"/>
    <cellStyle name="Standaard 27 2 5 2 2 2" xfId="30560"/>
    <cellStyle name="Standaard 27 2 5 2 2 2 2" xfId="30561"/>
    <cellStyle name="Standaard 27 2 5 2 2 2 2 2" xfId="30562"/>
    <cellStyle name="Standaard 27 2 5 2 2 2 2 2 2" xfId="30563"/>
    <cellStyle name="Standaard 27 2 5 2 2 2 2 3" xfId="30564"/>
    <cellStyle name="Standaard 27 2 5 2 2 2 3" xfId="30565"/>
    <cellStyle name="Standaard 27 2 5 2 2 2 3 2" xfId="30566"/>
    <cellStyle name="Standaard 27 2 5 2 2 2 4" xfId="30567"/>
    <cellStyle name="Standaard 27 2 5 2 2 3" xfId="30568"/>
    <cellStyle name="Standaard 27 2 5 2 2 3 2" xfId="30569"/>
    <cellStyle name="Standaard 27 2 5 2 2 3 2 2" xfId="30570"/>
    <cellStyle name="Standaard 27 2 5 2 2 3 3" xfId="30571"/>
    <cellStyle name="Standaard 27 2 5 2 2 4" xfId="30572"/>
    <cellStyle name="Standaard 27 2 5 2 2 4 2" xfId="30573"/>
    <cellStyle name="Standaard 27 2 5 2 2 5" xfId="30574"/>
    <cellStyle name="Standaard 27 2 5 2 2 6" xfId="30575"/>
    <cellStyle name="Standaard 27 2 5 2 3" xfId="30576"/>
    <cellStyle name="Standaard 27 2 5 2 3 2" xfId="30577"/>
    <cellStyle name="Standaard 27 2 5 2 3 2 2" xfId="30578"/>
    <cellStyle name="Standaard 27 2 5 2 3 2 2 2" xfId="30579"/>
    <cellStyle name="Standaard 27 2 5 2 3 2 3" xfId="30580"/>
    <cellStyle name="Standaard 27 2 5 2 3 3" xfId="30581"/>
    <cellStyle name="Standaard 27 2 5 2 3 3 2" xfId="30582"/>
    <cellStyle name="Standaard 27 2 5 2 3 4" xfId="30583"/>
    <cellStyle name="Standaard 27 2 5 2 4" xfId="30584"/>
    <cellStyle name="Standaard 27 2 5 2 4 2" xfId="30585"/>
    <cellStyle name="Standaard 27 2 5 2 4 2 2" xfId="30586"/>
    <cellStyle name="Standaard 27 2 5 2 4 3" xfId="30587"/>
    <cellStyle name="Standaard 27 2 5 2 5" xfId="30588"/>
    <cellStyle name="Standaard 27 2 5 2 5 2" xfId="30589"/>
    <cellStyle name="Standaard 27 2 5 2 6" xfId="30590"/>
    <cellStyle name="Standaard 27 2 5 2 7" xfId="30591"/>
    <cellStyle name="Standaard 27 2 5 3" xfId="30592"/>
    <cellStyle name="Standaard 27 2 5 3 2" xfId="30593"/>
    <cellStyle name="Standaard 27 2 5 3 2 2" xfId="30594"/>
    <cellStyle name="Standaard 27 2 5 3 2 2 2" xfId="30595"/>
    <cellStyle name="Standaard 27 2 5 3 2 2 2 2" xfId="30596"/>
    <cellStyle name="Standaard 27 2 5 3 2 2 3" xfId="30597"/>
    <cellStyle name="Standaard 27 2 5 3 2 3" xfId="30598"/>
    <cellStyle name="Standaard 27 2 5 3 2 3 2" xfId="30599"/>
    <cellStyle name="Standaard 27 2 5 3 2 4" xfId="30600"/>
    <cellStyle name="Standaard 27 2 5 3 3" xfId="30601"/>
    <cellStyle name="Standaard 27 2 5 3 3 2" xfId="30602"/>
    <cellStyle name="Standaard 27 2 5 3 3 2 2" xfId="30603"/>
    <cellStyle name="Standaard 27 2 5 3 3 3" xfId="30604"/>
    <cellStyle name="Standaard 27 2 5 3 4" xfId="30605"/>
    <cellStyle name="Standaard 27 2 5 3 4 2" xfId="30606"/>
    <cellStyle name="Standaard 27 2 5 3 5" xfId="30607"/>
    <cellStyle name="Standaard 27 2 5 3 6" xfId="30608"/>
    <cellStyle name="Standaard 27 2 5 4" xfId="30609"/>
    <cellStyle name="Standaard 27 2 5 4 2" xfId="30610"/>
    <cellStyle name="Standaard 27 2 5 4 2 2" xfId="30611"/>
    <cellStyle name="Standaard 27 2 5 4 2 2 2" xfId="30612"/>
    <cellStyle name="Standaard 27 2 5 4 2 3" xfId="30613"/>
    <cellStyle name="Standaard 27 2 5 4 3" xfId="30614"/>
    <cellStyle name="Standaard 27 2 5 4 3 2" xfId="30615"/>
    <cellStyle name="Standaard 27 2 5 4 4" xfId="30616"/>
    <cellStyle name="Standaard 27 2 5 5" xfId="30617"/>
    <cellStyle name="Standaard 27 2 5 5 2" xfId="30618"/>
    <cellStyle name="Standaard 27 2 5 5 2 2" xfId="30619"/>
    <cellStyle name="Standaard 27 2 5 5 3" xfId="30620"/>
    <cellStyle name="Standaard 27 2 5 6" xfId="30621"/>
    <cellStyle name="Standaard 27 2 5 6 2" xfId="30622"/>
    <cellStyle name="Standaard 27 2 5 7" xfId="30623"/>
    <cellStyle name="Standaard 27 2 5 8" xfId="30624"/>
    <cellStyle name="Standaard 27 2 6" xfId="30625"/>
    <cellStyle name="Standaard 27 2 6 2" xfId="30626"/>
    <cellStyle name="Standaard 27 2 6 2 2" xfId="30627"/>
    <cellStyle name="Standaard 27 2 6 2 2 2" xfId="30628"/>
    <cellStyle name="Standaard 27 2 6 2 2 2 2" xfId="30629"/>
    <cellStyle name="Standaard 27 2 6 2 2 2 2 2" xfId="30630"/>
    <cellStyle name="Standaard 27 2 6 2 2 2 3" xfId="30631"/>
    <cellStyle name="Standaard 27 2 6 2 2 3" xfId="30632"/>
    <cellStyle name="Standaard 27 2 6 2 2 3 2" xfId="30633"/>
    <cellStyle name="Standaard 27 2 6 2 2 4" xfId="30634"/>
    <cellStyle name="Standaard 27 2 6 2 3" xfId="30635"/>
    <cellStyle name="Standaard 27 2 6 2 3 2" xfId="30636"/>
    <cellStyle name="Standaard 27 2 6 2 3 2 2" xfId="30637"/>
    <cellStyle name="Standaard 27 2 6 2 3 3" xfId="30638"/>
    <cellStyle name="Standaard 27 2 6 2 4" xfId="30639"/>
    <cellStyle name="Standaard 27 2 6 2 4 2" xfId="30640"/>
    <cellStyle name="Standaard 27 2 6 2 5" xfId="30641"/>
    <cellStyle name="Standaard 27 2 6 2 6" xfId="30642"/>
    <cellStyle name="Standaard 27 2 6 3" xfId="30643"/>
    <cellStyle name="Standaard 27 2 6 3 2" xfId="30644"/>
    <cellStyle name="Standaard 27 2 6 3 2 2" xfId="30645"/>
    <cellStyle name="Standaard 27 2 6 3 2 2 2" xfId="30646"/>
    <cellStyle name="Standaard 27 2 6 3 2 3" xfId="30647"/>
    <cellStyle name="Standaard 27 2 6 3 3" xfId="30648"/>
    <cellStyle name="Standaard 27 2 6 3 3 2" xfId="30649"/>
    <cellStyle name="Standaard 27 2 6 3 4" xfId="30650"/>
    <cellStyle name="Standaard 27 2 6 4" xfId="30651"/>
    <cellStyle name="Standaard 27 2 6 4 2" xfId="30652"/>
    <cellStyle name="Standaard 27 2 6 4 2 2" xfId="30653"/>
    <cellStyle name="Standaard 27 2 6 4 3" xfId="30654"/>
    <cellStyle name="Standaard 27 2 6 5" xfId="30655"/>
    <cellStyle name="Standaard 27 2 6 5 2" xfId="30656"/>
    <cellStyle name="Standaard 27 2 6 6" xfId="30657"/>
    <cellStyle name="Standaard 27 2 6 7" xfId="30658"/>
    <cellStyle name="Standaard 27 2 7" xfId="30659"/>
    <cellStyle name="Standaard 27 2 7 2" xfId="30660"/>
    <cellStyle name="Standaard 27 2 7 2 2" xfId="30661"/>
    <cellStyle name="Standaard 27 2 7 2 2 2" xfId="30662"/>
    <cellStyle name="Standaard 27 2 7 2 2 2 2" xfId="30663"/>
    <cellStyle name="Standaard 27 2 7 2 2 3" xfId="30664"/>
    <cellStyle name="Standaard 27 2 7 2 3" xfId="30665"/>
    <cellStyle name="Standaard 27 2 7 2 3 2" xfId="30666"/>
    <cellStyle name="Standaard 27 2 7 2 4" xfId="30667"/>
    <cellStyle name="Standaard 27 2 7 3" xfId="30668"/>
    <cellStyle name="Standaard 27 2 7 3 2" xfId="30669"/>
    <cellStyle name="Standaard 27 2 7 3 2 2" xfId="30670"/>
    <cellStyle name="Standaard 27 2 7 3 3" xfId="30671"/>
    <cellStyle name="Standaard 27 2 7 4" xfId="30672"/>
    <cellStyle name="Standaard 27 2 7 4 2" xfId="30673"/>
    <cellStyle name="Standaard 27 2 7 5" xfId="30674"/>
    <cellStyle name="Standaard 27 2 7 6" xfId="30675"/>
    <cellStyle name="Standaard 27 2 8" xfId="30676"/>
    <cellStyle name="Standaard 27 2 8 2" xfId="30677"/>
    <cellStyle name="Standaard 27 2 8 2 2" xfId="30678"/>
    <cellStyle name="Standaard 27 2 8 2 2 2" xfId="30679"/>
    <cellStyle name="Standaard 27 2 8 2 3" xfId="30680"/>
    <cellStyle name="Standaard 27 2 8 3" xfId="30681"/>
    <cellStyle name="Standaard 27 2 8 3 2" xfId="30682"/>
    <cellStyle name="Standaard 27 2 8 4" xfId="30683"/>
    <cellStyle name="Standaard 27 2 9" xfId="30684"/>
    <cellStyle name="Standaard 27 2 9 2" xfId="30685"/>
    <cellStyle name="Standaard 27 2 9 2 2" xfId="30686"/>
    <cellStyle name="Standaard 27 2 9 3" xfId="30687"/>
    <cellStyle name="Standaard 27 3" xfId="30688"/>
    <cellStyle name="Standaard 27 3 10" xfId="30689"/>
    <cellStyle name="Standaard 27 3 11" xfId="30690"/>
    <cellStyle name="Standaard 27 3 2" xfId="30691"/>
    <cellStyle name="Standaard 27 3 2 2" xfId="30692"/>
    <cellStyle name="Standaard 27 3 2 2 2" xfId="30693"/>
    <cellStyle name="Standaard 27 3 2 2 2 2" xfId="30694"/>
    <cellStyle name="Standaard 27 3 2 2 2 2 2" xfId="30695"/>
    <cellStyle name="Standaard 27 3 2 2 2 2 2 2" xfId="30696"/>
    <cellStyle name="Standaard 27 3 2 2 2 2 2 2 2" xfId="30697"/>
    <cellStyle name="Standaard 27 3 2 2 2 2 2 2 2 2" xfId="30698"/>
    <cellStyle name="Standaard 27 3 2 2 2 2 2 2 3" xfId="30699"/>
    <cellStyle name="Standaard 27 3 2 2 2 2 2 3" xfId="30700"/>
    <cellStyle name="Standaard 27 3 2 2 2 2 2 3 2" xfId="30701"/>
    <cellStyle name="Standaard 27 3 2 2 2 2 2 4" xfId="30702"/>
    <cellStyle name="Standaard 27 3 2 2 2 2 3" xfId="30703"/>
    <cellStyle name="Standaard 27 3 2 2 2 2 3 2" xfId="30704"/>
    <cellStyle name="Standaard 27 3 2 2 2 2 3 2 2" xfId="30705"/>
    <cellStyle name="Standaard 27 3 2 2 2 2 3 3" xfId="30706"/>
    <cellStyle name="Standaard 27 3 2 2 2 2 4" xfId="30707"/>
    <cellStyle name="Standaard 27 3 2 2 2 2 4 2" xfId="30708"/>
    <cellStyle name="Standaard 27 3 2 2 2 2 5" xfId="30709"/>
    <cellStyle name="Standaard 27 3 2 2 2 2 6" xfId="30710"/>
    <cellStyle name="Standaard 27 3 2 2 2 3" xfId="30711"/>
    <cellStyle name="Standaard 27 3 2 2 2 3 2" xfId="30712"/>
    <cellStyle name="Standaard 27 3 2 2 2 3 2 2" xfId="30713"/>
    <cellStyle name="Standaard 27 3 2 2 2 3 2 2 2" xfId="30714"/>
    <cellStyle name="Standaard 27 3 2 2 2 3 2 3" xfId="30715"/>
    <cellStyle name="Standaard 27 3 2 2 2 3 3" xfId="30716"/>
    <cellStyle name="Standaard 27 3 2 2 2 3 3 2" xfId="30717"/>
    <cellStyle name="Standaard 27 3 2 2 2 3 4" xfId="30718"/>
    <cellStyle name="Standaard 27 3 2 2 2 4" xfId="30719"/>
    <cellStyle name="Standaard 27 3 2 2 2 4 2" xfId="30720"/>
    <cellStyle name="Standaard 27 3 2 2 2 4 2 2" xfId="30721"/>
    <cellStyle name="Standaard 27 3 2 2 2 4 3" xfId="30722"/>
    <cellStyle name="Standaard 27 3 2 2 2 5" xfId="30723"/>
    <cellStyle name="Standaard 27 3 2 2 2 5 2" xfId="30724"/>
    <cellStyle name="Standaard 27 3 2 2 2 6" xfId="30725"/>
    <cellStyle name="Standaard 27 3 2 2 2 7" xfId="30726"/>
    <cellStyle name="Standaard 27 3 2 2 3" xfId="30727"/>
    <cellStyle name="Standaard 27 3 2 2 3 2" xfId="30728"/>
    <cellStyle name="Standaard 27 3 2 2 3 2 2" xfId="30729"/>
    <cellStyle name="Standaard 27 3 2 2 3 2 2 2" xfId="30730"/>
    <cellStyle name="Standaard 27 3 2 2 3 2 2 2 2" xfId="30731"/>
    <cellStyle name="Standaard 27 3 2 2 3 2 2 3" xfId="30732"/>
    <cellStyle name="Standaard 27 3 2 2 3 2 3" xfId="30733"/>
    <cellStyle name="Standaard 27 3 2 2 3 2 3 2" xfId="30734"/>
    <cellStyle name="Standaard 27 3 2 2 3 2 4" xfId="30735"/>
    <cellStyle name="Standaard 27 3 2 2 3 3" xfId="30736"/>
    <cellStyle name="Standaard 27 3 2 2 3 3 2" xfId="30737"/>
    <cellStyle name="Standaard 27 3 2 2 3 3 2 2" xfId="30738"/>
    <cellStyle name="Standaard 27 3 2 2 3 3 3" xfId="30739"/>
    <cellStyle name="Standaard 27 3 2 2 3 4" xfId="30740"/>
    <cellStyle name="Standaard 27 3 2 2 3 4 2" xfId="30741"/>
    <cellStyle name="Standaard 27 3 2 2 3 5" xfId="30742"/>
    <cellStyle name="Standaard 27 3 2 2 3 6" xfId="30743"/>
    <cellStyle name="Standaard 27 3 2 2 4" xfId="30744"/>
    <cellStyle name="Standaard 27 3 2 2 4 2" xfId="30745"/>
    <cellStyle name="Standaard 27 3 2 2 4 2 2" xfId="30746"/>
    <cellStyle name="Standaard 27 3 2 2 4 2 2 2" xfId="30747"/>
    <cellStyle name="Standaard 27 3 2 2 4 2 3" xfId="30748"/>
    <cellStyle name="Standaard 27 3 2 2 4 3" xfId="30749"/>
    <cellStyle name="Standaard 27 3 2 2 4 3 2" xfId="30750"/>
    <cellStyle name="Standaard 27 3 2 2 4 4" xfId="30751"/>
    <cellStyle name="Standaard 27 3 2 2 5" xfId="30752"/>
    <cellStyle name="Standaard 27 3 2 2 5 2" xfId="30753"/>
    <cellStyle name="Standaard 27 3 2 2 5 2 2" xfId="30754"/>
    <cellStyle name="Standaard 27 3 2 2 5 3" xfId="30755"/>
    <cellStyle name="Standaard 27 3 2 2 6" xfId="30756"/>
    <cellStyle name="Standaard 27 3 2 2 6 2" xfId="30757"/>
    <cellStyle name="Standaard 27 3 2 2 7" xfId="30758"/>
    <cellStyle name="Standaard 27 3 2 2 8" xfId="30759"/>
    <cellStyle name="Standaard 27 3 2 3" xfId="30760"/>
    <cellStyle name="Standaard 27 3 2 3 2" xfId="30761"/>
    <cellStyle name="Standaard 27 3 2 3 2 2" xfId="30762"/>
    <cellStyle name="Standaard 27 3 2 3 2 2 2" xfId="30763"/>
    <cellStyle name="Standaard 27 3 2 3 2 2 2 2" xfId="30764"/>
    <cellStyle name="Standaard 27 3 2 3 2 2 2 2 2" xfId="30765"/>
    <cellStyle name="Standaard 27 3 2 3 2 2 2 3" xfId="30766"/>
    <cellStyle name="Standaard 27 3 2 3 2 2 3" xfId="30767"/>
    <cellStyle name="Standaard 27 3 2 3 2 2 3 2" xfId="30768"/>
    <cellStyle name="Standaard 27 3 2 3 2 2 4" xfId="30769"/>
    <cellStyle name="Standaard 27 3 2 3 2 3" xfId="30770"/>
    <cellStyle name="Standaard 27 3 2 3 2 3 2" xfId="30771"/>
    <cellStyle name="Standaard 27 3 2 3 2 3 2 2" xfId="30772"/>
    <cellStyle name="Standaard 27 3 2 3 2 3 3" xfId="30773"/>
    <cellStyle name="Standaard 27 3 2 3 2 4" xfId="30774"/>
    <cellStyle name="Standaard 27 3 2 3 2 4 2" xfId="30775"/>
    <cellStyle name="Standaard 27 3 2 3 2 5" xfId="30776"/>
    <cellStyle name="Standaard 27 3 2 3 2 6" xfId="30777"/>
    <cellStyle name="Standaard 27 3 2 3 3" xfId="30778"/>
    <cellStyle name="Standaard 27 3 2 3 3 2" xfId="30779"/>
    <cellStyle name="Standaard 27 3 2 3 3 2 2" xfId="30780"/>
    <cellStyle name="Standaard 27 3 2 3 3 2 2 2" xfId="30781"/>
    <cellStyle name="Standaard 27 3 2 3 3 2 3" xfId="30782"/>
    <cellStyle name="Standaard 27 3 2 3 3 3" xfId="30783"/>
    <cellStyle name="Standaard 27 3 2 3 3 3 2" xfId="30784"/>
    <cellStyle name="Standaard 27 3 2 3 3 4" xfId="30785"/>
    <cellStyle name="Standaard 27 3 2 3 4" xfId="30786"/>
    <cellStyle name="Standaard 27 3 2 3 4 2" xfId="30787"/>
    <cellStyle name="Standaard 27 3 2 3 4 2 2" xfId="30788"/>
    <cellStyle name="Standaard 27 3 2 3 4 3" xfId="30789"/>
    <cellStyle name="Standaard 27 3 2 3 5" xfId="30790"/>
    <cellStyle name="Standaard 27 3 2 3 5 2" xfId="30791"/>
    <cellStyle name="Standaard 27 3 2 3 6" xfId="30792"/>
    <cellStyle name="Standaard 27 3 2 3 7" xfId="30793"/>
    <cellStyle name="Standaard 27 3 2 4" xfId="30794"/>
    <cellStyle name="Standaard 27 3 2 4 2" xfId="30795"/>
    <cellStyle name="Standaard 27 3 2 4 2 2" xfId="30796"/>
    <cellStyle name="Standaard 27 3 2 4 2 2 2" xfId="30797"/>
    <cellStyle name="Standaard 27 3 2 4 2 2 2 2" xfId="30798"/>
    <cellStyle name="Standaard 27 3 2 4 2 2 3" xfId="30799"/>
    <cellStyle name="Standaard 27 3 2 4 2 3" xfId="30800"/>
    <cellStyle name="Standaard 27 3 2 4 2 3 2" xfId="30801"/>
    <cellStyle name="Standaard 27 3 2 4 2 4" xfId="30802"/>
    <cellStyle name="Standaard 27 3 2 4 3" xfId="30803"/>
    <cellStyle name="Standaard 27 3 2 4 3 2" xfId="30804"/>
    <cellStyle name="Standaard 27 3 2 4 3 2 2" xfId="30805"/>
    <cellStyle name="Standaard 27 3 2 4 3 3" xfId="30806"/>
    <cellStyle name="Standaard 27 3 2 4 4" xfId="30807"/>
    <cellStyle name="Standaard 27 3 2 4 4 2" xfId="30808"/>
    <cellStyle name="Standaard 27 3 2 4 5" xfId="30809"/>
    <cellStyle name="Standaard 27 3 2 4 6" xfId="30810"/>
    <cellStyle name="Standaard 27 3 2 5" xfId="30811"/>
    <cellStyle name="Standaard 27 3 2 5 2" xfId="30812"/>
    <cellStyle name="Standaard 27 3 2 5 2 2" xfId="30813"/>
    <cellStyle name="Standaard 27 3 2 5 2 2 2" xfId="30814"/>
    <cellStyle name="Standaard 27 3 2 5 2 3" xfId="30815"/>
    <cellStyle name="Standaard 27 3 2 5 3" xfId="30816"/>
    <cellStyle name="Standaard 27 3 2 5 3 2" xfId="30817"/>
    <cellStyle name="Standaard 27 3 2 5 4" xfId="30818"/>
    <cellStyle name="Standaard 27 3 2 6" xfId="30819"/>
    <cellStyle name="Standaard 27 3 2 6 2" xfId="30820"/>
    <cellStyle name="Standaard 27 3 2 6 2 2" xfId="30821"/>
    <cellStyle name="Standaard 27 3 2 6 3" xfId="30822"/>
    <cellStyle name="Standaard 27 3 2 7" xfId="30823"/>
    <cellStyle name="Standaard 27 3 2 7 2" xfId="30824"/>
    <cellStyle name="Standaard 27 3 2 8" xfId="30825"/>
    <cellStyle name="Standaard 27 3 2 9" xfId="30826"/>
    <cellStyle name="Standaard 27 3 3" xfId="30827"/>
    <cellStyle name="Standaard 27 3 3 2" xfId="30828"/>
    <cellStyle name="Standaard 27 3 3 2 2" xfId="30829"/>
    <cellStyle name="Standaard 27 3 3 2 2 2" xfId="30830"/>
    <cellStyle name="Standaard 27 3 3 2 2 2 2" xfId="30831"/>
    <cellStyle name="Standaard 27 3 3 2 2 2 2 2" xfId="30832"/>
    <cellStyle name="Standaard 27 3 3 2 2 2 2 2 2" xfId="30833"/>
    <cellStyle name="Standaard 27 3 3 2 2 2 2 3" xfId="30834"/>
    <cellStyle name="Standaard 27 3 3 2 2 2 3" xfId="30835"/>
    <cellStyle name="Standaard 27 3 3 2 2 2 3 2" xfId="30836"/>
    <cellStyle name="Standaard 27 3 3 2 2 2 4" xfId="30837"/>
    <cellStyle name="Standaard 27 3 3 2 2 3" xfId="30838"/>
    <cellStyle name="Standaard 27 3 3 2 2 3 2" xfId="30839"/>
    <cellStyle name="Standaard 27 3 3 2 2 3 2 2" xfId="30840"/>
    <cellStyle name="Standaard 27 3 3 2 2 3 3" xfId="30841"/>
    <cellStyle name="Standaard 27 3 3 2 2 4" xfId="30842"/>
    <cellStyle name="Standaard 27 3 3 2 2 4 2" xfId="30843"/>
    <cellStyle name="Standaard 27 3 3 2 2 5" xfId="30844"/>
    <cellStyle name="Standaard 27 3 3 2 2 6" xfId="30845"/>
    <cellStyle name="Standaard 27 3 3 2 3" xfId="30846"/>
    <cellStyle name="Standaard 27 3 3 2 3 2" xfId="30847"/>
    <cellStyle name="Standaard 27 3 3 2 3 2 2" xfId="30848"/>
    <cellStyle name="Standaard 27 3 3 2 3 2 2 2" xfId="30849"/>
    <cellStyle name="Standaard 27 3 3 2 3 2 3" xfId="30850"/>
    <cellStyle name="Standaard 27 3 3 2 3 3" xfId="30851"/>
    <cellStyle name="Standaard 27 3 3 2 3 3 2" xfId="30852"/>
    <cellStyle name="Standaard 27 3 3 2 3 4" xfId="30853"/>
    <cellStyle name="Standaard 27 3 3 2 4" xfId="30854"/>
    <cellStyle name="Standaard 27 3 3 2 4 2" xfId="30855"/>
    <cellStyle name="Standaard 27 3 3 2 4 2 2" xfId="30856"/>
    <cellStyle name="Standaard 27 3 3 2 4 3" xfId="30857"/>
    <cellStyle name="Standaard 27 3 3 2 5" xfId="30858"/>
    <cellStyle name="Standaard 27 3 3 2 5 2" xfId="30859"/>
    <cellStyle name="Standaard 27 3 3 2 6" xfId="30860"/>
    <cellStyle name="Standaard 27 3 3 2 7" xfId="30861"/>
    <cellStyle name="Standaard 27 3 3 3" xfId="30862"/>
    <cellStyle name="Standaard 27 3 3 3 2" xfId="30863"/>
    <cellStyle name="Standaard 27 3 3 3 2 2" xfId="30864"/>
    <cellStyle name="Standaard 27 3 3 3 2 2 2" xfId="30865"/>
    <cellStyle name="Standaard 27 3 3 3 2 2 2 2" xfId="30866"/>
    <cellStyle name="Standaard 27 3 3 3 2 2 3" xfId="30867"/>
    <cellStyle name="Standaard 27 3 3 3 2 3" xfId="30868"/>
    <cellStyle name="Standaard 27 3 3 3 2 3 2" xfId="30869"/>
    <cellStyle name="Standaard 27 3 3 3 2 4" xfId="30870"/>
    <cellStyle name="Standaard 27 3 3 3 3" xfId="30871"/>
    <cellStyle name="Standaard 27 3 3 3 3 2" xfId="30872"/>
    <cellStyle name="Standaard 27 3 3 3 3 2 2" xfId="30873"/>
    <cellStyle name="Standaard 27 3 3 3 3 3" xfId="30874"/>
    <cellStyle name="Standaard 27 3 3 3 4" xfId="30875"/>
    <cellStyle name="Standaard 27 3 3 3 4 2" xfId="30876"/>
    <cellStyle name="Standaard 27 3 3 3 5" xfId="30877"/>
    <cellStyle name="Standaard 27 3 3 3 6" xfId="30878"/>
    <cellStyle name="Standaard 27 3 3 4" xfId="30879"/>
    <cellStyle name="Standaard 27 3 3 4 2" xfId="30880"/>
    <cellStyle name="Standaard 27 3 3 4 2 2" xfId="30881"/>
    <cellStyle name="Standaard 27 3 3 4 2 2 2" xfId="30882"/>
    <cellStyle name="Standaard 27 3 3 4 2 3" xfId="30883"/>
    <cellStyle name="Standaard 27 3 3 4 3" xfId="30884"/>
    <cellStyle name="Standaard 27 3 3 4 3 2" xfId="30885"/>
    <cellStyle name="Standaard 27 3 3 4 4" xfId="30886"/>
    <cellStyle name="Standaard 27 3 3 5" xfId="30887"/>
    <cellStyle name="Standaard 27 3 3 5 2" xfId="30888"/>
    <cellStyle name="Standaard 27 3 3 5 2 2" xfId="30889"/>
    <cellStyle name="Standaard 27 3 3 5 3" xfId="30890"/>
    <cellStyle name="Standaard 27 3 3 6" xfId="30891"/>
    <cellStyle name="Standaard 27 3 3 6 2" xfId="30892"/>
    <cellStyle name="Standaard 27 3 3 7" xfId="30893"/>
    <cellStyle name="Standaard 27 3 3 8" xfId="30894"/>
    <cellStyle name="Standaard 27 3 4" xfId="30895"/>
    <cellStyle name="Standaard 27 3 4 2" xfId="30896"/>
    <cellStyle name="Standaard 27 3 4 2 2" xfId="30897"/>
    <cellStyle name="Standaard 27 3 4 2 2 2" xfId="30898"/>
    <cellStyle name="Standaard 27 3 4 2 2 2 2" xfId="30899"/>
    <cellStyle name="Standaard 27 3 4 2 2 2 2 2" xfId="30900"/>
    <cellStyle name="Standaard 27 3 4 2 2 2 2 2 2" xfId="30901"/>
    <cellStyle name="Standaard 27 3 4 2 2 2 2 3" xfId="30902"/>
    <cellStyle name="Standaard 27 3 4 2 2 2 3" xfId="30903"/>
    <cellStyle name="Standaard 27 3 4 2 2 2 3 2" xfId="30904"/>
    <cellStyle name="Standaard 27 3 4 2 2 2 4" xfId="30905"/>
    <cellStyle name="Standaard 27 3 4 2 2 3" xfId="30906"/>
    <cellStyle name="Standaard 27 3 4 2 2 3 2" xfId="30907"/>
    <cellStyle name="Standaard 27 3 4 2 2 3 2 2" xfId="30908"/>
    <cellStyle name="Standaard 27 3 4 2 2 3 3" xfId="30909"/>
    <cellStyle name="Standaard 27 3 4 2 2 4" xfId="30910"/>
    <cellStyle name="Standaard 27 3 4 2 2 4 2" xfId="30911"/>
    <cellStyle name="Standaard 27 3 4 2 2 5" xfId="30912"/>
    <cellStyle name="Standaard 27 3 4 2 2 6" xfId="30913"/>
    <cellStyle name="Standaard 27 3 4 2 3" xfId="30914"/>
    <cellStyle name="Standaard 27 3 4 2 3 2" xfId="30915"/>
    <cellStyle name="Standaard 27 3 4 2 3 2 2" xfId="30916"/>
    <cellStyle name="Standaard 27 3 4 2 3 2 2 2" xfId="30917"/>
    <cellStyle name="Standaard 27 3 4 2 3 2 3" xfId="30918"/>
    <cellStyle name="Standaard 27 3 4 2 3 3" xfId="30919"/>
    <cellStyle name="Standaard 27 3 4 2 3 3 2" xfId="30920"/>
    <cellStyle name="Standaard 27 3 4 2 3 4" xfId="30921"/>
    <cellStyle name="Standaard 27 3 4 2 4" xfId="30922"/>
    <cellStyle name="Standaard 27 3 4 2 4 2" xfId="30923"/>
    <cellStyle name="Standaard 27 3 4 2 4 2 2" xfId="30924"/>
    <cellStyle name="Standaard 27 3 4 2 4 3" xfId="30925"/>
    <cellStyle name="Standaard 27 3 4 2 5" xfId="30926"/>
    <cellStyle name="Standaard 27 3 4 2 5 2" xfId="30927"/>
    <cellStyle name="Standaard 27 3 4 2 6" xfId="30928"/>
    <cellStyle name="Standaard 27 3 4 2 7" xfId="30929"/>
    <cellStyle name="Standaard 27 3 4 3" xfId="30930"/>
    <cellStyle name="Standaard 27 3 4 3 2" xfId="30931"/>
    <cellStyle name="Standaard 27 3 4 3 2 2" xfId="30932"/>
    <cellStyle name="Standaard 27 3 4 3 2 2 2" xfId="30933"/>
    <cellStyle name="Standaard 27 3 4 3 2 2 2 2" xfId="30934"/>
    <cellStyle name="Standaard 27 3 4 3 2 2 3" xfId="30935"/>
    <cellStyle name="Standaard 27 3 4 3 2 3" xfId="30936"/>
    <cellStyle name="Standaard 27 3 4 3 2 3 2" xfId="30937"/>
    <cellStyle name="Standaard 27 3 4 3 2 4" xfId="30938"/>
    <cellStyle name="Standaard 27 3 4 3 3" xfId="30939"/>
    <cellStyle name="Standaard 27 3 4 3 3 2" xfId="30940"/>
    <cellStyle name="Standaard 27 3 4 3 3 2 2" xfId="30941"/>
    <cellStyle name="Standaard 27 3 4 3 3 3" xfId="30942"/>
    <cellStyle name="Standaard 27 3 4 3 4" xfId="30943"/>
    <cellStyle name="Standaard 27 3 4 3 4 2" xfId="30944"/>
    <cellStyle name="Standaard 27 3 4 3 5" xfId="30945"/>
    <cellStyle name="Standaard 27 3 4 3 6" xfId="30946"/>
    <cellStyle name="Standaard 27 3 4 4" xfId="30947"/>
    <cellStyle name="Standaard 27 3 4 4 2" xfId="30948"/>
    <cellStyle name="Standaard 27 3 4 4 2 2" xfId="30949"/>
    <cellStyle name="Standaard 27 3 4 4 2 2 2" xfId="30950"/>
    <cellStyle name="Standaard 27 3 4 4 2 3" xfId="30951"/>
    <cellStyle name="Standaard 27 3 4 4 3" xfId="30952"/>
    <cellStyle name="Standaard 27 3 4 4 3 2" xfId="30953"/>
    <cellStyle name="Standaard 27 3 4 4 4" xfId="30954"/>
    <cellStyle name="Standaard 27 3 4 5" xfId="30955"/>
    <cellStyle name="Standaard 27 3 4 5 2" xfId="30956"/>
    <cellStyle name="Standaard 27 3 4 5 2 2" xfId="30957"/>
    <cellStyle name="Standaard 27 3 4 5 3" xfId="30958"/>
    <cellStyle name="Standaard 27 3 4 6" xfId="30959"/>
    <cellStyle name="Standaard 27 3 4 6 2" xfId="30960"/>
    <cellStyle name="Standaard 27 3 4 7" xfId="30961"/>
    <cellStyle name="Standaard 27 3 4 8" xfId="30962"/>
    <cellStyle name="Standaard 27 3 5" xfId="30963"/>
    <cellStyle name="Standaard 27 3 5 2" xfId="30964"/>
    <cellStyle name="Standaard 27 3 5 2 2" xfId="30965"/>
    <cellStyle name="Standaard 27 3 5 2 2 2" xfId="30966"/>
    <cellStyle name="Standaard 27 3 5 2 2 2 2" xfId="30967"/>
    <cellStyle name="Standaard 27 3 5 2 2 2 2 2" xfId="30968"/>
    <cellStyle name="Standaard 27 3 5 2 2 2 3" xfId="30969"/>
    <cellStyle name="Standaard 27 3 5 2 2 3" xfId="30970"/>
    <cellStyle name="Standaard 27 3 5 2 2 3 2" xfId="30971"/>
    <cellStyle name="Standaard 27 3 5 2 2 4" xfId="30972"/>
    <cellStyle name="Standaard 27 3 5 2 3" xfId="30973"/>
    <cellStyle name="Standaard 27 3 5 2 3 2" xfId="30974"/>
    <cellStyle name="Standaard 27 3 5 2 3 2 2" xfId="30975"/>
    <cellStyle name="Standaard 27 3 5 2 3 3" xfId="30976"/>
    <cellStyle name="Standaard 27 3 5 2 4" xfId="30977"/>
    <cellStyle name="Standaard 27 3 5 2 4 2" xfId="30978"/>
    <cellStyle name="Standaard 27 3 5 2 5" xfId="30979"/>
    <cellStyle name="Standaard 27 3 5 2 6" xfId="30980"/>
    <cellStyle name="Standaard 27 3 5 3" xfId="30981"/>
    <cellStyle name="Standaard 27 3 5 3 2" xfId="30982"/>
    <cellStyle name="Standaard 27 3 5 3 2 2" xfId="30983"/>
    <cellStyle name="Standaard 27 3 5 3 2 2 2" xfId="30984"/>
    <cellStyle name="Standaard 27 3 5 3 2 3" xfId="30985"/>
    <cellStyle name="Standaard 27 3 5 3 3" xfId="30986"/>
    <cellStyle name="Standaard 27 3 5 3 3 2" xfId="30987"/>
    <cellStyle name="Standaard 27 3 5 3 4" xfId="30988"/>
    <cellStyle name="Standaard 27 3 5 4" xfId="30989"/>
    <cellStyle name="Standaard 27 3 5 4 2" xfId="30990"/>
    <cellStyle name="Standaard 27 3 5 4 2 2" xfId="30991"/>
    <cellStyle name="Standaard 27 3 5 4 3" xfId="30992"/>
    <cellStyle name="Standaard 27 3 5 5" xfId="30993"/>
    <cellStyle name="Standaard 27 3 5 5 2" xfId="30994"/>
    <cellStyle name="Standaard 27 3 5 6" xfId="30995"/>
    <cellStyle name="Standaard 27 3 5 7" xfId="30996"/>
    <cellStyle name="Standaard 27 3 6" xfId="30997"/>
    <cellStyle name="Standaard 27 3 6 2" xfId="30998"/>
    <cellStyle name="Standaard 27 3 6 2 2" xfId="30999"/>
    <cellStyle name="Standaard 27 3 6 2 2 2" xfId="31000"/>
    <cellStyle name="Standaard 27 3 6 2 2 2 2" xfId="31001"/>
    <cellStyle name="Standaard 27 3 6 2 2 3" xfId="31002"/>
    <cellStyle name="Standaard 27 3 6 2 3" xfId="31003"/>
    <cellStyle name="Standaard 27 3 6 2 3 2" xfId="31004"/>
    <cellStyle name="Standaard 27 3 6 2 4" xfId="31005"/>
    <cellStyle name="Standaard 27 3 6 3" xfId="31006"/>
    <cellStyle name="Standaard 27 3 6 3 2" xfId="31007"/>
    <cellStyle name="Standaard 27 3 6 3 2 2" xfId="31008"/>
    <cellStyle name="Standaard 27 3 6 3 3" xfId="31009"/>
    <cellStyle name="Standaard 27 3 6 4" xfId="31010"/>
    <cellStyle name="Standaard 27 3 6 4 2" xfId="31011"/>
    <cellStyle name="Standaard 27 3 6 5" xfId="31012"/>
    <cellStyle name="Standaard 27 3 6 6" xfId="31013"/>
    <cellStyle name="Standaard 27 3 7" xfId="31014"/>
    <cellStyle name="Standaard 27 3 7 2" xfId="31015"/>
    <cellStyle name="Standaard 27 3 7 2 2" xfId="31016"/>
    <cellStyle name="Standaard 27 3 7 2 2 2" xfId="31017"/>
    <cellStyle name="Standaard 27 3 7 2 3" xfId="31018"/>
    <cellStyle name="Standaard 27 3 7 3" xfId="31019"/>
    <cellStyle name="Standaard 27 3 7 3 2" xfId="31020"/>
    <cellStyle name="Standaard 27 3 7 4" xfId="31021"/>
    <cellStyle name="Standaard 27 3 8" xfId="31022"/>
    <cellStyle name="Standaard 27 3 8 2" xfId="31023"/>
    <cellStyle name="Standaard 27 3 8 2 2" xfId="31024"/>
    <cellStyle name="Standaard 27 3 8 3" xfId="31025"/>
    <cellStyle name="Standaard 27 3 9" xfId="31026"/>
    <cellStyle name="Standaard 27 3 9 2" xfId="31027"/>
    <cellStyle name="Standaard 27 4" xfId="31028"/>
    <cellStyle name="Standaard 27 4 2" xfId="31029"/>
    <cellStyle name="Standaard 27 4 2 2" xfId="31030"/>
    <cellStyle name="Standaard 27 4 2 2 2" xfId="31031"/>
    <cellStyle name="Standaard 27 4 2 2 2 2" xfId="31032"/>
    <cellStyle name="Standaard 27 4 2 2 2 2 2" xfId="31033"/>
    <cellStyle name="Standaard 27 4 2 2 2 2 2 2" xfId="31034"/>
    <cellStyle name="Standaard 27 4 2 2 2 2 2 2 2" xfId="31035"/>
    <cellStyle name="Standaard 27 4 2 2 2 2 2 3" xfId="31036"/>
    <cellStyle name="Standaard 27 4 2 2 2 2 3" xfId="31037"/>
    <cellStyle name="Standaard 27 4 2 2 2 2 3 2" xfId="31038"/>
    <cellStyle name="Standaard 27 4 2 2 2 2 4" xfId="31039"/>
    <cellStyle name="Standaard 27 4 2 2 2 3" xfId="31040"/>
    <cellStyle name="Standaard 27 4 2 2 2 3 2" xfId="31041"/>
    <cellStyle name="Standaard 27 4 2 2 2 3 2 2" xfId="31042"/>
    <cellStyle name="Standaard 27 4 2 2 2 3 3" xfId="31043"/>
    <cellStyle name="Standaard 27 4 2 2 2 4" xfId="31044"/>
    <cellStyle name="Standaard 27 4 2 2 2 4 2" xfId="31045"/>
    <cellStyle name="Standaard 27 4 2 2 2 5" xfId="31046"/>
    <cellStyle name="Standaard 27 4 2 2 2 6" xfId="31047"/>
    <cellStyle name="Standaard 27 4 2 2 3" xfId="31048"/>
    <cellStyle name="Standaard 27 4 2 2 3 2" xfId="31049"/>
    <cellStyle name="Standaard 27 4 2 2 3 2 2" xfId="31050"/>
    <cellStyle name="Standaard 27 4 2 2 3 2 2 2" xfId="31051"/>
    <cellStyle name="Standaard 27 4 2 2 3 2 3" xfId="31052"/>
    <cellStyle name="Standaard 27 4 2 2 3 3" xfId="31053"/>
    <cellStyle name="Standaard 27 4 2 2 3 3 2" xfId="31054"/>
    <cellStyle name="Standaard 27 4 2 2 3 4" xfId="31055"/>
    <cellStyle name="Standaard 27 4 2 2 4" xfId="31056"/>
    <cellStyle name="Standaard 27 4 2 2 4 2" xfId="31057"/>
    <cellStyle name="Standaard 27 4 2 2 4 2 2" xfId="31058"/>
    <cellStyle name="Standaard 27 4 2 2 4 3" xfId="31059"/>
    <cellStyle name="Standaard 27 4 2 2 5" xfId="31060"/>
    <cellStyle name="Standaard 27 4 2 2 5 2" xfId="31061"/>
    <cellStyle name="Standaard 27 4 2 2 6" xfId="31062"/>
    <cellStyle name="Standaard 27 4 2 2 7" xfId="31063"/>
    <cellStyle name="Standaard 27 4 2 3" xfId="31064"/>
    <cellStyle name="Standaard 27 4 2 3 2" xfId="31065"/>
    <cellStyle name="Standaard 27 4 2 3 2 2" xfId="31066"/>
    <cellStyle name="Standaard 27 4 2 3 2 2 2" xfId="31067"/>
    <cellStyle name="Standaard 27 4 2 3 2 2 2 2" xfId="31068"/>
    <cellStyle name="Standaard 27 4 2 3 2 2 3" xfId="31069"/>
    <cellStyle name="Standaard 27 4 2 3 2 3" xfId="31070"/>
    <cellStyle name="Standaard 27 4 2 3 2 3 2" xfId="31071"/>
    <cellStyle name="Standaard 27 4 2 3 2 4" xfId="31072"/>
    <cellStyle name="Standaard 27 4 2 3 3" xfId="31073"/>
    <cellStyle name="Standaard 27 4 2 3 3 2" xfId="31074"/>
    <cellStyle name="Standaard 27 4 2 3 3 2 2" xfId="31075"/>
    <cellStyle name="Standaard 27 4 2 3 3 3" xfId="31076"/>
    <cellStyle name="Standaard 27 4 2 3 4" xfId="31077"/>
    <cellStyle name="Standaard 27 4 2 3 4 2" xfId="31078"/>
    <cellStyle name="Standaard 27 4 2 3 5" xfId="31079"/>
    <cellStyle name="Standaard 27 4 2 3 6" xfId="31080"/>
    <cellStyle name="Standaard 27 4 2 4" xfId="31081"/>
    <cellStyle name="Standaard 27 4 2 4 2" xfId="31082"/>
    <cellStyle name="Standaard 27 4 2 4 2 2" xfId="31083"/>
    <cellStyle name="Standaard 27 4 2 4 2 2 2" xfId="31084"/>
    <cellStyle name="Standaard 27 4 2 4 2 3" xfId="31085"/>
    <cellStyle name="Standaard 27 4 2 4 3" xfId="31086"/>
    <cellStyle name="Standaard 27 4 2 4 3 2" xfId="31087"/>
    <cellStyle name="Standaard 27 4 2 4 4" xfId="31088"/>
    <cellStyle name="Standaard 27 4 2 5" xfId="31089"/>
    <cellStyle name="Standaard 27 4 2 5 2" xfId="31090"/>
    <cellStyle name="Standaard 27 4 2 5 2 2" xfId="31091"/>
    <cellStyle name="Standaard 27 4 2 5 3" xfId="31092"/>
    <cellStyle name="Standaard 27 4 2 6" xfId="31093"/>
    <cellStyle name="Standaard 27 4 2 6 2" xfId="31094"/>
    <cellStyle name="Standaard 27 4 2 7" xfId="31095"/>
    <cellStyle name="Standaard 27 4 2 8" xfId="31096"/>
    <cellStyle name="Standaard 27 4 3" xfId="31097"/>
    <cellStyle name="Standaard 27 4 3 2" xfId="31098"/>
    <cellStyle name="Standaard 27 4 3 2 2" xfId="31099"/>
    <cellStyle name="Standaard 27 4 3 2 2 2" xfId="31100"/>
    <cellStyle name="Standaard 27 4 3 2 2 2 2" xfId="31101"/>
    <cellStyle name="Standaard 27 4 3 2 2 2 2 2" xfId="31102"/>
    <cellStyle name="Standaard 27 4 3 2 2 2 3" xfId="31103"/>
    <cellStyle name="Standaard 27 4 3 2 2 3" xfId="31104"/>
    <cellStyle name="Standaard 27 4 3 2 2 3 2" xfId="31105"/>
    <cellStyle name="Standaard 27 4 3 2 2 4" xfId="31106"/>
    <cellStyle name="Standaard 27 4 3 2 3" xfId="31107"/>
    <cellStyle name="Standaard 27 4 3 2 3 2" xfId="31108"/>
    <cellStyle name="Standaard 27 4 3 2 3 2 2" xfId="31109"/>
    <cellStyle name="Standaard 27 4 3 2 3 3" xfId="31110"/>
    <cellStyle name="Standaard 27 4 3 2 4" xfId="31111"/>
    <cellStyle name="Standaard 27 4 3 2 4 2" xfId="31112"/>
    <cellStyle name="Standaard 27 4 3 2 5" xfId="31113"/>
    <cellStyle name="Standaard 27 4 3 2 6" xfId="31114"/>
    <cellStyle name="Standaard 27 4 3 3" xfId="31115"/>
    <cellStyle name="Standaard 27 4 3 3 2" xfId="31116"/>
    <cellStyle name="Standaard 27 4 3 3 2 2" xfId="31117"/>
    <cellStyle name="Standaard 27 4 3 3 2 2 2" xfId="31118"/>
    <cellStyle name="Standaard 27 4 3 3 2 3" xfId="31119"/>
    <cellStyle name="Standaard 27 4 3 3 3" xfId="31120"/>
    <cellStyle name="Standaard 27 4 3 3 3 2" xfId="31121"/>
    <cellStyle name="Standaard 27 4 3 3 4" xfId="31122"/>
    <cellStyle name="Standaard 27 4 3 4" xfId="31123"/>
    <cellStyle name="Standaard 27 4 3 4 2" xfId="31124"/>
    <cellStyle name="Standaard 27 4 3 4 2 2" xfId="31125"/>
    <cellStyle name="Standaard 27 4 3 4 3" xfId="31126"/>
    <cellStyle name="Standaard 27 4 3 5" xfId="31127"/>
    <cellStyle name="Standaard 27 4 3 5 2" xfId="31128"/>
    <cellStyle name="Standaard 27 4 3 6" xfId="31129"/>
    <cellStyle name="Standaard 27 4 3 7" xfId="31130"/>
    <cellStyle name="Standaard 27 4 4" xfId="31131"/>
    <cellStyle name="Standaard 27 4 4 2" xfId="31132"/>
    <cellStyle name="Standaard 27 4 4 2 2" xfId="31133"/>
    <cellStyle name="Standaard 27 4 4 2 2 2" xfId="31134"/>
    <cellStyle name="Standaard 27 4 4 2 2 2 2" xfId="31135"/>
    <cellStyle name="Standaard 27 4 4 2 2 3" xfId="31136"/>
    <cellStyle name="Standaard 27 4 4 2 3" xfId="31137"/>
    <cellStyle name="Standaard 27 4 4 2 3 2" xfId="31138"/>
    <cellStyle name="Standaard 27 4 4 2 4" xfId="31139"/>
    <cellStyle name="Standaard 27 4 4 3" xfId="31140"/>
    <cellStyle name="Standaard 27 4 4 3 2" xfId="31141"/>
    <cellStyle name="Standaard 27 4 4 3 2 2" xfId="31142"/>
    <cellStyle name="Standaard 27 4 4 3 3" xfId="31143"/>
    <cellStyle name="Standaard 27 4 4 4" xfId="31144"/>
    <cellStyle name="Standaard 27 4 4 4 2" xfId="31145"/>
    <cellStyle name="Standaard 27 4 4 5" xfId="31146"/>
    <cellStyle name="Standaard 27 4 4 6" xfId="31147"/>
    <cellStyle name="Standaard 27 4 5" xfId="31148"/>
    <cellStyle name="Standaard 27 4 5 2" xfId="31149"/>
    <cellStyle name="Standaard 27 4 5 2 2" xfId="31150"/>
    <cellStyle name="Standaard 27 4 5 2 2 2" xfId="31151"/>
    <cellStyle name="Standaard 27 4 5 2 3" xfId="31152"/>
    <cellStyle name="Standaard 27 4 5 3" xfId="31153"/>
    <cellStyle name="Standaard 27 4 5 3 2" xfId="31154"/>
    <cellStyle name="Standaard 27 4 5 4" xfId="31155"/>
    <cellStyle name="Standaard 27 4 6" xfId="31156"/>
    <cellStyle name="Standaard 27 4 6 2" xfId="31157"/>
    <cellStyle name="Standaard 27 4 6 2 2" xfId="31158"/>
    <cellStyle name="Standaard 27 4 6 3" xfId="31159"/>
    <cellStyle name="Standaard 27 4 7" xfId="31160"/>
    <cellStyle name="Standaard 27 4 7 2" xfId="31161"/>
    <cellStyle name="Standaard 27 4 8" xfId="31162"/>
    <cellStyle name="Standaard 27 4 9" xfId="31163"/>
    <cellStyle name="Standaard 27 5" xfId="31164"/>
    <cellStyle name="Standaard 27 5 2" xfId="31165"/>
    <cellStyle name="Standaard 27 5 2 2" xfId="31166"/>
    <cellStyle name="Standaard 27 5 2 2 2" xfId="31167"/>
    <cellStyle name="Standaard 27 5 2 2 2 2" xfId="31168"/>
    <cellStyle name="Standaard 27 5 2 2 2 2 2" xfId="31169"/>
    <cellStyle name="Standaard 27 5 2 2 2 2 2 2" xfId="31170"/>
    <cellStyle name="Standaard 27 5 2 2 2 2 3" xfId="31171"/>
    <cellStyle name="Standaard 27 5 2 2 2 3" xfId="31172"/>
    <cellStyle name="Standaard 27 5 2 2 2 3 2" xfId="31173"/>
    <cellStyle name="Standaard 27 5 2 2 2 4" xfId="31174"/>
    <cellStyle name="Standaard 27 5 2 2 3" xfId="31175"/>
    <cellStyle name="Standaard 27 5 2 2 3 2" xfId="31176"/>
    <cellStyle name="Standaard 27 5 2 2 3 2 2" xfId="31177"/>
    <cellStyle name="Standaard 27 5 2 2 3 3" xfId="31178"/>
    <cellStyle name="Standaard 27 5 2 2 4" xfId="31179"/>
    <cellStyle name="Standaard 27 5 2 2 4 2" xfId="31180"/>
    <cellStyle name="Standaard 27 5 2 2 5" xfId="31181"/>
    <cellStyle name="Standaard 27 5 2 2 6" xfId="31182"/>
    <cellStyle name="Standaard 27 5 2 3" xfId="31183"/>
    <cellStyle name="Standaard 27 5 2 3 2" xfId="31184"/>
    <cellStyle name="Standaard 27 5 2 3 2 2" xfId="31185"/>
    <cellStyle name="Standaard 27 5 2 3 2 2 2" xfId="31186"/>
    <cellStyle name="Standaard 27 5 2 3 2 3" xfId="31187"/>
    <cellStyle name="Standaard 27 5 2 3 3" xfId="31188"/>
    <cellStyle name="Standaard 27 5 2 3 3 2" xfId="31189"/>
    <cellStyle name="Standaard 27 5 2 3 4" xfId="31190"/>
    <cellStyle name="Standaard 27 5 2 4" xfId="31191"/>
    <cellStyle name="Standaard 27 5 2 4 2" xfId="31192"/>
    <cellStyle name="Standaard 27 5 2 4 2 2" xfId="31193"/>
    <cellStyle name="Standaard 27 5 2 4 3" xfId="31194"/>
    <cellStyle name="Standaard 27 5 2 5" xfId="31195"/>
    <cellStyle name="Standaard 27 5 2 5 2" xfId="31196"/>
    <cellStyle name="Standaard 27 5 2 6" xfId="31197"/>
    <cellStyle name="Standaard 27 5 2 7" xfId="31198"/>
    <cellStyle name="Standaard 27 5 3" xfId="31199"/>
    <cellStyle name="Standaard 27 5 3 2" xfId="31200"/>
    <cellStyle name="Standaard 27 5 3 2 2" xfId="31201"/>
    <cellStyle name="Standaard 27 5 3 2 2 2" xfId="31202"/>
    <cellStyle name="Standaard 27 5 3 2 2 2 2" xfId="31203"/>
    <cellStyle name="Standaard 27 5 3 2 2 3" xfId="31204"/>
    <cellStyle name="Standaard 27 5 3 2 3" xfId="31205"/>
    <cellStyle name="Standaard 27 5 3 2 3 2" xfId="31206"/>
    <cellStyle name="Standaard 27 5 3 2 4" xfId="31207"/>
    <cellStyle name="Standaard 27 5 3 3" xfId="31208"/>
    <cellStyle name="Standaard 27 5 3 3 2" xfId="31209"/>
    <cellStyle name="Standaard 27 5 3 3 2 2" xfId="31210"/>
    <cellStyle name="Standaard 27 5 3 3 3" xfId="31211"/>
    <cellStyle name="Standaard 27 5 3 4" xfId="31212"/>
    <cellStyle name="Standaard 27 5 3 4 2" xfId="31213"/>
    <cellStyle name="Standaard 27 5 3 5" xfId="31214"/>
    <cellStyle name="Standaard 27 5 3 6" xfId="31215"/>
    <cellStyle name="Standaard 27 5 4" xfId="31216"/>
    <cellStyle name="Standaard 27 5 4 2" xfId="31217"/>
    <cellStyle name="Standaard 27 5 4 2 2" xfId="31218"/>
    <cellStyle name="Standaard 27 5 4 2 2 2" xfId="31219"/>
    <cellStyle name="Standaard 27 5 4 2 3" xfId="31220"/>
    <cellStyle name="Standaard 27 5 4 3" xfId="31221"/>
    <cellStyle name="Standaard 27 5 4 3 2" xfId="31222"/>
    <cellStyle name="Standaard 27 5 4 4" xfId="31223"/>
    <cellStyle name="Standaard 27 5 5" xfId="31224"/>
    <cellStyle name="Standaard 27 5 5 2" xfId="31225"/>
    <cellStyle name="Standaard 27 5 5 2 2" xfId="31226"/>
    <cellStyle name="Standaard 27 5 5 3" xfId="31227"/>
    <cellStyle name="Standaard 27 5 6" xfId="31228"/>
    <cellStyle name="Standaard 27 5 6 2" xfId="31229"/>
    <cellStyle name="Standaard 27 5 7" xfId="31230"/>
    <cellStyle name="Standaard 27 5 8" xfId="31231"/>
    <cellStyle name="Standaard 27 6" xfId="31232"/>
    <cellStyle name="Standaard 27 6 2" xfId="31233"/>
    <cellStyle name="Standaard 27 6 2 2" xfId="31234"/>
    <cellStyle name="Standaard 27 6 2 2 2" xfId="31235"/>
    <cellStyle name="Standaard 27 6 2 2 2 2" xfId="31236"/>
    <cellStyle name="Standaard 27 6 2 2 2 2 2" xfId="31237"/>
    <cellStyle name="Standaard 27 6 2 2 2 2 2 2" xfId="31238"/>
    <cellStyle name="Standaard 27 6 2 2 2 2 3" xfId="31239"/>
    <cellStyle name="Standaard 27 6 2 2 2 3" xfId="31240"/>
    <cellStyle name="Standaard 27 6 2 2 2 3 2" xfId="31241"/>
    <cellStyle name="Standaard 27 6 2 2 2 4" xfId="31242"/>
    <cellStyle name="Standaard 27 6 2 2 3" xfId="31243"/>
    <cellStyle name="Standaard 27 6 2 2 3 2" xfId="31244"/>
    <cellStyle name="Standaard 27 6 2 2 3 2 2" xfId="31245"/>
    <cellStyle name="Standaard 27 6 2 2 3 3" xfId="31246"/>
    <cellStyle name="Standaard 27 6 2 2 4" xfId="31247"/>
    <cellStyle name="Standaard 27 6 2 2 4 2" xfId="31248"/>
    <cellStyle name="Standaard 27 6 2 2 5" xfId="31249"/>
    <cellStyle name="Standaard 27 6 2 2 6" xfId="31250"/>
    <cellStyle name="Standaard 27 6 2 3" xfId="31251"/>
    <cellStyle name="Standaard 27 6 2 3 2" xfId="31252"/>
    <cellStyle name="Standaard 27 6 2 3 2 2" xfId="31253"/>
    <cellStyle name="Standaard 27 6 2 3 2 2 2" xfId="31254"/>
    <cellStyle name="Standaard 27 6 2 3 2 3" xfId="31255"/>
    <cellStyle name="Standaard 27 6 2 3 3" xfId="31256"/>
    <cellStyle name="Standaard 27 6 2 3 3 2" xfId="31257"/>
    <cellStyle name="Standaard 27 6 2 3 4" xfId="31258"/>
    <cellStyle name="Standaard 27 6 2 4" xfId="31259"/>
    <cellStyle name="Standaard 27 6 2 4 2" xfId="31260"/>
    <cellStyle name="Standaard 27 6 2 4 2 2" xfId="31261"/>
    <cellStyle name="Standaard 27 6 2 4 3" xfId="31262"/>
    <cellStyle name="Standaard 27 6 2 5" xfId="31263"/>
    <cellStyle name="Standaard 27 6 2 5 2" xfId="31264"/>
    <cellStyle name="Standaard 27 6 2 6" xfId="31265"/>
    <cellStyle name="Standaard 27 6 2 7" xfId="31266"/>
    <cellStyle name="Standaard 27 6 3" xfId="31267"/>
    <cellStyle name="Standaard 27 6 3 2" xfId="31268"/>
    <cellStyle name="Standaard 27 6 3 2 2" xfId="31269"/>
    <cellStyle name="Standaard 27 6 3 2 2 2" xfId="31270"/>
    <cellStyle name="Standaard 27 6 3 2 2 2 2" xfId="31271"/>
    <cellStyle name="Standaard 27 6 3 2 2 3" xfId="31272"/>
    <cellStyle name="Standaard 27 6 3 2 3" xfId="31273"/>
    <cellStyle name="Standaard 27 6 3 2 3 2" xfId="31274"/>
    <cellStyle name="Standaard 27 6 3 2 4" xfId="31275"/>
    <cellStyle name="Standaard 27 6 3 3" xfId="31276"/>
    <cellStyle name="Standaard 27 6 3 3 2" xfId="31277"/>
    <cellStyle name="Standaard 27 6 3 3 2 2" xfId="31278"/>
    <cellStyle name="Standaard 27 6 3 3 3" xfId="31279"/>
    <cellStyle name="Standaard 27 6 3 4" xfId="31280"/>
    <cellStyle name="Standaard 27 6 3 4 2" xfId="31281"/>
    <cellStyle name="Standaard 27 6 3 5" xfId="31282"/>
    <cellStyle name="Standaard 27 6 3 6" xfId="31283"/>
    <cellStyle name="Standaard 27 6 4" xfId="31284"/>
    <cellStyle name="Standaard 27 6 4 2" xfId="31285"/>
    <cellStyle name="Standaard 27 6 4 2 2" xfId="31286"/>
    <cellStyle name="Standaard 27 6 4 2 2 2" xfId="31287"/>
    <cellStyle name="Standaard 27 6 4 2 3" xfId="31288"/>
    <cellStyle name="Standaard 27 6 4 3" xfId="31289"/>
    <cellStyle name="Standaard 27 6 4 3 2" xfId="31290"/>
    <cellStyle name="Standaard 27 6 4 4" xfId="31291"/>
    <cellStyle name="Standaard 27 6 5" xfId="31292"/>
    <cellStyle name="Standaard 27 6 5 2" xfId="31293"/>
    <cellStyle name="Standaard 27 6 5 2 2" xfId="31294"/>
    <cellStyle name="Standaard 27 6 5 3" xfId="31295"/>
    <cellStyle name="Standaard 27 6 6" xfId="31296"/>
    <cellStyle name="Standaard 27 6 6 2" xfId="31297"/>
    <cellStyle name="Standaard 27 6 7" xfId="31298"/>
    <cellStyle name="Standaard 27 6 8" xfId="31299"/>
    <cellStyle name="Standaard 27 7" xfId="31300"/>
    <cellStyle name="Standaard 27 7 2" xfId="31301"/>
    <cellStyle name="Standaard 27 7 2 2" xfId="31302"/>
    <cellStyle name="Standaard 27 7 2 2 2" xfId="31303"/>
    <cellStyle name="Standaard 27 7 2 2 2 2" xfId="31304"/>
    <cellStyle name="Standaard 27 7 2 2 2 2 2" xfId="31305"/>
    <cellStyle name="Standaard 27 7 2 2 2 3" xfId="31306"/>
    <cellStyle name="Standaard 27 7 2 2 3" xfId="31307"/>
    <cellStyle name="Standaard 27 7 2 2 3 2" xfId="31308"/>
    <cellStyle name="Standaard 27 7 2 2 4" xfId="31309"/>
    <cellStyle name="Standaard 27 7 2 3" xfId="31310"/>
    <cellStyle name="Standaard 27 7 2 3 2" xfId="31311"/>
    <cellStyle name="Standaard 27 7 2 3 2 2" xfId="31312"/>
    <cellStyle name="Standaard 27 7 2 3 3" xfId="31313"/>
    <cellStyle name="Standaard 27 7 2 4" xfId="31314"/>
    <cellStyle name="Standaard 27 7 2 4 2" xfId="31315"/>
    <cellStyle name="Standaard 27 7 2 5" xfId="31316"/>
    <cellStyle name="Standaard 27 7 2 6" xfId="31317"/>
    <cellStyle name="Standaard 27 7 3" xfId="31318"/>
    <cellStyle name="Standaard 27 7 3 2" xfId="31319"/>
    <cellStyle name="Standaard 27 7 3 2 2" xfId="31320"/>
    <cellStyle name="Standaard 27 7 3 2 2 2" xfId="31321"/>
    <cellStyle name="Standaard 27 7 3 2 3" xfId="31322"/>
    <cellStyle name="Standaard 27 7 3 3" xfId="31323"/>
    <cellStyle name="Standaard 27 7 3 3 2" xfId="31324"/>
    <cellStyle name="Standaard 27 7 3 4" xfId="31325"/>
    <cellStyle name="Standaard 27 7 4" xfId="31326"/>
    <cellStyle name="Standaard 27 7 4 2" xfId="31327"/>
    <cellStyle name="Standaard 27 7 4 2 2" xfId="31328"/>
    <cellStyle name="Standaard 27 7 4 3" xfId="31329"/>
    <cellStyle name="Standaard 27 7 5" xfId="31330"/>
    <cellStyle name="Standaard 27 7 5 2" xfId="31331"/>
    <cellStyle name="Standaard 27 7 6" xfId="31332"/>
    <cellStyle name="Standaard 27 7 7" xfId="31333"/>
    <cellStyle name="Standaard 27 8" xfId="31334"/>
    <cellStyle name="Standaard 27 8 2" xfId="31335"/>
    <cellStyle name="Standaard 27 8 2 2" xfId="31336"/>
    <cellStyle name="Standaard 27 8 2 2 2" xfId="31337"/>
    <cellStyle name="Standaard 27 8 2 2 2 2" xfId="31338"/>
    <cellStyle name="Standaard 27 8 2 2 3" xfId="31339"/>
    <cellStyle name="Standaard 27 8 2 3" xfId="31340"/>
    <cellStyle name="Standaard 27 8 2 3 2" xfId="31341"/>
    <cellStyle name="Standaard 27 8 2 4" xfId="31342"/>
    <cellStyle name="Standaard 27 8 3" xfId="31343"/>
    <cellStyle name="Standaard 27 8 3 2" xfId="31344"/>
    <cellStyle name="Standaard 27 8 3 2 2" xfId="31345"/>
    <cellStyle name="Standaard 27 8 3 3" xfId="31346"/>
    <cellStyle name="Standaard 27 8 4" xfId="31347"/>
    <cellStyle name="Standaard 27 8 4 2" xfId="31348"/>
    <cellStyle name="Standaard 27 8 5" xfId="31349"/>
    <cellStyle name="Standaard 27 8 6" xfId="31350"/>
    <cellStyle name="Standaard 27 9" xfId="31351"/>
    <cellStyle name="Standaard 27 9 2" xfId="31352"/>
    <cellStyle name="Standaard 27 9 2 2" xfId="31353"/>
    <cellStyle name="Standaard 27 9 2 2 2" xfId="31354"/>
    <cellStyle name="Standaard 27 9 2 3" xfId="31355"/>
    <cellStyle name="Standaard 27 9 3" xfId="31356"/>
    <cellStyle name="Standaard 27 9 3 2" xfId="31357"/>
    <cellStyle name="Standaard 27 9 4" xfId="31358"/>
    <cellStyle name="Standaard 28" xfId="31359"/>
    <cellStyle name="Standaard 28 10" xfId="31360"/>
    <cellStyle name="Standaard 28 10 2" xfId="31361"/>
    <cellStyle name="Standaard 28 10 2 2" xfId="31362"/>
    <cellStyle name="Standaard 28 10 3" xfId="31363"/>
    <cellStyle name="Standaard 28 11" xfId="31364"/>
    <cellStyle name="Standaard 28 11 2" xfId="31365"/>
    <cellStyle name="Standaard 28 12" xfId="31366"/>
    <cellStyle name="Standaard 28 13" xfId="31367"/>
    <cellStyle name="Standaard 28 2" xfId="31368"/>
    <cellStyle name="Standaard 28 2 10" xfId="31369"/>
    <cellStyle name="Standaard 28 2 10 2" xfId="31370"/>
    <cellStyle name="Standaard 28 2 11" xfId="31371"/>
    <cellStyle name="Standaard 28 2 12" xfId="31372"/>
    <cellStyle name="Standaard 28 2 2" xfId="31373"/>
    <cellStyle name="Standaard 28 2 2 10" xfId="31374"/>
    <cellStyle name="Standaard 28 2 2 11" xfId="31375"/>
    <cellStyle name="Standaard 28 2 2 2" xfId="31376"/>
    <cellStyle name="Standaard 28 2 2 2 2" xfId="31377"/>
    <cellStyle name="Standaard 28 2 2 2 2 2" xfId="31378"/>
    <cellStyle name="Standaard 28 2 2 2 2 2 2" xfId="31379"/>
    <cellStyle name="Standaard 28 2 2 2 2 2 2 2" xfId="31380"/>
    <cellStyle name="Standaard 28 2 2 2 2 2 2 2 2" xfId="31381"/>
    <cellStyle name="Standaard 28 2 2 2 2 2 2 2 2 2" xfId="31382"/>
    <cellStyle name="Standaard 28 2 2 2 2 2 2 2 2 2 2" xfId="31383"/>
    <cellStyle name="Standaard 28 2 2 2 2 2 2 2 2 3" xfId="31384"/>
    <cellStyle name="Standaard 28 2 2 2 2 2 2 2 3" xfId="31385"/>
    <cellStyle name="Standaard 28 2 2 2 2 2 2 2 3 2" xfId="31386"/>
    <cellStyle name="Standaard 28 2 2 2 2 2 2 2 4" xfId="31387"/>
    <cellStyle name="Standaard 28 2 2 2 2 2 2 3" xfId="31388"/>
    <cellStyle name="Standaard 28 2 2 2 2 2 2 3 2" xfId="31389"/>
    <cellStyle name="Standaard 28 2 2 2 2 2 2 3 2 2" xfId="31390"/>
    <cellStyle name="Standaard 28 2 2 2 2 2 2 3 3" xfId="31391"/>
    <cellStyle name="Standaard 28 2 2 2 2 2 2 4" xfId="31392"/>
    <cellStyle name="Standaard 28 2 2 2 2 2 2 4 2" xfId="31393"/>
    <cellStyle name="Standaard 28 2 2 2 2 2 2 5" xfId="31394"/>
    <cellStyle name="Standaard 28 2 2 2 2 2 2 6" xfId="31395"/>
    <cellStyle name="Standaard 28 2 2 2 2 2 3" xfId="31396"/>
    <cellStyle name="Standaard 28 2 2 2 2 2 3 2" xfId="31397"/>
    <cellStyle name="Standaard 28 2 2 2 2 2 3 2 2" xfId="31398"/>
    <cellStyle name="Standaard 28 2 2 2 2 2 3 2 2 2" xfId="31399"/>
    <cellStyle name="Standaard 28 2 2 2 2 2 3 2 3" xfId="31400"/>
    <cellStyle name="Standaard 28 2 2 2 2 2 3 3" xfId="31401"/>
    <cellStyle name="Standaard 28 2 2 2 2 2 3 3 2" xfId="31402"/>
    <cellStyle name="Standaard 28 2 2 2 2 2 3 4" xfId="31403"/>
    <cellStyle name="Standaard 28 2 2 2 2 2 4" xfId="31404"/>
    <cellStyle name="Standaard 28 2 2 2 2 2 4 2" xfId="31405"/>
    <cellStyle name="Standaard 28 2 2 2 2 2 4 2 2" xfId="31406"/>
    <cellStyle name="Standaard 28 2 2 2 2 2 4 3" xfId="31407"/>
    <cellStyle name="Standaard 28 2 2 2 2 2 5" xfId="31408"/>
    <cellStyle name="Standaard 28 2 2 2 2 2 5 2" xfId="31409"/>
    <cellStyle name="Standaard 28 2 2 2 2 2 6" xfId="31410"/>
    <cellStyle name="Standaard 28 2 2 2 2 2 7" xfId="31411"/>
    <cellStyle name="Standaard 28 2 2 2 2 3" xfId="31412"/>
    <cellStyle name="Standaard 28 2 2 2 2 3 2" xfId="31413"/>
    <cellStyle name="Standaard 28 2 2 2 2 3 2 2" xfId="31414"/>
    <cellStyle name="Standaard 28 2 2 2 2 3 2 2 2" xfId="31415"/>
    <cellStyle name="Standaard 28 2 2 2 2 3 2 2 2 2" xfId="31416"/>
    <cellStyle name="Standaard 28 2 2 2 2 3 2 2 3" xfId="31417"/>
    <cellStyle name="Standaard 28 2 2 2 2 3 2 3" xfId="31418"/>
    <cellStyle name="Standaard 28 2 2 2 2 3 2 3 2" xfId="31419"/>
    <cellStyle name="Standaard 28 2 2 2 2 3 2 4" xfId="31420"/>
    <cellStyle name="Standaard 28 2 2 2 2 3 3" xfId="31421"/>
    <cellStyle name="Standaard 28 2 2 2 2 3 3 2" xfId="31422"/>
    <cellStyle name="Standaard 28 2 2 2 2 3 3 2 2" xfId="31423"/>
    <cellStyle name="Standaard 28 2 2 2 2 3 3 3" xfId="31424"/>
    <cellStyle name="Standaard 28 2 2 2 2 3 4" xfId="31425"/>
    <cellStyle name="Standaard 28 2 2 2 2 3 4 2" xfId="31426"/>
    <cellStyle name="Standaard 28 2 2 2 2 3 5" xfId="31427"/>
    <cellStyle name="Standaard 28 2 2 2 2 3 6" xfId="31428"/>
    <cellStyle name="Standaard 28 2 2 2 2 4" xfId="31429"/>
    <cellStyle name="Standaard 28 2 2 2 2 4 2" xfId="31430"/>
    <cellStyle name="Standaard 28 2 2 2 2 4 2 2" xfId="31431"/>
    <cellStyle name="Standaard 28 2 2 2 2 4 2 2 2" xfId="31432"/>
    <cellStyle name="Standaard 28 2 2 2 2 4 2 3" xfId="31433"/>
    <cellStyle name="Standaard 28 2 2 2 2 4 3" xfId="31434"/>
    <cellStyle name="Standaard 28 2 2 2 2 4 3 2" xfId="31435"/>
    <cellStyle name="Standaard 28 2 2 2 2 4 4" xfId="31436"/>
    <cellStyle name="Standaard 28 2 2 2 2 5" xfId="31437"/>
    <cellStyle name="Standaard 28 2 2 2 2 5 2" xfId="31438"/>
    <cellStyle name="Standaard 28 2 2 2 2 5 2 2" xfId="31439"/>
    <cellStyle name="Standaard 28 2 2 2 2 5 3" xfId="31440"/>
    <cellStyle name="Standaard 28 2 2 2 2 6" xfId="31441"/>
    <cellStyle name="Standaard 28 2 2 2 2 6 2" xfId="31442"/>
    <cellStyle name="Standaard 28 2 2 2 2 7" xfId="31443"/>
    <cellStyle name="Standaard 28 2 2 2 2 8" xfId="31444"/>
    <cellStyle name="Standaard 28 2 2 2 3" xfId="31445"/>
    <cellStyle name="Standaard 28 2 2 2 3 2" xfId="31446"/>
    <cellStyle name="Standaard 28 2 2 2 3 2 2" xfId="31447"/>
    <cellStyle name="Standaard 28 2 2 2 3 2 2 2" xfId="31448"/>
    <cellStyle name="Standaard 28 2 2 2 3 2 2 2 2" xfId="31449"/>
    <cellStyle name="Standaard 28 2 2 2 3 2 2 2 2 2" xfId="31450"/>
    <cellStyle name="Standaard 28 2 2 2 3 2 2 2 3" xfId="31451"/>
    <cellStyle name="Standaard 28 2 2 2 3 2 2 3" xfId="31452"/>
    <cellStyle name="Standaard 28 2 2 2 3 2 2 3 2" xfId="31453"/>
    <cellStyle name="Standaard 28 2 2 2 3 2 2 4" xfId="31454"/>
    <cellStyle name="Standaard 28 2 2 2 3 2 3" xfId="31455"/>
    <cellStyle name="Standaard 28 2 2 2 3 2 3 2" xfId="31456"/>
    <cellStyle name="Standaard 28 2 2 2 3 2 3 2 2" xfId="31457"/>
    <cellStyle name="Standaard 28 2 2 2 3 2 3 3" xfId="31458"/>
    <cellStyle name="Standaard 28 2 2 2 3 2 4" xfId="31459"/>
    <cellStyle name="Standaard 28 2 2 2 3 2 4 2" xfId="31460"/>
    <cellStyle name="Standaard 28 2 2 2 3 2 5" xfId="31461"/>
    <cellStyle name="Standaard 28 2 2 2 3 2 6" xfId="31462"/>
    <cellStyle name="Standaard 28 2 2 2 3 3" xfId="31463"/>
    <cellStyle name="Standaard 28 2 2 2 3 3 2" xfId="31464"/>
    <cellStyle name="Standaard 28 2 2 2 3 3 2 2" xfId="31465"/>
    <cellStyle name="Standaard 28 2 2 2 3 3 2 2 2" xfId="31466"/>
    <cellStyle name="Standaard 28 2 2 2 3 3 2 3" xfId="31467"/>
    <cellStyle name="Standaard 28 2 2 2 3 3 3" xfId="31468"/>
    <cellStyle name="Standaard 28 2 2 2 3 3 3 2" xfId="31469"/>
    <cellStyle name="Standaard 28 2 2 2 3 3 4" xfId="31470"/>
    <cellStyle name="Standaard 28 2 2 2 3 4" xfId="31471"/>
    <cellStyle name="Standaard 28 2 2 2 3 4 2" xfId="31472"/>
    <cellStyle name="Standaard 28 2 2 2 3 4 2 2" xfId="31473"/>
    <cellStyle name="Standaard 28 2 2 2 3 4 3" xfId="31474"/>
    <cellStyle name="Standaard 28 2 2 2 3 5" xfId="31475"/>
    <cellStyle name="Standaard 28 2 2 2 3 5 2" xfId="31476"/>
    <cellStyle name="Standaard 28 2 2 2 3 6" xfId="31477"/>
    <cellStyle name="Standaard 28 2 2 2 3 7" xfId="31478"/>
    <cellStyle name="Standaard 28 2 2 2 4" xfId="31479"/>
    <cellStyle name="Standaard 28 2 2 2 4 2" xfId="31480"/>
    <cellStyle name="Standaard 28 2 2 2 4 2 2" xfId="31481"/>
    <cellStyle name="Standaard 28 2 2 2 4 2 2 2" xfId="31482"/>
    <cellStyle name="Standaard 28 2 2 2 4 2 2 2 2" xfId="31483"/>
    <cellStyle name="Standaard 28 2 2 2 4 2 2 3" xfId="31484"/>
    <cellStyle name="Standaard 28 2 2 2 4 2 3" xfId="31485"/>
    <cellStyle name="Standaard 28 2 2 2 4 2 3 2" xfId="31486"/>
    <cellStyle name="Standaard 28 2 2 2 4 2 4" xfId="31487"/>
    <cellStyle name="Standaard 28 2 2 2 4 3" xfId="31488"/>
    <cellStyle name="Standaard 28 2 2 2 4 3 2" xfId="31489"/>
    <cellStyle name="Standaard 28 2 2 2 4 3 2 2" xfId="31490"/>
    <cellStyle name="Standaard 28 2 2 2 4 3 3" xfId="31491"/>
    <cellStyle name="Standaard 28 2 2 2 4 4" xfId="31492"/>
    <cellStyle name="Standaard 28 2 2 2 4 4 2" xfId="31493"/>
    <cellStyle name="Standaard 28 2 2 2 4 5" xfId="31494"/>
    <cellStyle name="Standaard 28 2 2 2 4 6" xfId="31495"/>
    <cellStyle name="Standaard 28 2 2 2 5" xfId="31496"/>
    <cellStyle name="Standaard 28 2 2 2 5 2" xfId="31497"/>
    <cellStyle name="Standaard 28 2 2 2 5 2 2" xfId="31498"/>
    <cellStyle name="Standaard 28 2 2 2 5 2 2 2" xfId="31499"/>
    <cellStyle name="Standaard 28 2 2 2 5 2 3" xfId="31500"/>
    <cellStyle name="Standaard 28 2 2 2 5 3" xfId="31501"/>
    <cellStyle name="Standaard 28 2 2 2 5 3 2" xfId="31502"/>
    <cellStyle name="Standaard 28 2 2 2 5 4" xfId="31503"/>
    <cellStyle name="Standaard 28 2 2 2 6" xfId="31504"/>
    <cellStyle name="Standaard 28 2 2 2 6 2" xfId="31505"/>
    <cellStyle name="Standaard 28 2 2 2 6 2 2" xfId="31506"/>
    <cellStyle name="Standaard 28 2 2 2 6 3" xfId="31507"/>
    <cellStyle name="Standaard 28 2 2 2 7" xfId="31508"/>
    <cellStyle name="Standaard 28 2 2 2 7 2" xfId="31509"/>
    <cellStyle name="Standaard 28 2 2 2 8" xfId="31510"/>
    <cellStyle name="Standaard 28 2 2 2 9" xfId="31511"/>
    <cellStyle name="Standaard 28 2 2 3" xfId="31512"/>
    <cellStyle name="Standaard 28 2 2 3 2" xfId="31513"/>
    <cellStyle name="Standaard 28 2 2 3 2 2" xfId="31514"/>
    <cellStyle name="Standaard 28 2 2 3 2 2 2" xfId="31515"/>
    <cellStyle name="Standaard 28 2 2 3 2 2 2 2" xfId="31516"/>
    <cellStyle name="Standaard 28 2 2 3 2 2 2 2 2" xfId="31517"/>
    <cellStyle name="Standaard 28 2 2 3 2 2 2 2 2 2" xfId="31518"/>
    <cellStyle name="Standaard 28 2 2 3 2 2 2 2 3" xfId="31519"/>
    <cellStyle name="Standaard 28 2 2 3 2 2 2 3" xfId="31520"/>
    <cellStyle name="Standaard 28 2 2 3 2 2 2 3 2" xfId="31521"/>
    <cellStyle name="Standaard 28 2 2 3 2 2 2 4" xfId="31522"/>
    <cellStyle name="Standaard 28 2 2 3 2 2 3" xfId="31523"/>
    <cellStyle name="Standaard 28 2 2 3 2 2 3 2" xfId="31524"/>
    <cellStyle name="Standaard 28 2 2 3 2 2 3 2 2" xfId="31525"/>
    <cellStyle name="Standaard 28 2 2 3 2 2 3 3" xfId="31526"/>
    <cellStyle name="Standaard 28 2 2 3 2 2 4" xfId="31527"/>
    <cellStyle name="Standaard 28 2 2 3 2 2 4 2" xfId="31528"/>
    <cellStyle name="Standaard 28 2 2 3 2 2 5" xfId="31529"/>
    <cellStyle name="Standaard 28 2 2 3 2 2 6" xfId="31530"/>
    <cellStyle name="Standaard 28 2 2 3 2 3" xfId="31531"/>
    <cellStyle name="Standaard 28 2 2 3 2 3 2" xfId="31532"/>
    <cellStyle name="Standaard 28 2 2 3 2 3 2 2" xfId="31533"/>
    <cellStyle name="Standaard 28 2 2 3 2 3 2 2 2" xfId="31534"/>
    <cellStyle name="Standaard 28 2 2 3 2 3 2 3" xfId="31535"/>
    <cellStyle name="Standaard 28 2 2 3 2 3 3" xfId="31536"/>
    <cellStyle name="Standaard 28 2 2 3 2 3 3 2" xfId="31537"/>
    <cellStyle name="Standaard 28 2 2 3 2 3 4" xfId="31538"/>
    <cellStyle name="Standaard 28 2 2 3 2 4" xfId="31539"/>
    <cellStyle name="Standaard 28 2 2 3 2 4 2" xfId="31540"/>
    <cellStyle name="Standaard 28 2 2 3 2 4 2 2" xfId="31541"/>
    <cellStyle name="Standaard 28 2 2 3 2 4 3" xfId="31542"/>
    <cellStyle name="Standaard 28 2 2 3 2 5" xfId="31543"/>
    <cellStyle name="Standaard 28 2 2 3 2 5 2" xfId="31544"/>
    <cellStyle name="Standaard 28 2 2 3 2 6" xfId="31545"/>
    <cellStyle name="Standaard 28 2 2 3 2 7" xfId="31546"/>
    <cellStyle name="Standaard 28 2 2 3 3" xfId="31547"/>
    <cellStyle name="Standaard 28 2 2 3 3 2" xfId="31548"/>
    <cellStyle name="Standaard 28 2 2 3 3 2 2" xfId="31549"/>
    <cellStyle name="Standaard 28 2 2 3 3 2 2 2" xfId="31550"/>
    <cellStyle name="Standaard 28 2 2 3 3 2 2 2 2" xfId="31551"/>
    <cellStyle name="Standaard 28 2 2 3 3 2 2 3" xfId="31552"/>
    <cellStyle name="Standaard 28 2 2 3 3 2 3" xfId="31553"/>
    <cellStyle name="Standaard 28 2 2 3 3 2 3 2" xfId="31554"/>
    <cellStyle name="Standaard 28 2 2 3 3 2 4" xfId="31555"/>
    <cellStyle name="Standaard 28 2 2 3 3 3" xfId="31556"/>
    <cellStyle name="Standaard 28 2 2 3 3 3 2" xfId="31557"/>
    <cellStyle name="Standaard 28 2 2 3 3 3 2 2" xfId="31558"/>
    <cellStyle name="Standaard 28 2 2 3 3 3 3" xfId="31559"/>
    <cellStyle name="Standaard 28 2 2 3 3 4" xfId="31560"/>
    <cellStyle name="Standaard 28 2 2 3 3 4 2" xfId="31561"/>
    <cellStyle name="Standaard 28 2 2 3 3 5" xfId="31562"/>
    <cellStyle name="Standaard 28 2 2 3 3 6" xfId="31563"/>
    <cellStyle name="Standaard 28 2 2 3 4" xfId="31564"/>
    <cellStyle name="Standaard 28 2 2 3 4 2" xfId="31565"/>
    <cellStyle name="Standaard 28 2 2 3 4 2 2" xfId="31566"/>
    <cellStyle name="Standaard 28 2 2 3 4 2 2 2" xfId="31567"/>
    <cellStyle name="Standaard 28 2 2 3 4 2 3" xfId="31568"/>
    <cellStyle name="Standaard 28 2 2 3 4 3" xfId="31569"/>
    <cellStyle name="Standaard 28 2 2 3 4 3 2" xfId="31570"/>
    <cellStyle name="Standaard 28 2 2 3 4 4" xfId="31571"/>
    <cellStyle name="Standaard 28 2 2 3 5" xfId="31572"/>
    <cellStyle name="Standaard 28 2 2 3 5 2" xfId="31573"/>
    <cellStyle name="Standaard 28 2 2 3 5 2 2" xfId="31574"/>
    <cellStyle name="Standaard 28 2 2 3 5 3" xfId="31575"/>
    <cellStyle name="Standaard 28 2 2 3 6" xfId="31576"/>
    <cellStyle name="Standaard 28 2 2 3 6 2" xfId="31577"/>
    <cellStyle name="Standaard 28 2 2 3 7" xfId="31578"/>
    <cellStyle name="Standaard 28 2 2 3 8" xfId="31579"/>
    <cellStyle name="Standaard 28 2 2 4" xfId="31580"/>
    <cellStyle name="Standaard 28 2 2 4 2" xfId="31581"/>
    <cellStyle name="Standaard 28 2 2 4 2 2" xfId="31582"/>
    <cellStyle name="Standaard 28 2 2 4 2 2 2" xfId="31583"/>
    <cellStyle name="Standaard 28 2 2 4 2 2 2 2" xfId="31584"/>
    <cellStyle name="Standaard 28 2 2 4 2 2 2 2 2" xfId="31585"/>
    <cellStyle name="Standaard 28 2 2 4 2 2 2 2 2 2" xfId="31586"/>
    <cellStyle name="Standaard 28 2 2 4 2 2 2 2 3" xfId="31587"/>
    <cellStyle name="Standaard 28 2 2 4 2 2 2 3" xfId="31588"/>
    <cellStyle name="Standaard 28 2 2 4 2 2 2 3 2" xfId="31589"/>
    <cellStyle name="Standaard 28 2 2 4 2 2 2 4" xfId="31590"/>
    <cellStyle name="Standaard 28 2 2 4 2 2 3" xfId="31591"/>
    <cellStyle name="Standaard 28 2 2 4 2 2 3 2" xfId="31592"/>
    <cellStyle name="Standaard 28 2 2 4 2 2 3 2 2" xfId="31593"/>
    <cellStyle name="Standaard 28 2 2 4 2 2 3 3" xfId="31594"/>
    <cellStyle name="Standaard 28 2 2 4 2 2 4" xfId="31595"/>
    <cellStyle name="Standaard 28 2 2 4 2 2 4 2" xfId="31596"/>
    <cellStyle name="Standaard 28 2 2 4 2 2 5" xfId="31597"/>
    <cellStyle name="Standaard 28 2 2 4 2 2 6" xfId="31598"/>
    <cellStyle name="Standaard 28 2 2 4 2 3" xfId="31599"/>
    <cellStyle name="Standaard 28 2 2 4 2 3 2" xfId="31600"/>
    <cellStyle name="Standaard 28 2 2 4 2 3 2 2" xfId="31601"/>
    <cellStyle name="Standaard 28 2 2 4 2 3 2 2 2" xfId="31602"/>
    <cellStyle name="Standaard 28 2 2 4 2 3 2 3" xfId="31603"/>
    <cellStyle name="Standaard 28 2 2 4 2 3 3" xfId="31604"/>
    <cellStyle name="Standaard 28 2 2 4 2 3 3 2" xfId="31605"/>
    <cellStyle name="Standaard 28 2 2 4 2 3 4" xfId="31606"/>
    <cellStyle name="Standaard 28 2 2 4 2 4" xfId="31607"/>
    <cellStyle name="Standaard 28 2 2 4 2 4 2" xfId="31608"/>
    <cellStyle name="Standaard 28 2 2 4 2 4 2 2" xfId="31609"/>
    <cellStyle name="Standaard 28 2 2 4 2 4 3" xfId="31610"/>
    <cellStyle name="Standaard 28 2 2 4 2 5" xfId="31611"/>
    <cellStyle name="Standaard 28 2 2 4 2 5 2" xfId="31612"/>
    <cellStyle name="Standaard 28 2 2 4 2 6" xfId="31613"/>
    <cellStyle name="Standaard 28 2 2 4 2 7" xfId="31614"/>
    <cellStyle name="Standaard 28 2 2 4 3" xfId="31615"/>
    <cellStyle name="Standaard 28 2 2 4 3 2" xfId="31616"/>
    <cellStyle name="Standaard 28 2 2 4 3 2 2" xfId="31617"/>
    <cellStyle name="Standaard 28 2 2 4 3 2 2 2" xfId="31618"/>
    <cellStyle name="Standaard 28 2 2 4 3 2 2 2 2" xfId="31619"/>
    <cellStyle name="Standaard 28 2 2 4 3 2 2 3" xfId="31620"/>
    <cellStyle name="Standaard 28 2 2 4 3 2 3" xfId="31621"/>
    <cellStyle name="Standaard 28 2 2 4 3 2 3 2" xfId="31622"/>
    <cellStyle name="Standaard 28 2 2 4 3 2 4" xfId="31623"/>
    <cellStyle name="Standaard 28 2 2 4 3 3" xfId="31624"/>
    <cellStyle name="Standaard 28 2 2 4 3 3 2" xfId="31625"/>
    <cellStyle name="Standaard 28 2 2 4 3 3 2 2" xfId="31626"/>
    <cellStyle name="Standaard 28 2 2 4 3 3 3" xfId="31627"/>
    <cellStyle name="Standaard 28 2 2 4 3 4" xfId="31628"/>
    <cellStyle name="Standaard 28 2 2 4 3 4 2" xfId="31629"/>
    <cellStyle name="Standaard 28 2 2 4 3 5" xfId="31630"/>
    <cellStyle name="Standaard 28 2 2 4 3 6" xfId="31631"/>
    <cellStyle name="Standaard 28 2 2 4 4" xfId="31632"/>
    <cellStyle name="Standaard 28 2 2 4 4 2" xfId="31633"/>
    <cellStyle name="Standaard 28 2 2 4 4 2 2" xfId="31634"/>
    <cellStyle name="Standaard 28 2 2 4 4 2 2 2" xfId="31635"/>
    <cellStyle name="Standaard 28 2 2 4 4 2 3" xfId="31636"/>
    <cellStyle name="Standaard 28 2 2 4 4 3" xfId="31637"/>
    <cellStyle name="Standaard 28 2 2 4 4 3 2" xfId="31638"/>
    <cellStyle name="Standaard 28 2 2 4 4 4" xfId="31639"/>
    <cellStyle name="Standaard 28 2 2 4 5" xfId="31640"/>
    <cellStyle name="Standaard 28 2 2 4 5 2" xfId="31641"/>
    <cellStyle name="Standaard 28 2 2 4 5 2 2" xfId="31642"/>
    <cellStyle name="Standaard 28 2 2 4 5 3" xfId="31643"/>
    <cellStyle name="Standaard 28 2 2 4 6" xfId="31644"/>
    <cellStyle name="Standaard 28 2 2 4 6 2" xfId="31645"/>
    <cellStyle name="Standaard 28 2 2 4 7" xfId="31646"/>
    <cellStyle name="Standaard 28 2 2 4 8" xfId="31647"/>
    <cellStyle name="Standaard 28 2 2 5" xfId="31648"/>
    <cellStyle name="Standaard 28 2 2 5 2" xfId="31649"/>
    <cellStyle name="Standaard 28 2 2 5 2 2" xfId="31650"/>
    <cellStyle name="Standaard 28 2 2 5 2 2 2" xfId="31651"/>
    <cellStyle name="Standaard 28 2 2 5 2 2 2 2" xfId="31652"/>
    <cellStyle name="Standaard 28 2 2 5 2 2 2 2 2" xfId="31653"/>
    <cellStyle name="Standaard 28 2 2 5 2 2 2 3" xfId="31654"/>
    <cellStyle name="Standaard 28 2 2 5 2 2 3" xfId="31655"/>
    <cellStyle name="Standaard 28 2 2 5 2 2 3 2" xfId="31656"/>
    <cellStyle name="Standaard 28 2 2 5 2 2 4" xfId="31657"/>
    <cellStyle name="Standaard 28 2 2 5 2 3" xfId="31658"/>
    <cellStyle name="Standaard 28 2 2 5 2 3 2" xfId="31659"/>
    <cellStyle name="Standaard 28 2 2 5 2 3 2 2" xfId="31660"/>
    <cellStyle name="Standaard 28 2 2 5 2 3 3" xfId="31661"/>
    <cellStyle name="Standaard 28 2 2 5 2 4" xfId="31662"/>
    <cellStyle name="Standaard 28 2 2 5 2 4 2" xfId="31663"/>
    <cellStyle name="Standaard 28 2 2 5 2 5" xfId="31664"/>
    <cellStyle name="Standaard 28 2 2 5 2 6" xfId="31665"/>
    <cellStyle name="Standaard 28 2 2 5 3" xfId="31666"/>
    <cellStyle name="Standaard 28 2 2 5 3 2" xfId="31667"/>
    <cellStyle name="Standaard 28 2 2 5 3 2 2" xfId="31668"/>
    <cellStyle name="Standaard 28 2 2 5 3 2 2 2" xfId="31669"/>
    <cellStyle name="Standaard 28 2 2 5 3 2 3" xfId="31670"/>
    <cellStyle name="Standaard 28 2 2 5 3 3" xfId="31671"/>
    <cellStyle name="Standaard 28 2 2 5 3 3 2" xfId="31672"/>
    <cellStyle name="Standaard 28 2 2 5 3 4" xfId="31673"/>
    <cellStyle name="Standaard 28 2 2 5 4" xfId="31674"/>
    <cellStyle name="Standaard 28 2 2 5 4 2" xfId="31675"/>
    <cellStyle name="Standaard 28 2 2 5 4 2 2" xfId="31676"/>
    <cellStyle name="Standaard 28 2 2 5 4 3" xfId="31677"/>
    <cellStyle name="Standaard 28 2 2 5 5" xfId="31678"/>
    <cellStyle name="Standaard 28 2 2 5 5 2" xfId="31679"/>
    <cellStyle name="Standaard 28 2 2 5 6" xfId="31680"/>
    <cellStyle name="Standaard 28 2 2 5 7" xfId="31681"/>
    <cellStyle name="Standaard 28 2 2 6" xfId="31682"/>
    <cellStyle name="Standaard 28 2 2 6 2" xfId="31683"/>
    <cellStyle name="Standaard 28 2 2 6 2 2" xfId="31684"/>
    <cellStyle name="Standaard 28 2 2 6 2 2 2" xfId="31685"/>
    <cellStyle name="Standaard 28 2 2 6 2 2 2 2" xfId="31686"/>
    <cellStyle name="Standaard 28 2 2 6 2 2 3" xfId="31687"/>
    <cellStyle name="Standaard 28 2 2 6 2 3" xfId="31688"/>
    <cellStyle name="Standaard 28 2 2 6 2 3 2" xfId="31689"/>
    <cellStyle name="Standaard 28 2 2 6 2 4" xfId="31690"/>
    <cellStyle name="Standaard 28 2 2 6 3" xfId="31691"/>
    <cellStyle name="Standaard 28 2 2 6 3 2" xfId="31692"/>
    <cellStyle name="Standaard 28 2 2 6 3 2 2" xfId="31693"/>
    <cellStyle name="Standaard 28 2 2 6 3 3" xfId="31694"/>
    <cellStyle name="Standaard 28 2 2 6 4" xfId="31695"/>
    <cellStyle name="Standaard 28 2 2 6 4 2" xfId="31696"/>
    <cellStyle name="Standaard 28 2 2 6 5" xfId="31697"/>
    <cellStyle name="Standaard 28 2 2 6 6" xfId="31698"/>
    <cellStyle name="Standaard 28 2 2 7" xfId="31699"/>
    <cellStyle name="Standaard 28 2 2 7 2" xfId="31700"/>
    <cellStyle name="Standaard 28 2 2 7 2 2" xfId="31701"/>
    <cellStyle name="Standaard 28 2 2 7 2 2 2" xfId="31702"/>
    <cellStyle name="Standaard 28 2 2 7 2 3" xfId="31703"/>
    <cellStyle name="Standaard 28 2 2 7 3" xfId="31704"/>
    <cellStyle name="Standaard 28 2 2 7 3 2" xfId="31705"/>
    <cellStyle name="Standaard 28 2 2 7 4" xfId="31706"/>
    <cellStyle name="Standaard 28 2 2 8" xfId="31707"/>
    <cellStyle name="Standaard 28 2 2 8 2" xfId="31708"/>
    <cellStyle name="Standaard 28 2 2 8 2 2" xfId="31709"/>
    <cellStyle name="Standaard 28 2 2 8 3" xfId="31710"/>
    <cellStyle name="Standaard 28 2 2 9" xfId="31711"/>
    <cellStyle name="Standaard 28 2 2 9 2" xfId="31712"/>
    <cellStyle name="Standaard 28 2 3" xfId="31713"/>
    <cellStyle name="Standaard 28 2 3 2" xfId="31714"/>
    <cellStyle name="Standaard 28 2 3 2 2" xfId="31715"/>
    <cellStyle name="Standaard 28 2 3 2 2 2" xfId="31716"/>
    <cellStyle name="Standaard 28 2 3 2 2 2 2" xfId="31717"/>
    <cellStyle name="Standaard 28 2 3 2 2 2 2 2" xfId="31718"/>
    <cellStyle name="Standaard 28 2 3 2 2 2 2 2 2" xfId="31719"/>
    <cellStyle name="Standaard 28 2 3 2 2 2 2 2 2 2" xfId="31720"/>
    <cellStyle name="Standaard 28 2 3 2 2 2 2 2 3" xfId="31721"/>
    <cellStyle name="Standaard 28 2 3 2 2 2 2 3" xfId="31722"/>
    <cellStyle name="Standaard 28 2 3 2 2 2 2 3 2" xfId="31723"/>
    <cellStyle name="Standaard 28 2 3 2 2 2 2 4" xfId="31724"/>
    <cellStyle name="Standaard 28 2 3 2 2 2 3" xfId="31725"/>
    <cellStyle name="Standaard 28 2 3 2 2 2 3 2" xfId="31726"/>
    <cellStyle name="Standaard 28 2 3 2 2 2 3 2 2" xfId="31727"/>
    <cellStyle name="Standaard 28 2 3 2 2 2 3 3" xfId="31728"/>
    <cellStyle name="Standaard 28 2 3 2 2 2 4" xfId="31729"/>
    <cellStyle name="Standaard 28 2 3 2 2 2 4 2" xfId="31730"/>
    <cellStyle name="Standaard 28 2 3 2 2 2 5" xfId="31731"/>
    <cellStyle name="Standaard 28 2 3 2 2 2 6" xfId="31732"/>
    <cellStyle name="Standaard 28 2 3 2 2 3" xfId="31733"/>
    <cellStyle name="Standaard 28 2 3 2 2 3 2" xfId="31734"/>
    <cellStyle name="Standaard 28 2 3 2 2 3 2 2" xfId="31735"/>
    <cellStyle name="Standaard 28 2 3 2 2 3 2 2 2" xfId="31736"/>
    <cellStyle name="Standaard 28 2 3 2 2 3 2 3" xfId="31737"/>
    <cellStyle name="Standaard 28 2 3 2 2 3 3" xfId="31738"/>
    <cellStyle name="Standaard 28 2 3 2 2 3 3 2" xfId="31739"/>
    <cellStyle name="Standaard 28 2 3 2 2 3 4" xfId="31740"/>
    <cellStyle name="Standaard 28 2 3 2 2 4" xfId="31741"/>
    <cellStyle name="Standaard 28 2 3 2 2 4 2" xfId="31742"/>
    <cellStyle name="Standaard 28 2 3 2 2 4 2 2" xfId="31743"/>
    <cellStyle name="Standaard 28 2 3 2 2 4 3" xfId="31744"/>
    <cellStyle name="Standaard 28 2 3 2 2 5" xfId="31745"/>
    <cellStyle name="Standaard 28 2 3 2 2 5 2" xfId="31746"/>
    <cellStyle name="Standaard 28 2 3 2 2 6" xfId="31747"/>
    <cellStyle name="Standaard 28 2 3 2 2 7" xfId="31748"/>
    <cellStyle name="Standaard 28 2 3 2 3" xfId="31749"/>
    <cellStyle name="Standaard 28 2 3 2 3 2" xfId="31750"/>
    <cellStyle name="Standaard 28 2 3 2 3 2 2" xfId="31751"/>
    <cellStyle name="Standaard 28 2 3 2 3 2 2 2" xfId="31752"/>
    <cellStyle name="Standaard 28 2 3 2 3 2 2 2 2" xfId="31753"/>
    <cellStyle name="Standaard 28 2 3 2 3 2 2 3" xfId="31754"/>
    <cellStyle name="Standaard 28 2 3 2 3 2 3" xfId="31755"/>
    <cellStyle name="Standaard 28 2 3 2 3 2 3 2" xfId="31756"/>
    <cellStyle name="Standaard 28 2 3 2 3 2 4" xfId="31757"/>
    <cellStyle name="Standaard 28 2 3 2 3 3" xfId="31758"/>
    <cellStyle name="Standaard 28 2 3 2 3 3 2" xfId="31759"/>
    <cellStyle name="Standaard 28 2 3 2 3 3 2 2" xfId="31760"/>
    <cellStyle name="Standaard 28 2 3 2 3 3 3" xfId="31761"/>
    <cellStyle name="Standaard 28 2 3 2 3 4" xfId="31762"/>
    <cellStyle name="Standaard 28 2 3 2 3 4 2" xfId="31763"/>
    <cellStyle name="Standaard 28 2 3 2 3 5" xfId="31764"/>
    <cellStyle name="Standaard 28 2 3 2 3 6" xfId="31765"/>
    <cellStyle name="Standaard 28 2 3 2 4" xfId="31766"/>
    <cellStyle name="Standaard 28 2 3 2 4 2" xfId="31767"/>
    <cellStyle name="Standaard 28 2 3 2 4 2 2" xfId="31768"/>
    <cellStyle name="Standaard 28 2 3 2 4 2 2 2" xfId="31769"/>
    <cellStyle name="Standaard 28 2 3 2 4 2 3" xfId="31770"/>
    <cellStyle name="Standaard 28 2 3 2 4 3" xfId="31771"/>
    <cellStyle name="Standaard 28 2 3 2 4 3 2" xfId="31772"/>
    <cellStyle name="Standaard 28 2 3 2 4 4" xfId="31773"/>
    <cellStyle name="Standaard 28 2 3 2 5" xfId="31774"/>
    <cellStyle name="Standaard 28 2 3 2 5 2" xfId="31775"/>
    <cellStyle name="Standaard 28 2 3 2 5 2 2" xfId="31776"/>
    <cellStyle name="Standaard 28 2 3 2 5 3" xfId="31777"/>
    <cellStyle name="Standaard 28 2 3 2 6" xfId="31778"/>
    <cellStyle name="Standaard 28 2 3 2 6 2" xfId="31779"/>
    <cellStyle name="Standaard 28 2 3 2 7" xfId="31780"/>
    <cellStyle name="Standaard 28 2 3 2 8" xfId="31781"/>
    <cellStyle name="Standaard 28 2 3 3" xfId="31782"/>
    <cellStyle name="Standaard 28 2 3 3 2" xfId="31783"/>
    <cellStyle name="Standaard 28 2 3 3 2 2" xfId="31784"/>
    <cellStyle name="Standaard 28 2 3 3 2 2 2" xfId="31785"/>
    <cellStyle name="Standaard 28 2 3 3 2 2 2 2" xfId="31786"/>
    <cellStyle name="Standaard 28 2 3 3 2 2 2 2 2" xfId="31787"/>
    <cellStyle name="Standaard 28 2 3 3 2 2 2 3" xfId="31788"/>
    <cellStyle name="Standaard 28 2 3 3 2 2 3" xfId="31789"/>
    <cellStyle name="Standaard 28 2 3 3 2 2 3 2" xfId="31790"/>
    <cellStyle name="Standaard 28 2 3 3 2 2 4" xfId="31791"/>
    <cellStyle name="Standaard 28 2 3 3 2 3" xfId="31792"/>
    <cellStyle name="Standaard 28 2 3 3 2 3 2" xfId="31793"/>
    <cellStyle name="Standaard 28 2 3 3 2 3 2 2" xfId="31794"/>
    <cellStyle name="Standaard 28 2 3 3 2 3 3" xfId="31795"/>
    <cellStyle name="Standaard 28 2 3 3 2 4" xfId="31796"/>
    <cellStyle name="Standaard 28 2 3 3 2 4 2" xfId="31797"/>
    <cellStyle name="Standaard 28 2 3 3 2 5" xfId="31798"/>
    <cellStyle name="Standaard 28 2 3 3 2 6" xfId="31799"/>
    <cellStyle name="Standaard 28 2 3 3 3" xfId="31800"/>
    <cellStyle name="Standaard 28 2 3 3 3 2" xfId="31801"/>
    <cellStyle name="Standaard 28 2 3 3 3 2 2" xfId="31802"/>
    <cellStyle name="Standaard 28 2 3 3 3 2 2 2" xfId="31803"/>
    <cellStyle name="Standaard 28 2 3 3 3 2 3" xfId="31804"/>
    <cellStyle name="Standaard 28 2 3 3 3 3" xfId="31805"/>
    <cellStyle name="Standaard 28 2 3 3 3 3 2" xfId="31806"/>
    <cellStyle name="Standaard 28 2 3 3 3 4" xfId="31807"/>
    <cellStyle name="Standaard 28 2 3 3 4" xfId="31808"/>
    <cellStyle name="Standaard 28 2 3 3 4 2" xfId="31809"/>
    <cellStyle name="Standaard 28 2 3 3 4 2 2" xfId="31810"/>
    <cellStyle name="Standaard 28 2 3 3 4 3" xfId="31811"/>
    <cellStyle name="Standaard 28 2 3 3 5" xfId="31812"/>
    <cellStyle name="Standaard 28 2 3 3 5 2" xfId="31813"/>
    <cellStyle name="Standaard 28 2 3 3 6" xfId="31814"/>
    <cellStyle name="Standaard 28 2 3 3 7" xfId="31815"/>
    <cellStyle name="Standaard 28 2 3 4" xfId="31816"/>
    <cellStyle name="Standaard 28 2 3 4 2" xfId="31817"/>
    <cellStyle name="Standaard 28 2 3 4 2 2" xfId="31818"/>
    <cellStyle name="Standaard 28 2 3 4 2 2 2" xfId="31819"/>
    <cellStyle name="Standaard 28 2 3 4 2 2 2 2" xfId="31820"/>
    <cellStyle name="Standaard 28 2 3 4 2 2 3" xfId="31821"/>
    <cellStyle name="Standaard 28 2 3 4 2 3" xfId="31822"/>
    <cellStyle name="Standaard 28 2 3 4 2 3 2" xfId="31823"/>
    <cellStyle name="Standaard 28 2 3 4 2 4" xfId="31824"/>
    <cellStyle name="Standaard 28 2 3 4 3" xfId="31825"/>
    <cellStyle name="Standaard 28 2 3 4 3 2" xfId="31826"/>
    <cellStyle name="Standaard 28 2 3 4 3 2 2" xfId="31827"/>
    <cellStyle name="Standaard 28 2 3 4 3 3" xfId="31828"/>
    <cellStyle name="Standaard 28 2 3 4 4" xfId="31829"/>
    <cellStyle name="Standaard 28 2 3 4 4 2" xfId="31830"/>
    <cellStyle name="Standaard 28 2 3 4 5" xfId="31831"/>
    <cellStyle name="Standaard 28 2 3 4 6" xfId="31832"/>
    <cellStyle name="Standaard 28 2 3 5" xfId="31833"/>
    <cellStyle name="Standaard 28 2 3 5 2" xfId="31834"/>
    <cellStyle name="Standaard 28 2 3 5 2 2" xfId="31835"/>
    <cellStyle name="Standaard 28 2 3 5 2 2 2" xfId="31836"/>
    <cellStyle name="Standaard 28 2 3 5 2 3" xfId="31837"/>
    <cellStyle name="Standaard 28 2 3 5 3" xfId="31838"/>
    <cellStyle name="Standaard 28 2 3 5 3 2" xfId="31839"/>
    <cellStyle name="Standaard 28 2 3 5 4" xfId="31840"/>
    <cellStyle name="Standaard 28 2 3 6" xfId="31841"/>
    <cellStyle name="Standaard 28 2 3 6 2" xfId="31842"/>
    <cellStyle name="Standaard 28 2 3 6 2 2" xfId="31843"/>
    <cellStyle name="Standaard 28 2 3 6 3" xfId="31844"/>
    <cellStyle name="Standaard 28 2 3 7" xfId="31845"/>
    <cellStyle name="Standaard 28 2 3 7 2" xfId="31846"/>
    <cellStyle name="Standaard 28 2 3 8" xfId="31847"/>
    <cellStyle name="Standaard 28 2 3 9" xfId="31848"/>
    <cellStyle name="Standaard 28 2 4" xfId="31849"/>
    <cellStyle name="Standaard 28 2 4 2" xfId="31850"/>
    <cellStyle name="Standaard 28 2 4 2 2" xfId="31851"/>
    <cellStyle name="Standaard 28 2 4 2 2 2" xfId="31852"/>
    <cellStyle name="Standaard 28 2 4 2 2 2 2" xfId="31853"/>
    <cellStyle name="Standaard 28 2 4 2 2 2 2 2" xfId="31854"/>
    <cellStyle name="Standaard 28 2 4 2 2 2 2 2 2" xfId="31855"/>
    <cellStyle name="Standaard 28 2 4 2 2 2 2 3" xfId="31856"/>
    <cellStyle name="Standaard 28 2 4 2 2 2 3" xfId="31857"/>
    <cellStyle name="Standaard 28 2 4 2 2 2 3 2" xfId="31858"/>
    <cellStyle name="Standaard 28 2 4 2 2 2 4" xfId="31859"/>
    <cellStyle name="Standaard 28 2 4 2 2 3" xfId="31860"/>
    <cellStyle name="Standaard 28 2 4 2 2 3 2" xfId="31861"/>
    <cellStyle name="Standaard 28 2 4 2 2 3 2 2" xfId="31862"/>
    <cellStyle name="Standaard 28 2 4 2 2 3 3" xfId="31863"/>
    <cellStyle name="Standaard 28 2 4 2 2 4" xfId="31864"/>
    <cellStyle name="Standaard 28 2 4 2 2 4 2" xfId="31865"/>
    <cellStyle name="Standaard 28 2 4 2 2 5" xfId="31866"/>
    <cellStyle name="Standaard 28 2 4 2 2 6" xfId="31867"/>
    <cellStyle name="Standaard 28 2 4 2 3" xfId="31868"/>
    <cellStyle name="Standaard 28 2 4 2 3 2" xfId="31869"/>
    <cellStyle name="Standaard 28 2 4 2 3 2 2" xfId="31870"/>
    <cellStyle name="Standaard 28 2 4 2 3 2 2 2" xfId="31871"/>
    <cellStyle name="Standaard 28 2 4 2 3 2 3" xfId="31872"/>
    <cellStyle name="Standaard 28 2 4 2 3 3" xfId="31873"/>
    <cellStyle name="Standaard 28 2 4 2 3 3 2" xfId="31874"/>
    <cellStyle name="Standaard 28 2 4 2 3 4" xfId="31875"/>
    <cellStyle name="Standaard 28 2 4 2 4" xfId="31876"/>
    <cellStyle name="Standaard 28 2 4 2 4 2" xfId="31877"/>
    <cellStyle name="Standaard 28 2 4 2 4 2 2" xfId="31878"/>
    <cellStyle name="Standaard 28 2 4 2 4 3" xfId="31879"/>
    <cellStyle name="Standaard 28 2 4 2 5" xfId="31880"/>
    <cellStyle name="Standaard 28 2 4 2 5 2" xfId="31881"/>
    <cellStyle name="Standaard 28 2 4 2 6" xfId="31882"/>
    <cellStyle name="Standaard 28 2 4 2 7" xfId="31883"/>
    <cellStyle name="Standaard 28 2 4 3" xfId="31884"/>
    <cellStyle name="Standaard 28 2 4 3 2" xfId="31885"/>
    <cellStyle name="Standaard 28 2 4 3 2 2" xfId="31886"/>
    <cellStyle name="Standaard 28 2 4 3 2 2 2" xfId="31887"/>
    <cellStyle name="Standaard 28 2 4 3 2 2 2 2" xfId="31888"/>
    <cellStyle name="Standaard 28 2 4 3 2 2 3" xfId="31889"/>
    <cellStyle name="Standaard 28 2 4 3 2 3" xfId="31890"/>
    <cellStyle name="Standaard 28 2 4 3 2 3 2" xfId="31891"/>
    <cellStyle name="Standaard 28 2 4 3 2 4" xfId="31892"/>
    <cellStyle name="Standaard 28 2 4 3 3" xfId="31893"/>
    <cellStyle name="Standaard 28 2 4 3 3 2" xfId="31894"/>
    <cellStyle name="Standaard 28 2 4 3 3 2 2" xfId="31895"/>
    <cellStyle name="Standaard 28 2 4 3 3 3" xfId="31896"/>
    <cellStyle name="Standaard 28 2 4 3 4" xfId="31897"/>
    <cellStyle name="Standaard 28 2 4 3 4 2" xfId="31898"/>
    <cellStyle name="Standaard 28 2 4 3 5" xfId="31899"/>
    <cellStyle name="Standaard 28 2 4 3 6" xfId="31900"/>
    <cellStyle name="Standaard 28 2 4 4" xfId="31901"/>
    <cellStyle name="Standaard 28 2 4 4 2" xfId="31902"/>
    <cellStyle name="Standaard 28 2 4 4 2 2" xfId="31903"/>
    <cellStyle name="Standaard 28 2 4 4 2 2 2" xfId="31904"/>
    <cellStyle name="Standaard 28 2 4 4 2 3" xfId="31905"/>
    <cellStyle name="Standaard 28 2 4 4 3" xfId="31906"/>
    <cellStyle name="Standaard 28 2 4 4 3 2" xfId="31907"/>
    <cellStyle name="Standaard 28 2 4 4 4" xfId="31908"/>
    <cellStyle name="Standaard 28 2 4 5" xfId="31909"/>
    <cellStyle name="Standaard 28 2 4 5 2" xfId="31910"/>
    <cellStyle name="Standaard 28 2 4 5 2 2" xfId="31911"/>
    <cellStyle name="Standaard 28 2 4 5 3" xfId="31912"/>
    <cellStyle name="Standaard 28 2 4 6" xfId="31913"/>
    <cellStyle name="Standaard 28 2 4 6 2" xfId="31914"/>
    <cellStyle name="Standaard 28 2 4 7" xfId="31915"/>
    <cellStyle name="Standaard 28 2 4 8" xfId="31916"/>
    <cellStyle name="Standaard 28 2 5" xfId="31917"/>
    <cellStyle name="Standaard 28 2 5 2" xfId="31918"/>
    <cellStyle name="Standaard 28 2 5 2 2" xfId="31919"/>
    <cellStyle name="Standaard 28 2 5 2 2 2" xfId="31920"/>
    <cellStyle name="Standaard 28 2 5 2 2 2 2" xfId="31921"/>
    <cellStyle name="Standaard 28 2 5 2 2 2 2 2" xfId="31922"/>
    <cellStyle name="Standaard 28 2 5 2 2 2 2 2 2" xfId="31923"/>
    <cellStyle name="Standaard 28 2 5 2 2 2 2 3" xfId="31924"/>
    <cellStyle name="Standaard 28 2 5 2 2 2 3" xfId="31925"/>
    <cellStyle name="Standaard 28 2 5 2 2 2 3 2" xfId="31926"/>
    <cellStyle name="Standaard 28 2 5 2 2 2 4" xfId="31927"/>
    <cellStyle name="Standaard 28 2 5 2 2 3" xfId="31928"/>
    <cellStyle name="Standaard 28 2 5 2 2 3 2" xfId="31929"/>
    <cellStyle name="Standaard 28 2 5 2 2 3 2 2" xfId="31930"/>
    <cellStyle name="Standaard 28 2 5 2 2 3 3" xfId="31931"/>
    <cellStyle name="Standaard 28 2 5 2 2 4" xfId="31932"/>
    <cellStyle name="Standaard 28 2 5 2 2 4 2" xfId="31933"/>
    <cellStyle name="Standaard 28 2 5 2 2 5" xfId="31934"/>
    <cellStyle name="Standaard 28 2 5 2 2 6" xfId="31935"/>
    <cellStyle name="Standaard 28 2 5 2 3" xfId="31936"/>
    <cellStyle name="Standaard 28 2 5 2 3 2" xfId="31937"/>
    <cellStyle name="Standaard 28 2 5 2 3 2 2" xfId="31938"/>
    <cellStyle name="Standaard 28 2 5 2 3 2 2 2" xfId="31939"/>
    <cellStyle name="Standaard 28 2 5 2 3 2 3" xfId="31940"/>
    <cellStyle name="Standaard 28 2 5 2 3 3" xfId="31941"/>
    <cellStyle name="Standaard 28 2 5 2 3 3 2" xfId="31942"/>
    <cellStyle name="Standaard 28 2 5 2 3 4" xfId="31943"/>
    <cellStyle name="Standaard 28 2 5 2 4" xfId="31944"/>
    <cellStyle name="Standaard 28 2 5 2 4 2" xfId="31945"/>
    <cellStyle name="Standaard 28 2 5 2 4 2 2" xfId="31946"/>
    <cellStyle name="Standaard 28 2 5 2 4 3" xfId="31947"/>
    <cellStyle name="Standaard 28 2 5 2 5" xfId="31948"/>
    <cellStyle name="Standaard 28 2 5 2 5 2" xfId="31949"/>
    <cellStyle name="Standaard 28 2 5 2 6" xfId="31950"/>
    <cellStyle name="Standaard 28 2 5 2 7" xfId="31951"/>
    <cellStyle name="Standaard 28 2 5 3" xfId="31952"/>
    <cellStyle name="Standaard 28 2 5 3 2" xfId="31953"/>
    <cellStyle name="Standaard 28 2 5 3 2 2" xfId="31954"/>
    <cellStyle name="Standaard 28 2 5 3 2 2 2" xfId="31955"/>
    <cellStyle name="Standaard 28 2 5 3 2 2 2 2" xfId="31956"/>
    <cellStyle name="Standaard 28 2 5 3 2 2 3" xfId="31957"/>
    <cellStyle name="Standaard 28 2 5 3 2 3" xfId="31958"/>
    <cellStyle name="Standaard 28 2 5 3 2 3 2" xfId="31959"/>
    <cellStyle name="Standaard 28 2 5 3 2 4" xfId="31960"/>
    <cellStyle name="Standaard 28 2 5 3 3" xfId="31961"/>
    <cellStyle name="Standaard 28 2 5 3 3 2" xfId="31962"/>
    <cellStyle name="Standaard 28 2 5 3 3 2 2" xfId="31963"/>
    <cellStyle name="Standaard 28 2 5 3 3 3" xfId="31964"/>
    <cellStyle name="Standaard 28 2 5 3 4" xfId="31965"/>
    <cellStyle name="Standaard 28 2 5 3 4 2" xfId="31966"/>
    <cellStyle name="Standaard 28 2 5 3 5" xfId="31967"/>
    <cellStyle name="Standaard 28 2 5 3 6" xfId="31968"/>
    <cellStyle name="Standaard 28 2 5 4" xfId="31969"/>
    <cellStyle name="Standaard 28 2 5 4 2" xfId="31970"/>
    <cellStyle name="Standaard 28 2 5 4 2 2" xfId="31971"/>
    <cellStyle name="Standaard 28 2 5 4 2 2 2" xfId="31972"/>
    <cellStyle name="Standaard 28 2 5 4 2 3" xfId="31973"/>
    <cellStyle name="Standaard 28 2 5 4 3" xfId="31974"/>
    <cellStyle name="Standaard 28 2 5 4 3 2" xfId="31975"/>
    <cellStyle name="Standaard 28 2 5 4 4" xfId="31976"/>
    <cellStyle name="Standaard 28 2 5 5" xfId="31977"/>
    <cellStyle name="Standaard 28 2 5 5 2" xfId="31978"/>
    <cellStyle name="Standaard 28 2 5 5 2 2" xfId="31979"/>
    <cellStyle name="Standaard 28 2 5 5 3" xfId="31980"/>
    <cellStyle name="Standaard 28 2 5 6" xfId="31981"/>
    <cellStyle name="Standaard 28 2 5 6 2" xfId="31982"/>
    <cellStyle name="Standaard 28 2 5 7" xfId="31983"/>
    <cellStyle name="Standaard 28 2 5 8" xfId="31984"/>
    <cellStyle name="Standaard 28 2 6" xfId="31985"/>
    <cellStyle name="Standaard 28 2 6 2" xfId="31986"/>
    <cellStyle name="Standaard 28 2 6 2 2" xfId="31987"/>
    <cellStyle name="Standaard 28 2 6 2 2 2" xfId="31988"/>
    <cellStyle name="Standaard 28 2 6 2 2 2 2" xfId="31989"/>
    <cellStyle name="Standaard 28 2 6 2 2 2 2 2" xfId="31990"/>
    <cellStyle name="Standaard 28 2 6 2 2 2 3" xfId="31991"/>
    <cellStyle name="Standaard 28 2 6 2 2 3" xfId="31992"/>
    <cellStyle name="Standaard 28 2 6 2 2 3 2" xfId="31993"/>
    <cellStyle name="Standaard 28 2 6 2 2 4" xfId="31994"/>
    <cellStyle name="Standaard 28 2 6 2 3" xfId="31995"/>
    <cellStyle name="Standaard 28 2 6 2 3 2" xfId="31996"/>
    <cellStyle name="Standaard 28 2 6 2 3 2 2" xfId="31997"/>
    <cellStyle name="Standaard 28 2 6 2 3 3" xfId="31998"/>
    <cellStyle name="Standaard 28 2 6 2 4" xfId="31999"/>
    <cellStyle name="Standaard 28 2 6 2 4 2" xfId="32000"/>
    <cellStyle name="Standaard 28 2 6 2 5" xfId="32001"/>
    <cellStyle name="Standaard 28 2 6 2 6" xfId="32002"/>
    <cellStyle name="Standaard 28 2 6 3" xfId="32003"/>
    <cellStyle name="Standaard 28 2 6 3 2" xfId="32004"/>
    <cellStyle name="Standaard 28 2 6 3 2 2" xfId="32005"/>
    <cellStyle name="Standaard 28 2 6 3 2 2 2" xfId="32006"/>
    <cellStyle name="Standaard 28 2 6 3 2 3" xfId="32007"/>
    <cellStyle name="Standaard 28 2 6 3 3" xfId="32008"/>
    <cellStyle name="Standaard 28 2 6 3 3 2" xfId="32009"/>
    <cellStyle name="Standaard 28 2 6 3 4" xfId="32010"/>
    <cellStyle name="Standaard 28 2 6 4" xfId="32011"/>
    <cellStyle name="Standaard 28 2 6 4 2" xfId="32012"/>
    <cellStyle name="Standaard 28 2 6 4 2 2" xfId="32013"/>
    <cellStyle name="Standaard 28 2 6 4 3" xfId="32014"/>
    <cellStyle name="Standaard 28 2 6 5" xfId="32015"/>
    <cellStyle name="Standaard 28 2 6 5 2" xfId="32016"/>
    <cellStyle name="Standaard 28 2 6 6" xfId="32017"/>
    <cellStyle name="Standaard 28 2 6 7" xfId="32018"/>
    <cellStyle name="Standaard 28 2 7" xfId="32019"/>
    <cellStyle name="Standaard 28 2 7 2" xfId="32020"/>
    <cellStyle name="Standaard 28 2 7 2 2" xfId="32021"/>
    <cellStyle name="Standaard 28 2 7 2 2 2" xfId="32022"/>
    <cellStyle name="Standaard 28 2 7 2 2 2 2" xfId="32023"/>
    <cellStyle name="Standaard 28 2 7 2 2 3" xfId="32024"/>
    <cellStyle name="Standaard 28 2 7 2 3" xfId="32025"/>
    <cellStyle name="Standaard 28 2 7 2 3 2" xfId="32026"/>
    <cellStyle name="Standaard 28 2 7 2 4" xfId="32027"/>
    <cellStyle name="Standaard 28 2 7 3" xfId="32028"/>
    <cellStyle name="Standaard 28 2 7 3 2" xfId="32029"/>
    <cellStyle name="Standaard 28 2 7 3 2 2" xfId="32030"/>
    <cellStyle name="Standaard 28 2 7 3 3" xfId="32031"/>
    <cellStyle name="Standaard 28 2 7 4" xfId="32032"/>
    <cellStyle name="Standaard 28 2 7 4 2" xfId="32033"/>
    <cellStyle name="Standaard 28 2 7 5" xfId="32034"/>
    <cellStyle name="Standaard 28 2 7 6" xfId="32035"/>
    <cellStyle name="Standaard 28 2 8" xfId="32036"/>
    <cellStyle name="Standaard 28 2 8 2" xfId="32037"/>
    <cellStyle name="Standaard 28 2 8 2 2" xfId="32038"/>
    <cellStyle name="Standaard 28 2 8 2 2 2" xfId="32039"/>
    <cellStyle name="Standaard 28 2 8 2 3" xfId="32040"/>
    <cellStyle name="Standaard 28 2 8 3" xfId="32041"/>
    <cellStyle name="Standaard 28 2 8 3 2" xfId="32042"/>
    <cellStyle name="Standaard 28 2 8 4" xfId="32043"/>
    <cellStyle name="Standaard 28 2 9" xfId="32044"/>
    <cellStyle name="Standaard 28 2 9 2" xfId="32045"/>
    <cellStyle name="Standaard 28 2 9 2 2" xfId="32046"/>
    <cellStyle name="Standaard 28 2 9 3" xfId="32047"/>
    <cellStyle name="Standaard 28 3" xfId="32048"/>
    <cellStyle name="Standaard 28 3 10" xfId="32049"/>
    <cellStyle name="Standaard 28 3 11" xfId="32050"/>
    <cellStyle name="Standaard 28 3 2" xfId="32051"/>
    <cellStyle name="Standaard 28 3 2 2" xfId="32052"/>
    <cellStyle name="Standaard 28 3 2 2 2" xfId="32053"/>
    <cellStyle name="Standaard 28 3 2 2 2 2" xfId="32054"/>
    <cellStyle name="Standaard 28 3 2 2 2 2 2" xfId="32055"/>
    <cellStyle name="Standaard 28 3 2 2 2 2 2 2" xfId="32056"/>
    <cellStyle name="Standaard 28 3 2 2 2 2 2 2 2" xfId="32057"/>
    <cellStyle name="Standaard 28 3 2 2 2 2 2 2 2 2" xfId="32058"/>
    <cellStyle name="Standaard 28 3 2 2 2 2 2 2 3" xfId="32059"/>
    <cellStyle name="Standaard 28 3 2 2 2 2 2 3" xfId="32060"/>
    <cellStyle name="Standaard 28 3 2 2 2 2 2 3 2" xfId="32061"/>
    <cellStyle name="Standaard 28 3 2 2 2 2 2 4" xfId="32062"/>
    <cellStyle name="Standaard 28 3 2 2 2 2 3" xfId="32063"/>
    <cellStyle name="Standaard 28 3 2 2 2 2 3 2" xfId="32064"/>
    <cellStyle name="Standaard 28 3 2 2 2 2 3 2 2" xfId="32065"/>
    <cellStyle name="Standaard 28 3 2 2 2 2 3 3" xfId="32066"/>
    <cellStyle name="Standaard 28 3 2 2 2 2 4" xfId="32067"/>
    <cellStyle name="Standaard 28 3 2 2 2 2 4 2" xfId="32068"/>
    <cellStyle name="Standaard 28 3 2 2 2 2 5" xfId="32069"/>
    <cellStyle name="Standaard 28 3 2 2 2 2 6" xfId="32070"/>
    <cellStyle name="Standaard 28 3 2 2 2 3" xfId="32071"/>
    <cellStyle name="Standaard 28 3 2 2 2 3 2" xfId="32072"/>
    <cellStyle name="Standaard 28 3 2 2 2 3 2 2" xfId="32073"/>
    <cellStyle name="Standaard 28 3 2 2 2 3 2 2 2" xfId="32074"/>
    <cellStyle name="Standaard 28 3 2 2 2 3 2 3" xfId="32075"/>
    <cellStyle name="Standaard 28 3 2 2 2 3 3" xfId="32076"/>
    <cellStyle name="Standaard 28 3 2 2 2 3 3 2" xfId="32077"/>
    <cellStyle name="Standaard 28 3 2 2 2 3 4" xfId="32078"/>
    <cellStyle name="Standaard 28 3 2 2 2 4" xfId="32079"/>
    <cellStyle name="Standaard 28 3 2 2 2 4 2" xfId="32080"/>
    <cellStyle name="Standaard 28 3 2 2 2 4 2 2" xfId="32081"/>
    <cellStyle name="Standaard 28 3 2 2 2 4 3" xfId="32082"/>
    <cellStyle name="Standaard 28 3 2 2 2 5" xfId="32083"/>
    <cellStyle name="Standaard 28 3 2 2 2 5 2" xfId="32084"/>
    <cellStyle name="Standaard 28 3 2 2 2 6" xfId="32085"/>
    <cellStyle name="Standaard 28 3 2 2 2 7" xfId="32086"/>
    <cellStyle name="Standaard 28 3 2 2 3" xfId="32087"/>
    <cellStyle name="Standaard 28 3 2 2 3 2" xfId="32088"/>
    <cellStyle name="Standaard 28 3 2 2 3 2 2" xfId="32089"/>
    <cellStyle name="Standaard 28 3 2 2 3 2 2 2" xfId="32090"/>
    <cellStyle name="Standaard 28 3 2 2 3 2 2 2 2" xfId="32091"/>
    <cellStyle name="Standaard 28 3 2 2 3 2 2 3" xfId="32092"/>
    <cellStyle name="Standaard 28 3 2 2 3 2 3" xfId="32093"/>
    <cellStyle name="Standaard 28 3 2 2 3 2 3 2" xfId="32094"/>
    <cellStyle name="Standaard 28 3 2 2 3 2 4" xfId="32095"/>
    <cellStyle name="Standaard 28 3 2 2 3 3" xfId="32096"/>
    <cellStyle name="Standaard 28 3 2 2 3 3 2" xfId="32097"/>
    <cellStyle name="Standaard 28 3 2 2 3 3 2 2" xfId="32098"/>
    <cellStyle name="Standaard 28 3 2 2 3 3 3" xfId="32099"/>
    <cellStyle name="Standaard 28 3 2 2 3 4" xfId="32100"/>
    <cellStyle name="Standaard 28 3 2 2 3 4 2" xfId="32101"/>
    <cellStyle name="Standaard 28 3 2 2 3 5" xfId="32102"/>
    <cellStyle name="Standaard 28 3 2 2 3 6" xfId="32103"/>
    <cellStyle name="Standaard 28 3 2 2 4" xfId="32104"/>
    <cellStyle name="Standaard 28 3 2 2 4 2" xfId="32105"/>
    <cellStyle name="Standaard 28 3 2 2 4 2 2" xfId="32106"/>
    <cellStyle name="Standaard 28 3 2 2 4 2 2 2" xfId="32107"/>
    <cellStyle name="Standaard 28 3 2 2 4 2 3" xfId="32108"/>
    <cellStyle name="Standaard 28 3 2 2 4 3" xfId="32109"/>
    <cellStyle name="Standaard 28 3 2 2 4 3 2" xfId="32110"/>
    <cellStyle name="Standaard 28 3 2 2 4 4" xfId="32111"/>
    <cellStyle name="Standaard 28 3 2 2 5" xfId="32112"/>
    <cellStyle name="Standaard 28 3 2 2 5 2" xfId="32113"/>
    <cellStyle name="Standaard 28 3 2 2 5 2 2" xfId="32114"/>
    <cellStyle name="Standaard 28 3 2 2 5 3" xfId="32115"/>
    <cellStyle name="Standaard 28 3 2 2 6" xfId="32116"/>
    <cellStyle name="Standaard 28 3 2 2 6 2" xfId="32117"/>
    <cellStyle name="Standaard 28 3 2 2 7" xfId="32118"/>
    <cellStyle name="Standaard 28 3 2 2 8" xfId="32119"/>
    <cellStyle name="Standaard 28 3 2 3" xfId="32120"/>
    <cellStyle name="Standaard 28 3 2 3 2" xfId="32121"/>
    <cellStyle name="Standaard 28 3 2 3 2 2" xfId="32122"/>
    <cellStyle name="Standaard 28 3 2 3 2 2 2" xfId="32123"/>
    <cellStyle name="Standaard 28 3 2 3 2 2 2 2" xfId="32124"/>
    <cellStyle name="Standaard 28 3 2 3 2 2 2 2 2" xfId="32125"/>
    <cellStyle name="Standaard 28 3 2 3 2 2 2 3" xfId="32126"/>
    <cellStyle name="Standaard 28 3 2 3 2 2 3" xfId="32127"/>
    <cellStyle name="Standaard 28 3 2 3 2 2 3 2" xfId="32128"/>
    <cellStyle name="Standaard 28 3 2 3 2 2 4" xfId="32129"/>
    <cellStyle name="Standaard 28 3 2 3 2 3" xfId="32130"/>
    <cellStyle name="Standaard 28 3 2 3 2 3 2" xfId="32131"/>
    <cellStyle name="Standaard 28 3 2 3 2 3 2 2" xfId="32132"/>
    <cellStyle name="Standaard 28 3 2 3 2 3 3" xfId="32133"/>
    <cellStyle name="Standaard 28 3 2 3 2 4" xfId="32134"/>
    <cellStyle name="Standaard 28 3 2 3 2 4 2" xfId="32135"/>
    <cellStyle name="Standaard 28 3 2 3 2 5" xfId="32136"/>
    <cellStyle name="Standaard 28 3 2 3 2 6" xfId="32137"/>
    <cellStyle name="Standaard 28 3 2 3 3" xfId="32138"/>
    <cellStyle name="Standaard 28 3 2 3 3 2" xfId="32139"/>
    <cellStyle name="Standaard 28 3 2 3 3 2 2" xfId="32140"/>
    <cellStyle name="Standaard 28 3 2 3 3 2 2 2" xfId="32141"/>
    <cellStyle name="Standaard 28 3 2 3 3 2 3" xfId="32142"/>
    <cellStyle name="Standaard 28 3 2 3 3 3" xfId="32143"/>
    <cellStyle name="Standaard 28 3 2 3 3 3 2" xfId="32144"/>
    <cellStyle name="Standaard 28 3 2 3 3 4" xfId="32145"/>
    <cellStyle name="Standaard 28 3 2 3 4" xfId="32146"/>
    <cellStyle name="Standaard 28 3 2 3 4 2" xfId="32147"/>
    <cellStyle name="Standaard 28 3 2 3 4 2 2" xfId="32148"/>
    <cellStyle name="Standaard 28 3 2 3 4 3" xfId="32149"/>
    <cellStyle name="Standaard 28 3 2 3 5" xfId="32150"/>
    <cellStyle name="Standaard 28 3 2 3 5 2" xfId="32151"/>
    <cellStyle name="Standaard 28 3 2 3 6" xfId="32152"/>
    <cellStyle name="Standaard 28 3 2 3 7" xfId="32153"/>
    <cellStyle name="Standaard 28 3 2 4" xfId="32154"/>
    <cellStyle name="Standaard 28 3 2 4 2" xfId="32155"/>
    <cellStyle name="Standaard 28 3 2 4 2 2" xfId="32156"/>
    <cellStyle name="Standaard 28 3 2 4 2 2 2" xfId="32157"/>
    <cellStyle name="Standaard 28 3 2 4 2 2 2 2" xfId="32158"/>
    <cellStyle name="Standaard 28 3 2 4 2 2 3" xfId="32159"/>
    <cellStyle name="Standaard 28 3 2 4 2 3" xfId="32160"/>
    <cellStyle name="Standaard 28 3 2 4 2 3 2" xfId="32161"/>
    <cellStyle name="Standaard 28 3 2 4 2 4" xfId="32162"/>
    <cellStyle name="Standaard 28 3 2 4 3" xfId="32163"/>
    <cellStyle name="Standaard 28 3 2 4 3 2" xfId="32164"/>
    <cellStyle name="Standaard 28 3 2 4 3 2 2" xfId="32165"/>
    <cellStyle name="Standaard 28 3 2 4 3 3" xfId="32166"/>
    <cellStyle name="Standaard 28 3 2 4 4" xfId="32167"/>
    <cellStyle name="Standaard 28 3 2 4 4 2" xfId="32168"/>
    <cellStyle name="Standaard 28 3 2 4 5" xfId="32169"/>
    <cellStyle name="Standaard 28 3 2 4 6" xfId="32170"/>
    <cellStyle name="Standaard 28 3 2 5" xfId="32171"/>
    <cellStyle name="Standaard 28 3 2 5 2" xfId="32172"/>
    <cellStyle name="Standaard 28 3 2 5 2 2" xfId="32173"/>
    <cellStyle name="Standaard 28 3 2 5 2 2 2" xfId="32174"/>
    <cellStyle name="Standaard 28 3 2 5 2 3" xfId="32175"/>
    <cellStyle name="Standaard 28 3 2 5 3" xfId="32176"/>
    <cellStyle name="Standaard 28 3 2 5 3 2" xfId="32177"/>
    <cellStyle name="Standaard 28 3 2 5 4" xfId="32178"/>
    <cellStyle name="Standaard 28 3 2 6" xfId="32179"/>
    <cellStyle name="Standaard 28 3 2 6 2" xfId="32180"/>
    <cellStyle name="Standaard 28 3 2 6 2 2" xfId="32181"/>
    <cellStyle name="Standaard 28 3 2 6 3" xfId="32182"/>
    <cellStyle name="Standaard 28 3 2 7" xfId="32183"/>
    <cellStyle name="Standaard 28 3 2 7 2" xfId="32184"/>
    <cellStyle name="Standaard 28 3 2 8" xfId="32185"/>
    <cellStyle name="Standaard 28 3 2 9" xfId="32186"/>
    <cellStyle name="Standaard 28 3 3" xfId="32187"/>
    <cellStyle name="Standaard 28 3 3 2" xfId="32188"/>
    <cellStyle name="Standaard 28 3 3 2 2" xfId="32189"/>
    <cellStyle name="Standaard 28 3 3 2 2 2" xfId="32190"/>
    <cellStyle name="Standaard 28 3 3 2 2 2 2" xfId="32191"/>
    <cellStyle name="Standaard 28 3 3 2 2 2 2 2" xfId="32192"/>
    <cellStyle name="Standaard 28 3 3 2 2 2 2 2 2" xfId="32193"/>
    <cellStyle name="Standaard 28 3 3 2 2 2 2 3" xfId="32194"/>
    <cellStyle name="Standaard 28 3 3 2 2 2 3" xfId="32195"/>
    <cellStyle name="Standaard 28 3 3 2 2 2 3 2" xfId="32196"/>
    <cellStyle name="Standaard 28 3 3 2 2 2 4" xfId="32197"/>
    <cellStyle name="Standaard 28 3 3 2 2 3" xfId="32198"/>
    <cellStyle name="Standaard 28 3 3 2 2 3 2" xfId="32199"/>
    <cellStyle name="Standaard 28 3 3 2 2 3 2 2" xfId="32200"/>
    <cellStyle name="Standaard 28 3 3 2 2 3 3" xfId="32201"/>
    <cellStyle name="Standaard 28 3 3 2 2 4" xfId="32202"/>
    <cellStyle name="Standaard 28 3 3 2 2 4 2" xfId="32203"/>
    <cellStyle name="Standaard 28 3 3 2 2 5" xfId="32204"/>
    <cellStyle name="Standaard 28 3 3 2 2 6" xfId="32205"/>
    <cellStyle name="Standaard 28 3 3 2 3" xfId="32206"/>
    <cellStyle name="Standaard 28 3 3 2 3 2" xfId="32207"/>
    <cellStyle name="Standaard 28 3 3 2 3 2 2" xfId="32208"/>
    <cellStyle name="Standaard 28 3 3 2 3 2 2 2" xfId="32209"/>
    <cellStyle name="Standaard 28 3 3 2 3 2 3" xfId="32210"/>
    <cellStyle name="Standaard 28 3 3 2 3 3" xfId="32211"/>
    <cellStyle name="Standaard 28 3 3 2 3 3 2" xfId="32212"/>
    <cellStyle name="Standaard 28 3 3 2 3 4" xfId="32213"/>
    <cellStyle name="Standaard 28 3 3 2 4" xfId="32214"/>
    <cellStyle name="Standaard 28 3 3 2 4 2" xfId="32215"/>
    <cellStyle name="Standaard 28 3 3 2 4 2 2" xfId="32216"/>
    <cellStyle name="Standaard 28 3 3 2 4 3" xfId="32217"/>
    <cellStyle name="Standaard 28 3 3 2 5" xfId="32218"/>
    <cellStyle name="Standaard 28 3 3 2 5 2" xfId="32219"/>
    <cellStyle name="Standaard 28 3 3 2 6" xfId="32220"/>
    <cellStyle name="Standaard 28 3 3 2 7" xfId="32221"/>
    <cellStyle name="Standaard 28 3 3 3" xfId="32222"/>
    <cellStyle name="Standaard 28 3 3 3 2" xfId="32223"/>
    <cellStyle name="Standaard 28 3 3 3 2 2" xfId="32224"/>
    <cellStyle name="Standaard 28 3 3 3 2 2 2" xfId="32225"/>
    <cellStyle name="Standaard 28 3 3 3 2 2 2 2" xfId="32226"/>
    <cellStyle name="Standaard 28 3 3 3 2 2 3" xfId="32227"/>
    <cellStyle name="Standaard 28 3 3 3 2 3" xfId="32228"/>
    <cellStyle name="Standaard 28 3 3 3 2 3 2" xfId="32229"/>
    <cellStyle name="Standaard 28 3 3 3 2 4" xfId="32230"/>
    <cellStyle name="Standaard 28 3 3 3 3" xfId="32231"/>
    <cellStyle name="Standaard 28 3 3 3 3 2" xfId="32232"/>
    <cellStyle name="Standaard 28 3 3 3 3 2 2" xfId="32233"/>
    <cellStyle name="Standaard 28 3 3 3 3 3" xfId="32234"/>
    <cellStyle name="Standaard 28 3 3 3 4" xfId="32235"/>
    <cellStyle name="Standaard 28 3 3 3 4 2" xfId="32236"/>
    <cellStyle name="Standaard 28 3 3 3 5" xfId="32237"/>
    <cellStyle name="Standaard 28 3 3 3 6" xfId="32238"/>
    <cellStyle name="Standaard 28 3 3 4" xfId="32239"/>
    <cellStyle name="Standaard 28 3 3 4 2" xfId="32240"/>
    <cellStyle name="Standaard 28 3 3 4 2 2" xfId="32241"/>
    <cellStyle name="Standaard 28 3 3 4 2 2 2" xfId="32242"/>
    <cellStyle name="Standaard 28 3 3 4 2 3" xfId="32243"/>
    <cellStyle name="Standaard 28 3 3 4 3" xfId="32244"/>
    <cellStyle name="Standaard 28 3 3 4 3 2" xfId="32245"/>
    <cellStyle name="Standaard 28 3 3 4 4" xfId="32246"/>
    <cellStyle name="Standaard 28 3 3 5" xfId="32247"/>
    <cellStyle name="Standaard 28 3 3 5 2" xfId="32248"/>
    <cellStyle name="Standaard 28 3 3 5 2 2" xfId="32249"/>
    <cellStyle name="Standaard 28 3 3 5 3" xfId="32250"/>
    <cellStyle name="Standaard 28 3 3 6" xfId="32251"/>
    <cellStyle name="Standaard 28 3 3 6 2" xfId="32252"/>
    <cellStyle name="Standaard 28 3 3 7" xfId="32253"/>
    <cellStyle name="Standaard 28 3 3 8" xfId="32254"/>
    <cellStyle name="Standaard 28 3 4" xfId="32255"/>
    <cellStyle name="Standaard 28 3 4 2" xfId="32256"/>
    <cellStyle name="Standaard 28 3 4 2 2" xfId="32257"/>
    <cellStyle name="Standaard 28 3 4 2 2 2" xfId="32258"/>
    <cellStyle name="Standaard 28 3 4 2 2 2 2" xfId="32259"/>
    <cellStyle name="Standaard 28 3 4 2 2 2 2 2" xfId="32260"/>
    <cellStyle name="Standaard 28 3 4 2 2 2 2 2 2" xfId="32261"/>
    <cellStyle name="Standaard 28 3 4 2 2 2 2 3" xfId="32262"/>
    <cellStyle name="Standaard 28 3 4 2 2 2 3" xfId="32263"/>
    <cellStyle name="Standaard 28 3 4 2 2 2 3 2" xfId="32264"/>
    <cellStyle name="Standaard 28 3 4 2 2 2 4" xfId="32265"/>
    <cellStyle name="Standaard 28 3 4 2 2 3" xfId="32266"/>
    <cellStyle name="Standaard 28 3 4 2 2 3 2" xfId="32267"/>
    <cellStyle name="Standaard 28 3 4 2 2 3 2 2" xfId="32268"/>
    <cellStyle name="Standaard 28 3 4 2 2 3 3" xfId="32269"/>
    <cellStyle name="Standaard 28 3 4 2 2 4" xfId="32270"/>
    <cellStyle name="Standaard 28 3 4 2 2 4 2" xfId="32271"/>
    <cellStyle name="Standaard 28 3 4 2 2 5" xfId="32272"/>
    <cellStyle name="Standaard 28 3 4 2 2 6" xfId="32273"/>
    <cellStyle name="Standaard 28 3 4 2 3" xfId="32274"/>
    <cellStyle name="Standaard 28 3 4 2 3 2" xfId="32275"/>
    <cellStyle name="Standaard 28 3 4 2 3 2 2" xfId="32276"/>
    <cellStyle name="Standaard 28 3 4 2 3 2 2 2" xfId="32277"/>
    <cellStyle name="Standaard 28 3 4 2 3 2 3" xfId="32278"/>
    <cellStyle name="Standaard 28 3 4 2 3 3" xfId="32279"/>
    <cellStyle name="Standaard 28 3 4 2 3 3 2" xfId="32280"/>
    <cellStyle name="Standaard 28 3 4 2 3 4" xfId="32281"/>
    <cellStyle name="Standaard 28 3 4 2 4" xfId="32282"/>
    <cellStyle name="Standaard 28 3 4 2 4 2" xfId="32283"/>
    <cellStyle name="Standaard 28 3 4 2 4 2 2" xfId="32284"/>
    <cellStyle name="Standaard 28 3 4 2 4 3" xfId="32285"/>
    <cellStyle name="Standaard 28 3 4 2 5" xfId="32286"/>
    <cellStyle name="Standaard 28 3 4 2 5 2" xfId="32287"/>
    <cellStyle name="Standaard 28 3 4 2 6" xfId="32288"/>
    <cellStyle name="Standaard 28 3 4 2 7" xfId="32289"/>
    <cellStyle name="Standaard 28 3 4 3" xfId="32290"/>
    <cellStyle name="Standaard 28 3 4 3 2" xfId="32291"/>
    <cellStyle name="Standaard 28 3 4 3 2 2" xfId="32292"/>
    <cellStyle name="Standaard 28 3 4 3 2 2 2" xfId="32293"/>
    <cellStyle name="Standaard 28 3 4 3 2 2 2 2" xfId="32294"/>
    <cellStyle name="Standaard 28 3 4 3 2 2 3" xfId="32295"/>
    <cellStyle name="Standaard 28 3 4 3 2 3" xfId="32296"/>
    <cellStyle name="Standaard 28 3 4 3 2 3 2" xfId="32297"/>
    <cellStyle name="Standaard 28 3 4 3 2 4" xfId="32298"/>
    <cellStyle name="Standaard 28 3 4 3 3" xfId="32299"/>
    <cellStyle name="Standaard 28 3 4 3 3 2" xfId="32300"/>
    <cellStyle name="Standaard 28 3 4 3 3 2 2" xfId="32301"/>
    <cellStyle name="Standaard 28 3 4 3 3 3" xfId="32302"/>
    <cellStyle name="Standaard 28 3 4 3 4" xfId="32303"/>
    <cellStyle name="Standaard 28 3 4 3 4 2" xfId="32304"/>
    <cellStyle name="Standaard 28 3 4 3 5" xfId="32305"/>
    <cellStyle name="Standaard 28 3 4 3 6" xfId="32306"/>
    <cellStyle name="Standaard 28 3 4 4" xfId="32307"/>
    <cellStyle name="Standaard 28 3 4 4 2" xfId="32308"/>
    <cellStyle name="Standaard 28 3 4 4 2 2" xfId="32309"/>
    <cellStyle name="Standaard 28 3 4 4 2 2 2" xfId="32310"/>
    <cellStyle name="Standaard 28 3 4 4 2 3" xfId="32311"/>
    <cellStyle name="Standaard 28 3 4 4 3" xfId="32312"/>
    <cellStyle name="Standaard 28 3 4 4 3 2" xfId="32313"/>
    <cellStyle name="Standaard 28 3 4 4 4" xfId="32314"/>
    <cellStyle name="Standaard 28 3 4 5" xfId="32315"/>
    <cellStyle name="Standaard 28 3 4 5 2" xfId="32316"/>
    <cellStyle name="Standaard 28 3 4 5 2 2" xfId="32317"/>
    <cellStyle name="Standaard 28 3 4 5 3" xfId="32318"/>
    <cellStyle name="Standaard 28 3 4 6" xfId="32319"/>
    <cellStyle name="Standaard 28 3 4 6 2" xfId="32320"/>
    <cellStyle name="Standaard 28 3 4 7" xfId="32321"/>
    <cellStyle name="Standaard 28 3 4 8" xfId="32322"/>
    <cellStyle name="Standaard 28 3 5" xfId="32323"/>
    <cellStyle name="Standaard 28 3 5 2" xfId="32324"/>
    <cellStyle name="Standaard 28 3 5 2 2" xfId="32325"/>
    <cellStyle name="Standaard 28 3 5 2 2 2" xfId="32326"/>
    <cellStyle name="Standaard 28 3 5 2 2 2 2" xfId="32327"/>
    <cellStyle name="Standaard 28 3 5 2 2 2 2 2" xfId="32328"/>
    <cellStyle name="Standaard 28 3 5 2 2 2 3" xfId="32329"/>
    <cellStyle name="Standaard 28 3 5 2 2 3" xfId="32330"/>
    <cellStyle name="Standaard 28 3 5 2 2 3 2" xfId="32331"/>
    <cellStyle name="Standaard 28 3 5 2 2 4" xfId="32332"/>
    <cellStyle name="Standaard 28 3 5 2 3" xfId="32333"/>
    <cellStyle name="Standaard 28 3 5 2 3 2" xfId="32334"/>
    <cellStyle name="Standaard 28 3 5 2 3 2 2" xfId="32335"/>
    <cellStyle name="Standaard 28 3 5 2 3 3" xfId="32336"/>
    <cellStyle name="Standaard 28 3 5 2 4" xfId="32337"/>
    <cellStyle name="Standaard 28 3 5 2 4 2" xfId="32338"/>
    <cellStyle name="Standaard 28 3 5 2 5" xfId="32339"/>
    <cellStyle name="Standaard 28 3 5 2 6" xfId="32340"/>
    <cellStyle name="Standaard 28 3 5 3" xfId="32341"/>
    <cellStyle name="Standaard 28 3 5 3 2" xfId="32342"/>
    <cellStyle name="Standaard 28 3 5 3 2 2" xfId="32343"/>
    <cellStyle name="Standaard 28 3 5 3 2 2 2" xfId="32344"/>
    <cellStyle name="Standaard 28 3 5 3 2 3" xfId="32345"/>
    <cellStyle name="Standaard 28 3 5 3 3" xfId="32346"/>
    <cellStyle name="Standaard 28 3 5 3 3 2" xfId="32347"/>
    <cellStyle name="Standaard 28 3 5 3 4" xfId="32348"/>
    <cellStyle name="Standaard 28 3 5 4" xfId="32349"/>
    <cellStyle name="Standaard 28 3 5 4 2" xfId="32350"/>
    <cellStyle name="Standaard 28 3 5 4 2 2" xfId="32351"/>
    <cellStyle name="Standaard 28 3 5 4 3" xfId="32352"/>
    <cellStyle name="Standaard 28 3 5 5" xfId="32353"/>
    <cellStyle name="Standaard 28 3 5 5 2" xfId="32354"/>
    <cellStyle name="Standaard 28 3 5 6" xfId="32355"/>
    <cellStyle name="Standaard 28 3 5 7" xfId="32356"/>
    <cellStyle name="Standaard 28 3 6" xfId="32357"/>
    <cellStyle name="Standaard 28 3 6 2" xfId="32358"/>
    <cellStyle name="Standaard 28 3 6 2 2" xfId="32359"/>
    <cellStyle name="Standaard 28 3 6 2 2 2" xfId="32360"/>
    <cellStyle name="Standaard 28 3 6 2 2 2 2" xfId="32361"/>
    <cellStyle name="Standaard 28 3 6 2 2 3" xfId="32362"/>
    <cellStyle name="Standaard 28 3 6 2 3" xfId="32363"/>
    <cellStyle name="Standaard 28 3 6 2 3 2" xfId="32364"/>
    <cellStyle name="Standaard 28 3 6 2 4" xfId="32365"/>
    <cellStyle name="Standaard 28 3 6 3" xfId="32366"/>
    <cellStyle name="Standaard 28 3 6 3 2" xfId="32367"/>
    <cellStyle name="Standaard 28 3 6 3 2 2" xfId="32368"/>
    <cellStyle name="Standaard 28 3 6 3 3" xfId="32369"/>
    <cellStyle name="Standaard 28 3 6 4" xfId="32370"/>
    <cellStyle name="Standaard 28 3 6 4 2" xfId="32371"/>
    <cellStyle name="Standaard 28 3 6 5" xfId="32372"/>
    <cellStyle name="Standaard 28 3 6 6" xfId="32373"/>
    <cellStyle name="Standaard 28 3 7" xfId="32374"/>
    <cellStyle name="Standaard 28 3 7 2" xfId="32375"/>
    <cellStyle name="Standaard 28 3 7 2 2" xfId="32376"/>
    <cellStyle name="Standaard 28 3 7 2 2 2" xfId="32377"/>
    <cellStyle name="Standaard 28 3 7 2 3" xfId="32378"/>
    <cellStyle name="Standaard 28 3 7 3" xfId="32379"/>
    <cellStyle name="Standaard 28 3 7 3 2" xfId="32380"/>
    <cellStyle name="Standaard 28 3 7 4" xfId="32381"/>
    <cellStyle name="Standaard 28 3 8" xfId="32382"/>
    <cellStyle name="Standaard 28 3 8 2" xfId="32383"/>
    <cellStyle name="Standaard 28 3 8 2 2" xfId="32384"/>
    <cellStyle name="Standaard 28 3 8 3" xfId="32385"/>
    <cellStyle name="Standaard 28 3 9" xfId="32386"/>
    <cellStyle name="Standaard 28 3 9 2" xfId="32387"/>
    <cellStyle name="Standaard 28 4" xfId="32388"/>
    <cellStyle name="Standaard 28 4 2" xfId="32389"/>
    <cellStyle name="Standaard 28 4 2 2" xfId="32390"/>
    <cellStyle name="Standaard 28 4 2 2 2" xfId="32391"/>
    <cellStyle name="Standaard 28 4 2 2 2 2" xfId="32392"/>
    <cellStyle name="Standaard 28 4 2 2 2 2 2" xfId="32393"/>
    <cellStyle name="Standaard 28 4 2 2 2 2 2 2" xfId="32394"/>
    <cellStyle name="Standaard 28 4 2 2 2 2 2 2 2" xfId="32395"/>
    <cellStyle name="Standaard 28 4 2 2 2 2 2 3" xfId="32396"/>
    <cellStyle name="Standaard 28 4 2 2 2 2 3" xfId="32397"/>
    <cellStyle name="Standaard 28 4 2 2 2 2 3 2" xfId="32398"/>
    <cellStyle name="Standaard 28 4 2 2 2 2 4" xfId="32399"/>
    <cellStyle name="Standaard 28 4 2 2 2 3" xfId="32400"/>
    <cellStyle name="Standaard 28 4 2 2 2 3 2" xfId="32401"/>
    <cellStyle name="Standaard 28 4 2 2 2 3 2 2" xfId="32402"/>
    <cellStyle name="Standaard 28 4 2 2 2 3 3" xfId="32403"/>
    <cellStyle name="Standaard 28 4 2 2 2 4" xfId="32404"/>
    <cellStyle name="Standaard 28 4 2 2 2 4 2" xfId="32405"/>
    <cellStyle name="Standaard 28 4 2 2 2 5" xfId="32406"/>
    <cellStyle name="Standaard 28 4 2 2 2 6" xfId="32407"/>
    <cellStyle name="Standaard 28 4 2 2 3" xfId="32408"/>
    <cellStyle name="Standaard 28 4 2 2 3 2" xfId="32409"/>
    <cellStyle name="Standaard 28 4 2 2 3 2 2" xfId="32410"/>
    <cellStyle name="Standaard 28 4 2 2 3 2 2 2" xfId="32411"/>
    <cellStyle name="Standaard 28 4 2 2 3 2 3" xfId="32412"/>
    <cellStyle name="Standaard 28 4 2 2 3 3" xfId="32413"/>
    <cellStyle name="Standaard 28 4 2 2 3 3 2" xfId="32414"/>
    <cellStyle name="Standaard 28 4 2 2 3 4" xfId="32415"/>
    <cellStyle name="Standaard 28 4 2 2 4" xfId="32416"/>
    <cellStyle name="Standaard 28 4 2 2 4 2" xfId="32417"/>
    <cellStyle name="Standaard 28 4 2 2 4 2 2" xfId="32418"/>
    <cellStyle name="Standaard 28 4 2 2 4 3" xfId="32419"/>
    <cellStyle name="Standaard 28 4 2 2 5" xfId="32420"/>
    <cellStyle name="Standaard 28 4 2 2 5 2" xfId="32421"/>
    <cellStyle name="Standaard 28 4 2 2 6" xfId="32422"/>
    <cellStyle name="Standaard 28 4 2 2 7" xfId="32423"/>
    <cellStyle name="Standaard 28 4 2 3" xfId="32424"/>
    <cellStyle name="Standaard 28 4 2 3 2" xfId="32425"/>
    <cellStyle name="Standaard 28 4 2 3 2 2" xfId="32426"/>
    <cellStyle name="Standaard 28 4 2 3 2 2 2" xfId="32427"/>
    <cellStyle name="Standaard 28 4 2 3 2 2 2 2" xfId="32428"/>
    <cellStyle name="Standaard 28 4 2 3 2 2 3" xfId="32429"/>
    <cellStyle name="Standaard 28 4 2 3 2 3" xfId="32430"/>
    <cellStyle name="Standaard 28 4 2 3 2 3 2" xfId="32431"/>
    <cellStyle name="Standaard 28 4 2 3 2 4" xfId="32432"/>
    <cellStyle name="Standaard 28 4 2 3 3" xfId="32433"/>
    <cellStyle name="Standaard 28 4 2 3 3 2" xfId="32434"/>
    <cellStyle name="Standaard 28 4 2 3 3 2 2" xfId="32435"/>
    <cellStyle name="Standaard 28 4 2 3 3 3" xfId="32436"/>
    <cellStyle name="Standaard 28 4 2 3 4" xfId="32437"/>
    <cellStyle name="Standaard 28 4 2 3 4 2" xfId="32438"/>
    <cellStyle name="Standaard 28 4 2 3 5" xfId="32439"/>
    <cellStyle name="Standaard 28 4 2 3 6" xfId="32440"/>
    <cellStyle name="Standaard 28 4 2 4" xfId="32441"/>
    <cellStyle name="Standaard 28 4 2 4 2" xfId="32442"/>
    <cellStyle name="Standaard 28 4 2 4 2 2" xfId="32443"/>
    <cellStyle name="Standaard 28 4 2 4 2 2 2" xfId="32444"/>
    <cellStyle name="Standaard 28 4 2 4 2 3" xfId="32445"/>
    <cellStyle name="Standaard 28 4 2 4 3" xfId="32446"/>
    <cellStyle name="Standaard 28 4 2 4 3 2" xfId="32447"/>
    <cellStyle name="Standaard 28 4 2 4 4" xfId="32448"/>
    <cellStyle name="Standaard 28 4 2 5" xfId="32449"/>
    <cellStyle name="Standaard 28 4 2 5 2" xfId="32450"/>
    <cellStyle name="Standaard 28 4 2 5 2 2" xfId="32451"/>
    <cellStyle name="Standaard 28 4 2 5 3" xfId="32452"/>
    <cellStyle name="Standaard 28 4 2 6" xfId="32453"/>
    <cellStyle name="Standaard 28 4 2 6 2" xfId="32454"/>
    <cellStyle name="Standaard 28 4 2 7" xfId="32455"/>
    <cellStyle name="Standaard 28 4 2 8" xfId="32456"/>
    <cellStyle name="Standaard 28 4 3" xfId="32457"/>
    <cellStyle name="Standaard 28 4 3 2" xfId="32458"/>
    <cellStyle name="Standaard 28 4 3 2 2" xfId="32459"/>
    <cellStyle name="Standaard 28 4 3 2 2 2" xfId="32460"/>
    <cellStyle name="Standaard 28 4 3 2 2 2 2" xfId="32461"/>
    <cellStyle name="Standaard 28 4 3 2 2 2 2 2" xfId="32462"/>
    <cellStyle name="Standaard 28 4 3 2 2 2 3" xfId="32463"/>
    <cellStyle name="Standaard 28 4 3 2 2 3" xfId="32464"/>
    <cellStyle name="Standaard 28 4 3 2 2 3 2" xfId="32465"/>
    <cellStyle name="Standaard 28 4 3 2 2 4" xfId="32466"/>
    <cellStyle name="Standaard 28 4 3 2 3" xfId="32467"/>
    <cellStyle name="Standaard 28 4 3 2 3 2" xfId="32468"/>
    <cellStyle name="Standaard 28 4 3 2 3 2 2" xfId="32469"/>
    <cellStyle name="Standaard 28 4 3 2 3 3" xfId="32470"/>
    <cellStyle name="Standaard 28 4 3 2 4" xfId="32471"/>
    <cellStyle name="Standaard 28 4 3 2 4 2" xfId="32472"/>
    <cellStyle name="Standaard 28 4 3 2 5" xfId="32473"/>
    <cellStyle name="Standaard 28 4 3 2 6" xfId="32474"/>
    <cellStyle name="Standaard 28 4 3 3" xfId="32475"/>
    <cellStyle name="Standaard 28 4 3 3 2" xfId="32476"/>
    <cellStyle name="Standaard 28 4 3 3 2 2" xfId="32477"/>
    <cellStyle name="Standaard 28 4 3 3 2 2 2" xfId="32478"/>
    <cellStyle name="Standaard 28 4 3 3 2 3" xfId="32479"/>
    <cellStyle name="Standaard 28 4 3 3 3" xfId="32480"/>
    <cellStyle name="Standaard 28 4 3 3 3 2" xfId="32481"/>
    <cellStyle name="Standaard 28 4 3 3 4" xfId="32482"/>
    <cellStyle name="Standaard 28 4 3 4" xfId="32483"/>
    <cellStyle name="Standaard 28 4 3 4 2" xfId="32484"/>
    <cellStyle name="Standaard 28 4 3 4 2 2" xfId="32485"/>
    <cellStyle name="Standaard 28 4 3 4 3" xfId="32486"/>
    <cellStyle name="Standaard 28 4 3 5" xfId="32487"/>
    <cellStyle name="Standaard 28 4 3 5 2" xfId="32488"/>
    <cellStyle name="Standaard 28 4 3 6" xfId="32489"/>
    <cellStyle name="Standaard 28 4 3 7" xfId="32490"/>
    <cellStyle name="Standaard 28 4 4" xfId="32491"/>
    <cellStyle name="Standaard 28 4 4 2" xfId="32492"/>
    <cellStyle name="Standaard 28 4 4 2 2" xfId="32493"/>
    <cellStyle name="Standaard 28 4 4 2 2 2" xfId="32494"/>
    <cellStyle name="Standaard 28 4 4 2 2 2 2" xfId="32495"/>
    <cellStyle name="Standaard 28 4 4 2 2 3" xfId="32496"/>
    <cellStyle name="Standaard 28 4 4 2 3" xfId="32497"/>
    <cellStyle name="Standaard 28 4 4 2 3 2" xfId="32498"/>
    <cellStyle name="Standaard 28 4 4 2 4" xfId="32499"/>
    <cellStyle name="Standaard 28 4 4 3" xfId="32500"/>
    <cellStyle name="Standaard 28 4 4 3 2" xfId="32501"/>
    <cellStyle name="Standaard 28 4 4 3 2 2" xfId="32502"/>
    <cellStyle name="Standaard 28 4 4 3 3" xfId="32503"/>
    <cellStyle name="Standaard 28 4 4 4" xfId="32504"/>
    <cellStyle name="Standaard 28 4 4 4 2" xfId="32505"/>
    <cellStyle name="Standaard 28 4 4 5" xfId="32506"/>
    <cellStyle name="Standaard 28 4 4 6" xfId="32507"/>
    <cellStyle name="Standaard 28 4 5" xfId="32508"/>
    <cellStyle name="Standaard 28 4 5 2" xfId="32509"/>
    <cellStyle name="Standaard 28 4 5 2 2" xfId="32510"/>
    <cellStyle name="Standaard 28 4 5 2 2 2" xfId="32511"/>
    <cellStyle name="Standaard 28 4 5 2 3" xfId="32512"/>
    <cellStyle name="Standaard 28 4 5 3" xfId="32513"/>
    <cellStyle name="Standaard 28 4 5 3 2" xfId="32514"/>
    <cellStyle name="Standaard 28 4 5 4" xfId="32515"/>
    <cellStyle name="Standaard 28 4 6" xfId="32516"/>
    <cellStyle name="Standaard 28 4 6 2" xfId="32517"/>
    <cellStyle name="Standaard 28 4 6 2 2" xfId="32518"/>
    <cellStyle name="Standaard 28 4 6 3" xfId="32519"/>
    <cellStyle name="Standaard 28 4 7" xfId="32520"/>
    <cellStyle name="Standaard 28 4 7 2" xfId="32521"/>
    <cellStyle name="Standaard 28 4 8" xfId="32522"/>
    <cellStyle name="Standaard 28 4 9" xfId="32523"/>
    <cellStyle name="Standaard 28 5" xfId="32524"/>
    <cellStyle name="Standaard 28 5 2" xfId="32525"/>
    <cellStyle name="Standaard 28 5 2 2" xfId="32526"/>
    <cellStyle name="Standaard 28 5 2 2 2" xfId="32527"/>
    <cellStyle name="Standaard 28 5 2 2 2 2" xfId="32528"/>
    <cellStyle name="Standaard 28 5 2 2 2 2 2" xfId="32529"/>
    <cellStyle name="Standaard 28 5 2 2 2 2 2 2" xfId="32530"/>
    <cellStyle name="Standaard 28 5 2 2 2 2 3" xfId="32531"/>
    <cellStyle name="Standaard 28 5 2 2 2 3" xfId="32532"/>
    <cellStyle name="Standaard 28 5 2 2 2 3 2" xfId="32533"/>
    <cellStyle name="Standaard 28 5 2 2 2 4" xfId="32534"/>
    <cellStyle name="Standaard 28 5 2 2 3" xfId="32535"/>
    <cellStyle name="Standaard 28 5 2 2 3 2" xfId="32536"/>
    <cellStyle name="Standaard 28 5 2 2 3 2 2" xfId="32537"/>
    <cellStyle name="Standaard 28 5 2 2 3 3" xfId="32538"/>
    <cellStyle name="Standaard 28 5 2 2 4" xfId="32539"/>
    <cellStyle name="Standaard 28 5 2 2 4 2" xfId="32540"/>
    <cellStyle name="Standaard 28 5 2 2 5" xfId="32541"/>
    <cellStyle name="Standaard 28 5 2 2 6" xfId="32542"/>
    <cellStyle name="Standaard 28 5 2 3" xfId="32543"/>
    <cellStyle name="Standaard 28 5 2 3 2" xfId="32544"/>
    <cellStyle name="Standaard 28 5 2 3 2 2" xfId="32545"/>
    <cellStyle name="Standaard 28 5 2 3 2 2 2" xfId="32546"/>
    <cellStyle name="Standaard 28 5 2 3 2 3" xfId="32547"/>
    <cellStyle name="Standaard 28 5 2 3 3" xfId="32548"/>
    <cellStyle name="Standaard 28 5 2 3 3 2" xfId="32549"/>
    <cellStyle name="Standaard 28 5 2 3 4" xfId="32550"/>
    <cellStyle name="Standaard 28 5 2 4" xfId="32551"/>
    <cellStyle name="Standaard 28 5 2 4 2" xfId="32552"/>
    <cellStyle name="Standaard 28 5 2 4 2 2" xfId="32553"/>
    <cellStyle name="Standaard 28 5 2 4 3" xfId="32554"/>
    <cellStyle name="Standaard 28 5 2 5" xfId="32555"/>
    <cellStyle name="Standaard 28 5 2 5 2" xfId="32556"/>
    <cellStyle name="Standaard 28 5 2 6" xfId="32557"/>
    <cellStyle name="Standaard 28 5 2 7" xfId="32558"/>
    <cellStyle name="Standaard 28 5 3" xfId="32559"/>
    <cellStyle name="Standaard 28 5 3 2" xfId="32560"/>
    <cellStyle name="Standaard 28 5 3 2 2" xfId="32561"/>
    <cellStyle name="Standaard 28 5 3 2 2 2" xfId="32562"/>
    <cellStyle name="Standaard 28 5 3 2 2 2 2" xfId="32563"/>
    <cellStyle name="Standaard 28 5 3 2 2 3" xfId="32564"/>
    <cellStyle name="Standaard 28 5 3 2 3" xfId="32565"/>
    <cellStyle name="Standaard 28 5 3 2 3 2" xfId="32566"/>
    <cellStyle name="Standaard 28 5 3 2 4" xfId="32567"/>
    <cellStyle name="Standaard 28 5 3 3" xfId="32568"/>
    <cellStyle name="Standaard 28 5 3 3 2" xfId="32569"/>
    <cellStyle name="Standaard 28 5 3 3 2 2" xfId="32570"/>
    <cellStyle name="Standaard 28 5 3 3 3" xfId="32571"/>
    <cellStyle name="Standaard 28 5 3 4" xfId="32572"/>
    <cellStyle name="Standaard 28 5 3 4 2" xfId="32573"/>
    <cellStyle name="Standaard 28 5 3 5" xfId="32574"/>
    <cellStyle name="Standaard 28 5 3 6" xfId="32575"/>
    <cellStyle name="Standaard 28 5 4" xfId="32576"/>
    <cellStyle name="Standaard 28 5 4 2" xfId="32577"/>
    <cellStyle name="Standaard 28 5 4 2 2" xfId="32578"/>
    <cellStyle name="Standaard 28 5 4 2 2 2" xfId="32579"/>
    <cellStyle name="Standaard 28 5 4 2 3" xfId="32580"/>
    <cellStyle name="Standaard 28 5 4 3" xfId="32581"/>
    <cellStyle name="Standaard 28 5 4 3 2" xfId="32582"/>
    <cellStyle name="Standaard 28 5 4 4" xfId="32583"/>
    <cellStyle name="Standaard 28 5 5" xfId="32584"/>
    <cellStyle name="Standaard 28 5 5 2" xfId="32585"/>
    <cellStyle name="Standaard 28 5 5 2 2" xfId="32586"/>
    <cellStyle name="Standaard 28 5 5 3" xfId="32587"/>
    <cellStyle name="Standaard 28 5 6" xfId="32588"/>
    <cellStyle name="Standaard 28 5 6 2" xfId="32589"/>
    <cellStyle name="Standaard 28 5 7" xfId="32590"/>
    <cellStyle name="Standaard 28 5 8" xfId="32591"/>
    <cellStyle name="Standaard 28 6" xfId="32592"/>
    <cellStyle name="Standaard 28 6 2" xfId="32593"/>
    <cellStyle name="Standaard 28 6 2 2" xfId="32594"/>
    <cellStyle name="Standaard 28 6 2 2 2" xfId="32595"/>
    <cellStyle name="Standaard 28 6 2 2 2 2" xfId="32596"/>
    <cellStyle name="Standaard 28 6 2 2 2 2 2" xfId="32597"/>
    <cellStyle name="Standaard 28 6 2 2 2 2 2 2" xfId="32598"/>
    <cellStyle name="Standaard 28 6 2 2 2 2 3" xfId="32599"/>
    <cellStyle name="Standaard 28 6 2 2 2 3" xfId="32600"/>
    <cellStyle name="Standaard 28 6 2 2 2 3 2" xfId="32601"/>
    <cellStyle name="Standaard 28 6 2 2 2 4" xfId="32602"/>
    <cellStyle name="Standaard 28 6 2 2 3" xfId="32603"/>
    <cellStyle name="Standaard 28 6 2 2 3 2" xfId="32604"/>
    <cellStyle name="Standaard 28 6 2 2 3 2 2" xfId="32605"/>
    <cellStyle name="Standaard 28 6 2 2 3 3" xfId="32606"/>
    <cellStyle name="Standaard 28 6 2 2 4" xfId="32607"/>
    <cellStyle name="Standaard 28 6 2 2 4 2" xfId="32608"/>
    <cellStyle name="Standaard 28 6 2 2 5" xfId="32609"/>
    <cellStyle name="Standaard 28 6 2 2 6" xfId="32610"/>
    <cellStyle name="Standaard 28 6 2 3" xfId="32611"/>
    <cellStyle name="Standaard 28 6 2 3 2" xfId="32612"/>
    <cellStyle name="Standaard 28 6 2 3 2 2" xfId="32613"/>
    <cellStyle name="Standaard 28 6 2 3 2 2 2" xfId="32614"/>
    <cellStyle name="Standaard 28 6 2 3 2 3" xfId="32615"/>
    <cellStyle name="Standaard 28 6 2 3 3" xfId="32616"/>
    <cellStyle name="Standaard 28 6 2 3 3 2" xfId="32617"/>
    <cellStyle name="Standaard 28 6 2 3 4" xfId="32618"/>
    <cellStyle name="Standaard 28 6 2 4" xfId="32619"/>
    <cellStyle name="Standaard 28 6 2 4 2" xfId="32620"/>
    <cellStyle name="Standaard 28 6 2 4 2 2" xfId="32621"/>
    <cellStyle name="Standaard 28 6 2 4 3" xfId="32622"/>
    <cellStyle name="Standaard 28 6 2 5" xfId="32623"/>
    <cellStyle name="Standaard 28 6 2 5 2" xfId="32624"/>
    <cellStyle name="Standaard 28 6 2 6" xfId="32625"/>
    <cellStyle name="Standaard 28 6 2 7" xfId="32626"/>
    <cellStyle name="Standaard 28 6 3" xfId="32627"/>
    <cellStyle name="Standaard 28 6 3 2" xfId="32628"/>
    <cellStyle name="Standaard 28 6 3 2 2" xfId="32629"/>
    <cellStyle name="Standaard 28 6 3 2 2 2" xfId="32630"/>
    <cellStyle name="Standaard 28 6 3 2 2 2 2" xfId="32631"/>
    <cellStyle name="Standaard 28 6 3 2 2 3" xfId="32632"/>
    <cellStyle name="Standaard 28 6 3 2 3" xfId="32633"/>
    <cellStyle name="Standaard 28 6 3 2 3 2" xfId="32634"/>
    <cellStyle name="Standaard 28 6 3 2 4" xfId="32635"/>
    <cellStyle name="Standaard 28 6 3 3" xfId="32636"/>
    <cellStyle name="Standaard 28 6 3 3 2" xfId="32637"/>
    <cellStyle name="Standaard 28 6 3 3 2 2" xfId="32638"/>
    <cellStyle name="Standaard 28 6 3 3 3" xfId="32639"/>
    <cellStyle name="Standaard 28 6 3 4" xfId="32640"/>
    <cellStyle name="Standaard 28 6 3 4 2" xfId="32641"/>
    <cellStyle name="Standaard 28 6 3 5" xfId="32642"/>
    <cellStyle name="Standaard 28 6 3 6" xfId="32643"/>
    <cellStyle name="Standaard 28 6 4" xfId="32644"/>
    <cellStyle name="Standaard 28 6 4 2" xfId="32645"/>
    <cellStyle name="Standaard 28 6 4 2 2" xfId="32646"/>
    <cellStyle name="Standaard 28 6 4 2 2 2" xfId="32647"/>
    <cellStyle name="Standaard 28 6 4 2 3" xfId="32648"/>
    <cellStyle name="Standaard 28 6 4 3" xfId="32649"/>
    <cellStyle name="Standaard 28 6 4 3 2" xfId="32650"/>
    <cellStyle name="Standaard 28 6 4 4" xfId="32651"/>
    <cellStyle name="Standaard 28 6 5" xfId="32652"/>
    <cellStyle name="Standaard 28 6 5 2" xfId="32653"/>
    <cellStyle name="Standaard 28 6 5 2 2" xfId="32654"/>
    <cellStyle name="Standaard 28 6 5 3" xfId="32655"/>
    <cellStyle name="Standaard 28 6 6" xfId="32656"/>
    <cellStyle name="Standaard 28 6 6 2" xfId="32657"/>
    <cellStyle name="Standaard 28 6 7" xfId="32658"/>
    <cellStyle name="Standaard 28 6 8" xfId="32659"/>
    <cellStyle name="Standaard 28 7" xfId="32660"/>
    <cellStyle name="Standaard 28 7 2" xfId="32661"/>
    <cellStyle name="Standaard 28 7 2 2" xfId="32662"/>
    <cellStyle name="Standaard 28 7 2 2 2" xfId="32663"/>
    <cellStyle name="Standaard 28 7 2 2 2 2" xfId="32664"/>
    <cellStyle name="Standaard 28 7 2 2 2 2 2" xfId="32665"/>
    <cellStyle name="Standaard 28 7 2 2 2 3" xfId="32666"/>
    <cellStyle name="Standaard 28 7 2 2 3" xfId="32667"/>
    <cellStyle name="Standaard 28 7 2 2 3 2" xfId="32668"/>
    <cellStyle name="Standaard 28 7 2 2 4" xfId="32669"/>
    <cellStyle name="Standaard 28 7 2 3" xfId="32670"/>
    <cellStyle name="Standaard 28 7 2 3 2" xfId="32671"/>
    <cellStyle name="Standaard 28 7 2 3 2 2" xfId="32672"/>
    <cellStyle name="Standaard 28 7 2 3 3" xfId="32673"/>
    <cellStyle name="Standaard 28 7 2 4" xfId="32674"/>
    <cellStyle name="Standaard 28 7 2 4 2" xfId="32675"/>
    <cellStyle name="Standaard 28 7 2 5" xfId="32676"/>
    <cellStyle name="Standaard 28 7 2 6" xfId="32677"/>
    <cellStyle name="Standaard 28 7 3" xfId="32678"/>
    <cellStyle name="Standaard 28 7 3 2" xfId="32679"/>
    <cellStyle name="Standaard 28 7 3 2 2" xfId="32680"/>
    <cellStyle name="Standaard 28 7 3 2 2 2" xfId="32681"/>
    <cellStyle name="Standaard 28 7 3 2 3" xfId="32682"/>
    <cellStyle name="Standaard 28 7 3 3" xfId="32683"/>
    <cellStyle name="Standaard 28 7 3 3 2" xfId="32684"/>
    <cellStyle name="Standaard 28 7 3 4" xfId="32685"/>
    <cellStyle name="Standaard 28 7 4" xfId="32686"/>
    <cellStyle name="Standaard 28 7 4 2" xfId="32687"/>
    <cellStyle name="Standaard 28 7 4 2 2" xfId="32688"/>
    <cellStyle name="Standaard 28 7 4 3" xfId="32689"/>
    <cellStyle name="Standaard 28 7 5" xfId="32690"/>
    <cellStyle name="Standaard 28 7 5 2" xfId="32691"/>
    <cellStyle name="Standaard 28 7 6" xfId="32692"/>
    <cellStyle name="Standaard 28 7 7" xfId="32693"/>
    <cellStyle name="Standaard 28 8" xfId="32694"/>
    <cellStyle name="Standaard 28 8 2" xfId="32695"/>
    <cellStyle name="Standaard 28 8 2 2" xfId="32696"/>
    <cellStyle name="Standaard 28 8 2 2 2" xfId="32697"/>
    <cellStyle name="Standaard 28 8 2 2 2 2" xfId="32698"/>
    <cellStyle name="Standaard 28 8 2 2 3" xfId="32699"/>
    <cellStyle name="Standaard 28 8 2 3" xfId="32700"/>
    <cellStyle name="Standaard 28 8 2 3 2" xfId="32701"/>
    <cellStyle name="Standaard 28 8 2 4" xfId="32702"/>
    <cellStyle name="Standaard 28 8 3" xfId="32703"/>
    <cellStyle name="Standaard 28 8 3 2" xfId="32704"/>
    <cellStyle name="Standaard 28 8 3 2 2" xfId="32705"/>
    <cellStyle name="Standaard 28 8 3 3" xfId="32706"/>
    <cellStyle name="Standaard 28 8 4" xfId="32707"/>
    <cellStyle name="Standaard 28 8 4 2" xfId="32708"/>
    <cellStyle name="Standaard 28 8 5" xfId="32709"/>
    <cellStyle name="Standaard 28 8 6" xfId="32710"/>
    <cellStyle name="Standaard 28 9" xfId="32711"/>
    <cellStyle name="Standaard 28 9 2" xfId="32712"/>
    <cellStyle name="Standaard 28 9 2 2" xfId="32713"/>
    <cellStyle name="Standaard 28 9 2 2 2" xfId="32714"/>
    <cellStyle name="Standaard 28 9 2 3" xfId="32715"/>
    <cellStyle name="Standaard 28 9 3" xfId="32716"/>
    <cellStyle name="Standaard 28 9 3 2" xfId="32717"/>
    <cellStyle name="Standaard 28 9 4" xfId="32718"/>
    <cellStyle name="Standaard 29" xfId="32719"/>
    <cellStyle name="Standaard 29 10" xfId="32720"/>
    <cellStyle name="Standaard 29 10 2" xfId="32721"/>
    <cellStyle name="Standaard 29 10 2 2" xfId="32722"/>
    <cellStyle name="Standaard 29 10 3" xfId="32723"/>
    <cellStyle name="Standaard 29 11" xfId="32724"/>
    <cellStyle name="Standaard 29 11 2" xfId="32725"/>
    <cellStyle name="Standaard 29 12" xfId="32726"/>
    <cellStyle name="Standaard 29 13" xfId="32727"/>
    <cellStyle name="Standaard 29 2" xfId="32728"/>
    <cellStyle name="Standaard 29 2 10" xfId="32729"/>
    <cellStyle name="Standaard 29 2 10 2" xfId="32730"/>
    <cellStyle name="Standaard 29 2 11" xfId="32731"/>
    <cellStyle name="Standaard 29 2 12" xfId="32732"/>
    <cellStyle name="Standaard 29 2 2" xfId="32733"/>
    <cellStyle name="Standaard 29 2 2 10" xfId="32734"/>
    <cellStyle name="Standaard 29 2 2 11" xfId="32735"/>
    <cellStyle name="Standaard 29 2 2 2" xfId="32736"/>
    <cellStyle name="Standaard 29 2 2 2 2" xfId="32737"/>
    <cellStyle name="Standaard 29 2 2 2 2 2" xfId="32738"/>
    <cellStyle name="Standaard 29 2 2 2 2 2 2" xfId="32739"/>
    <cellStyle name="Standaard 29 2 2 2 2 2 2 2" xfId="32740"/>
    <cellStyle name="Standaard 29 2 2 2 2 2 2 2 2" xfId="32741"/>
    <cellStyle name="Standaard 29 2 2 2 2 2 2 2 2 2" xfId="32742"/>
    <cellStyle name="Standaard 29 2 2 2 2 2 2 2 2 2 2" xfId="32743"/>
    <cellStyle name="Standaard 29 2 2 2 2 2 2 2 2 3" xfId="32744"/>
    <cellStyle name="Standaard 29 2 2 2 2 2 2 2 3" xfId="32745"/>
    <cellStyle name="Standaard 29 2 2 2 2 2 2 2 3 2" xfId="32746"/>
    <cellStyle name="Standaard 29 2 2 2 2 2 2 2 4" xfId="32747"/>
    <cellStyle name="Standaard 29 2 2 2 2 2 2 3" xfId="32748"/>
    <cellStyle name="Standaard 29 2 2 2 2 2 2 3 2" xfId="32749"/>
    <cellStyle name="Standaard 29 2 2 2 2 2 2 3 2 2" xfId="32750"/>
    <cellStyle name="Standaard 29 2 2 2 2 2 2 3 3" xfId="32751"/>
    <cellStyle name="Standaard 29 2 2 2 2 2 2 4" xfId="32752"/>
    <cellStyle name="Standaard 29 2 2 2 2 2 2 4 2" xfId="32753"/>
    <cellStyle name="Standaard 29 2 2 2 2 2 2 5" xfId="32754"/>
    <cellStyle name="Standaard 29 2 2 2 2 2 2 6" xfId="32755"/>
    <cellStyle name="Standaard 29 2 2 2 2 2 3" xfId="32756"/>
    <cellStyle name="Standaard 29 2 2 2 2 2 3 2" xfId="32757"/>
    <cellStyle name="Standaard 29 2 2 2 2 2 3 2 2" xfId="32758"/>
    <cellStyle name="Standaard 29 2 2 2 2 2 3 2 2 2" xfId="32759"/>
    <cellStyle name="Standaard 29 2 2 2 2 2 3 2 3" xfId="32760"/>
    <cellStyle name="Standaard 29 2 2 2 2 2 3 3" xfId="32761"/>
    <cellStyle name="Standaard 29 2 2 2 2 2 3 3 2" xfId="32762"/>
    <cellStyle name="Standaard 29 2 2 2 2 2 3 4" xfId="32763"/>
    <cellStyle name="Standaard 29 2 2 2 2 2 4" xfId="32764"/>
    <cellStyle name="Standaard 29 2 2 2 2 2 4 2" xfId="32765"/>
    <cellStyle name="Standaard 29 2 2 2 2 2 4 2 2" xfId="32766"/>
    <cellStyle name="Standaard 29 2 2 2 2 2 4 3" xfId="32767"/>
    <cellStyle name="Standaard 29 2 2 2 2 2 5" xfId="32768"/>
    <cellStyle name="Standaard 29 2 2 2 2 2 5 2" xfId="32769"/>
    <cellStyle name="Standaard 29 2 2 2 2 2 6" xfId="32770"/>
    <cellStyle name="Standaard 29 2 2 2 2 2 7" xfId="32771"/>
    <cellStyle name="Standaard 29 2 2 2 2 3" xfId="32772"/>
    <cellStyle name="Standaard 29 2 2 2 2 3 2" xfId="32773"/>
    <cellStyle name="Standaard 29 2 2 2 2 3 2 2" xfId="32774"/>
    <cellStyle name="Standaard 29 2 2 2 2 3 2 2 2" xfId="32775"/>
    <cellStyle name="Standaard 29 2 2 2 2 3 2 2 2 2" xfId="32776"/>
    <cellStyle name="Standaard 29 2 2 2 2 3 2 2 3" xfId="32777"/>
    <cellStyle name="Standaard 29 2 2 2 2 3 2 3" xfId="32778"/>
    <cellStyle name="Standaard 29 2 2 2 2 3 2 3 2" xfId="32779"/>
    <cellStyle name="Standaard 29 2 2 2 2 3 2 4" xfId="32780"/>
    <cellStyle name="Standaard 29 2 2 2 2 3 3" xfId="32781"/>
    <cellStyle name="Standaard 29 2 2 2 2 3 3 2" xfId="32782"/>
    <cellStyle name="Standaard 29 2 2 2 2 3 3 2 2" xfId="32783"/>
    <cellStyle name="Standaard 29 2 2 2 2 3 3 3" xfId="32784"/>
    <cellStyle name="Standaard 29 2 2 2 2 3 4" xfId="32785"/>
    <cellStyle name="Standaard 29 2 2 2 2 3 4 2" xfId="32786"/>
    <cellStyle name="Standaard 29 2 2 2 2 3 5" xfId="32787"/>
    <cellStyle name="Standaard 29 2 2 2 2 3 6" xfId="32788"/>
    <cellStyle name="Standaard 29 2 2 2 2 4" xfId="32789"/>
    <cellStyle name="Standaard 29 2 2 2 2 4 2" xfId="32790"/>
    <cellStyle name="Standaard 29 2 2 2 2 4 2 2" xfId="32791"/>
    <cellStyle name="Standaard 29 2 2 2 2 4 2 2 2" xfId="32792"/>
    <cellStyle name="Standaard 29 2 2 2 2 4 2 3" xfId="32793"/>
    <cellStyle name="Standaard 29 2 2 2 2 4 3" xfId="32794"/>
    <cellStyle name="Standaard 29 2 2 2 2 4 3 2" xfId="32795"/>
    <cellStyle name="Standaard 29 2 2 2 2 4 4" xfId="32796"/>
    <cellStyle name="Standaard 29 2 2 2 2 5" xfId="32797"/>
    <cellStyle name="Standaard 29 2 2 2 2 5 2" xfId="32798"/>
    <cellStyle name="Standaard 29 2 2 2 2 5 2 2" xfId="32799"/>
    <cellStyle name="Standaard 29 2 2 2 2 5 3" xfId="32800"/>
    <cellStyle name="Standaard 29 2 2 2 2 6" xfId="32801"/>
    <cellStyle name="Standaard 29 2 2 2 2 6 2" xfId="32802"/>
    <cellStyle name="Standaard 29 2 2 2 2 7" xfId="32803"/>
    <cellStyle name="Standaard 29 2 2 2 2 8" xfId="32804"/>
    <cellStyle name="Standaard 29 2 2 2 3" xfId="32805"/>
    <cellStyle name="Standaard 29 2 2 2 3 2" xfId="32806"/>
    <cellStyle name="Standaard 29 2 2 2 3 2 2" xfId="32807"/>
    <cellStyle name="Standaard 29 2 2 2 3 2 2 2" xfId="32808"/>
    <cellStyle name="Standaard 29 2 2 2 3 2 2 2 2" xfId="32809"/>
    <cellStyle name="Standaard 29 2 2 2 3 2 2 2 2 2" xfId="32810"/>
    <cellStyle name="Standaard 29 2 2 2 3 2 2 2 3" xfId="32811"/>
    <cellStyle name="Standaard 29 2 2 2 3 2 2 3" xfId="32812"/>
    <cellStyle name="Standaard 29 2 2 2 3 2 2 3 2" xfId="32813"/>
    <cellStyle name="Standaard 29 2 2 2 3 2 2 4" xfId="32814"/>
    <cellStyle name="Standaard 29 2 2 2 3 2 3" xfId="32815"/>
    <cellStyle name="Standaard 29 2 2 2 3 2 3 2" xfId="32816"/>
    <cellStyle name="Standaard 29 2 2 2 3 2 3 2 2" xfId="32817"/>
    <cellStyle name="Standaard 29 2 2 2 3 2 3 3" xfId="32818"/>
    <cellStyle name="Standaard 29 2 2 2 3 2 4" xfId="32819"/>
    <cellStyle name="Standaard 29 2 2 2 3 2 4 2" xfId="32820"/>
    <cellStyle name="Standaard 29 2 2 2 3 2 5" xfId="32821"/>
    <cellStyle name="Standaard 29 2 2 2 3 2 6" xfId="32822"/>
    <cellStyle name="Standaard 29 2 2 2 3 3" xfId="32823"/>
    <cellStyle name="Standaard 29 2 2 2 3 3 2" xfId="32824"/>
    <cellStyle name="Standaard 29 2 2 2 3 3 2 2" xfId="32825"/>
    <cellStyle name="Standaard 29 2 2 2 3 3 2 2 2" xfId="32826"/>
    <cellStyle name="Standaard 29 2 2 2 3 3 2 3" xfId="32827"/>
    <cellStyle name="Standaard 29 2 2 2 3 3 3" xfId="32828"/>
    <cellStyle name="Standaard 29 2 2 2 3 3 3 2" xfId="32829"/>
    <cellStyle name="Standaard 29 2 2 2 3 3 4" xfId="32830"/>
    <cellStyle name="Standaard 29 2 2 2 3 4" xfId="32831"/>
    <cellStyle name="Standaard 29 2 2 2 3 4 2" xfId="32832"/>
    <cellStyle name="Standaard 29 2 2 2 3 4 2 2" xfId="32833"/>
    <cellStyle name="Standaard 29 2 2 2 3 4 3" xfId="32834"/>
    <cellStyle name="Standaard 29 2 2 2 3 5" xfId="32835"/>
    <cellStyle name="Standaard 29 2 2 2 3 5 2" xfId="32836"/>
    <cellStyle name="Standaard 29 2 2 2 3 6" xfId="32837"/>
    <cellStyle name="Standaard 29 2 2 2 3 7" xfId="32838"/>
    <cellStyle name="Standaard 29 2 2 2 4" xfId="32839"/>
    <cellStyle name="Standaard 29 2 2 2 4 2" xfId="32840"/>
    <cellStyle name="Standaard 29 2 2 2 4 2 2" xfId="32841"/>
    <cellStyle name="Standaard 29 2 2 2 4 2 2 2" xfId="32842"/>
    <cellStyle name="Standaard 29 2 2 2 4 2 2 2 2" xfId="32843"/>
    <cellStyle name="Standaard 29 2 2 2 4 2 2 3" xfId="32844"/>
    <cellStyle name="Standaard 29 2 2 2 4 2 3" xfId="32845"/>
    <cellStyle name="Standaard 29 2 2 2 4 2 3 2" xfId="32846"/>
    <cellStyle name="Standaard 29 2 2 2 4 2 4" xfId="32847"/>
    <cellStyle name="Standaard 29 2 2 2 4 3" xfId="32848"/>
    <cellStyle name="Standaard 29 2 2 2 4 3 2" xfId="32849"/>
    <cellStyle name="Standaard 29 2 2 2 4 3 2 2" xfId="32850"/>
    <cellStyle name="Standaard 29 2 2 2 4 3 3" xfId="32851"/>
    <cellStyle name="Standaard 29 2 2 2 4 4" xfId="32852"/>
    <cellStyle name="Standaard 29 2 2 2 4 4 2" xfId="32853"/>
    <cellStyle name="Standaard 29 2 2 2 4 5" xfId="32854"/>
    <cellStyle name="Standaard 29 2 2 2 4 6" xfId="32855"/>
    <cellStyle name="Standaard 29 2 2 2 5" xfId="32856"/>
    <cellStyle name="Standaard 29 2 2 2 5 2" xfId="32857"/>
    <cellStyle name="Standaard 29 2 2 2 5 2 2" xfId="32858"/>
    <cellStyle name="Standaard 29 2 2 2 5 2 2 2" xfId="32859"/>
    <cellStyle name="Standaard 29 2 2 2 5 2 3" xfId="32860"/>
    <cellStyle name="Standaard 29 2 2 2 5 3" xfId="32861"/>
    <cellStyle name="Standaard 29 2 2 2 5 3 2" xfId="32862"/>
    <cellStyle name="Standaard 29 2 2 2 5 4" xfId="32863"/>
    <cellStyle name="Standaard 29 2 2 2 6" xfId="32864"/>
    <cellStyle name="Standaard 29 2 2 2 6 2" xfId="32865"/>
    <cellStyle name="Standaard 29 2 2 2 6 2 2" xfId="32866"/>
    <cellStyle name="Standaard 29 2 2 2 6 3" xfId="32867"/>
    <cellStyle name="Standaard 29 2 2 2 7" xfId="32868"/>
    <cellStyle name="Standaard 29 2 2 2 7 2" xfId="32869"/>
    <cellStyle name="Standaard 29 2 2 2 8" xfId="32870"/>
    <cellStyle name="Standaard 29 2 2 2 9" xfId="32871"/>
    <cellStyle name="Standaard 29 2 2 3" xfId="32872"/>
    <cellStyle name="Standaard 29 2 2 3 2" xfId="32873"/>
    <cellStyle name="Standaard 29 2 2 3 2 2" xfId="32874"/>
    <cellStyle name="Standaard 29 2 2 3 2 2 2" xfId="32875"/>
    <cellStyle name="Standaard 29 2 2 3 2 2 2 2" xfId="32876"/>
    <cellStyle name="Standaard 29 2 2 3 2 2 2 2 2" xfId="32877"/>
    <cellStyle name="Standaard 29 2 2 3 2 2 2 2 2 2" xfId="32878"/>
    <cellStyle name="Standaard 29 2 2 3 2 2 2 2 3" xfId="32879"/>
    <cellStyle name="Standaard 29 2 2 3 2 2 2 3" xfId="32880"/>
    <cellStyle name="Standaard 29 2 2 3 2 2 2 3 2" xfId="32881"/>
    <cellStyle name="Standaard 29 2 2 3 2 2 2 4" xfId="32882"/>
    <cellStyle name="Standaard 29 2 2 3 2 2 3" xfId="32883"/>
    <cellStyle name="Standaard 29 2 2 3 2 2 3 2" xfId="32884"/>
    <cellStyle name="Standaard 29 2 2 3 2 2 3 2 2" xfId="32885"/>
    <cellStyle name="Standaard 29 2 2 3 2 2 3 3" xfId="32886"/>
    <cellStyle name="Standaard 29 2 2 3 2 2 4" xfId="32887"/>
    <cellStyle name="Standaard 29 2 2 3 2 2 4 2" xfId="32888"/>
    <cellStyle name="Standaard 29 2 2 3 2 2 5" xfId="32889"/>
    <cellStyle name="Standaard 29 2 2 3 2 2 6" xfId="32890"/>
    <cellStyle name="Standaard 29 2 2 3 2 3" xfId="32891"/>
    <cellStyle name="Standaard 29 2 2 3 2 3 2" xfId="32892"/>
    <cellStyle name="Standaard 29 2 2 3 2 3 2 2" xfId="32893"/>
    <cellStyle name="Standaard 29 2 2 3 2 3 2 2 2" xfId="32894"/>
    <cellStyle name="Standaard 29 2 2 3 2 3 2 3" xfId="32895"/>
    <cellStyle name="Standaard 29 2 2 3 2 3 3" xfId="32896"/>
    <cellStyle name="Standaard 29 2 2 3 2 3 3 2" xfId="32897"/>
    <cellStyle name="Standaard 29 2 2 3 2 3 4" xfId="32898"/>
    <cellStyle name="Standaard 29 2 2 3 2 4" xfId="32899"/>
    <cellStyle name="Standaard 29 2 2 3 2 4 2" xfId="32900"/>
    <cellStyle name="Standaard 29 2 2 3 2 4 2 2" xfId="32901"/>
    <cellStyle name="Standaard 29 2 2 3 2 4 3" xfId="32902"/>
    <cellStyle name="Standaard 29 2 2 3 2 5" xfId="32903"/>
    <cellStyle name="Standaard 29 2 2 3 2 5 2" xfId="32904"/>
    <cellStyle name="Standaard 29 2 2 3 2 6" xfId="32905"/>
    <cellStyle name="Standaard 29 2 2 3 2 7" xfId="32906"/>
    <cellStyle name="Standaard 29 2 2 3 3" xfId="32907"/>
    <cellStyle name="Standaard 29 2 2 3 3 2" xfId="32908"/>
    <cellStyle name="Standaard 29 2 2 3 3 2 2" xfId="32909"/>
    <cellStyle name="Standaard 29 2 2 3 3 2 2 2" xfId="32910"/>
    <cellStyle name="Standaard 29 2 2 3 3 2 2 2 2" xfId="32911"/>
    <cellStyle name="Standaard 29 2 2 3 3 2 2 3" xfId="32912"/>
    <cellStyle name="Standaard 29 2 2 3 3 2 3" xfId="32913"/>
    <cellStyle name="Standaard 29 2 2 3 3 2 3 2" xfId="32914"/>
    <cellStyle name="Standaard 29 2 2 3 3 2 4" xfId="32915"/>
    <cellStyle name="Standaard 29 2 2 3 3 3" xfId="32916"/>
    <cellStyle name="Standaard 29 2 2 3 3 3 2" xfId="32917"/>
    <cellStyle name="Standaard 29 2 2 3 3 3 2 2" xfId="32918"/>
    <cellStyle name="Standaard 29 2 2 3 3 3 3" xfId="32919"/>
    <cellStyle name="Standaard 29 2 2 3 3 4" xfId="32920"/>
    <cellStyle name="Standaard 29 2 2 3 3 4 2" xfId="32921"/>
    <cellStyle name="Standaard 29 2 2 3 3 5" xfId="32922"/>
    <cellStyle name="Standaard 29 2 2 3 3 6" xfId="32923"/>
    <cellStyle name="Standaard 29 2 2 3 4" xfId="32924"/>
    <cellStyle name="Standaard 29 2 2 3 4 2" xfId="32925"/>
    <cellStyle name="Standaard 29 2 2 3 4 2 2" xfId="32926"/>
    <cellStyle name="Standaard 29 2 2 3 4 2 2 2" xfId="32927"/>
    <cellStyle name="Standaard 29 2 2 3 4 2 3" xfId="32928"/>
    <cellStyle name="Standaard 29 2 2 3 4 3" xfId="32929"/>
    <cellStyle name="Standaard 29 2 2 3 4 3 2" xfId="32930"/>
    <cellStyle name="Standaard 29 2 2 3 4 4" xfId="32931"/>
    <cellStyle name="Standaard 29 2 2 3 5" xfId="32932"/>
    <cellStyle name="Standaard 29 2 2 3 5 2" xfId="32933"/>
    <cellStyle name="Standaard 29 2 2 3 5 2 2" xfId="32934"/>
    <cellStyle name="Standaard 29 2 2 3 5 3" xfId="32935"/>
    <cellStyle name="Standaard 29 2 2 3 6" xfId="32936"/>
    <cellStyle name="Standaard 29 2 2 3 6 2" xfId="32937"/>
    <cellStyle name="Standaard 29 2 2 3 7" xfId="32938"/>
    <cellStyle name="Standaard 29 2 2 3 8" xfId="32939"/>
    <cellStyle name="Standaard 29 2 2 4" xfId="32940"/>
    <cellStyle name="Standaard 29 2 2 4 2" xfId="32941"/>
    <cellStyle name="Standaard 29 2 2 4 2 2" xfId="32942"/>
    <cellStyle name="Standaard 29 2 2 4 2 2 2" xfId="32943"/>
    <cellStyle name="Standaard 29 2 2 4 2 2 2 2" xfId="32944"/>
    <cellStyle name="Standaard 29 2 2 4 2 2 2 2 2" xfId="32945"/>
    <cellStyle name="Standaard 29 2 2 4 2 2 2 2 2 2" xfId="32946"/>
    <cellStyle name="Standaard 29 2 2 4 2 2 2 2 3" xfId="32947"/>
    <cellStyle name="Standaard 29 2 2 4 2 2 2 3" xfId="32948"/>
    <cellStyle name="Standaard 29 2 2 4 2 2 2 3 2" xfId="32949"/>
    <cellStyle name="Standaard 29 2 2 4 2 2 2 4" xfId="32950"/>
    <cellStyle name="Standaard 29 2 2 4 2 2 3" xfId="32951"/>
    <cellStyle name="Standaard 29 2 2 4 2 2 3 2" xfId="32952"/>
    <cellStyle name="Standaard 29 2 2 4 2 2 3 2 2" xfId="32953"/>
    <cellStyle name="Standaard 29 2 2 4 2 2 3 3" xfId="32954"/>
    <cellStyle name="Standaard 29 2 2 4 2 2 4" xfId="32955"/>
    <cellStyle name="Standaard 29 2 2 4 2 2 4 2" xfId="32956"/>
    <cellStyle name="Standaard 29 2 2 4 2 2 5" xfId="32957"/>
    <cellStyle name="Standaard 29 2 2 4 2 2 6" xfId="32958"/>
    <cellStyle name="Standaard 29 2 2 4 2 3" xfId="32959"/>
    <cellStyle name="Standaard 29 2 2 4 2 3 2" xfId="32960"/>
    <cellStyle name="Standaard 29 2 2 4 2 3 2 2" xfId="32961"/>
    <cellStyle name="Standaard 29 2 2 4 2 3 2 2 2" xfId="32962"/>
    <cellStyle name="Standaard 29 2 2 4 2 3 2 3" xfId="32963"/>
    <cellStyle name="Standaard 29 2 2 4 2 3 3" xfId="32964"/>
    <cellStyle name="Standaard 29 2 2 4 2 3 3 2" xfId="32965"/>
    <cellStyle name="Standaard 29 2 2 4 2 3 4" xfId="32966"/>
    <cellStyle name="Standaard 29 2 2 4 2 4" xfId="32967"/>
    <cellStyle name="Standaard 29 2 2 4 2 4 2" xfId="32968"/>
    <cellStyle name="Standaard 29 2 2 4 2 4 2 2" xfId="32969"/>
    <cellStyle name="Standaard 29 2 2 4 2 4 3" xfId="32970"/>
    <cellStyle name="Standaard 29 2 2 4 2 5" xfId="32971"/>
    <cellStyle name="Standaard 29 2 2 4 2 5 2" xfId="32972"/>
    <cellStyle name="Standaard 29 2 2 4 2 6" xfId="32973"/>
    <cellStyle name="Standaard 29 2 2 4 2 7" xfId="32974"/>
    <cellStyle name="Standaard 29 2 2 4 3" xfId="32975"/>
    <cellStyle name="Standaard 29 2 2 4 3 2" xfId="32976"/>
    <cellStyle name="Standaard 29 2 2 4 3 2 2" xfId="32977"/>
    <cellStyle name="Standaard 29 2 2 4 3 2 2 2" xfId="32978"/>
    <cellStyle name="Standaard 29 2 2 4 3 2 2 2 2" xfId="32979"/>
    <cellStyle name="Standaard 29 2 2 4 3 2 2 3" xfId="32980"/>
    <cellStyle name="Standaard 29 2 2 4 3 2 3" xfId="32981"/>
    <cellStyle name="Standaard 29 2 2 4 3 2 3 2" xfId="32982"/>
    <cellStyle name="Standaard 29 2 2 4 3 2 4" xfId="32983"/>
    <cellStyle name="Standaard 29 2 2 4 3 3" xfId="32984"/>
    <cellStyle name="Standaard 29 2 2 4 3 3 2" xfId="32985"/>
    <cellStyle name="Standaard 29 2 2 4 3 3 2 2" xfId="32986"/>
    <cellStyle name="Standaard 29 2 2 4 3 3 3" xfId="32987"/>
    <cellStyle name="Standaard 29 2 2 4 3 4" xfId="32988"/>
    <cellStyle name="Standaard 29 2 2 4 3 4 2" xfId="32989"/>
    <cellStyle name="Standaard 29 2 2 4 3 5" xfId="32990"/>
    <cellStyle name="Standaard 29 2 2 4 3 6" xfId="32991"/>
    <cellStyle name="Standaard 29 2 2 4 4" xfId="32992"/>
    <cellStyle name="Standaard 29 2 2 4 4 2" xfId="32993"/>
    <cellStyle name="Standaard 29 2 2 4 4 2 2" xfId="32994"/>
    <cellStyle name="Standaard 29 2 2 4 4 2 2 2" xfId="32995"/>
    <cellStyle name="Standaard 29 2 2 4 4 2 3" xfId="32996"/>
    <cellStyle name="Standaard 29 2 2 4 4 3" xfId="32997"/>
    <cellStyle name="Standaard 29 2 2 4 4 3 2" xfId="32998"/>
    <cellStyle name="Standaard 29 2 2 4 4 4" xfId="32999"/>
    <cellStyle name="Standaard 29 2 2 4 5" xfId="33000"/>
    <cellStyle name="Standaard 29 2 2 4 5 2" xfId="33001"/>
    <cellStyle name="Standaard 29 2 2 4 5 2 2" xfId="33002"/>
    <cellStyle name="Standaard 29 2 2 4 5 3" xfId="33003"/>
    <cellStyle name="Standaard 29 2 2 4 6" xfId="33004"/>
    <cellStyle name="Standaard 29 2 2 4 6 2" xfId="33005"/>
    <cellStyle name="Standaard 29 2 2 4 7" xfId="33006"/>
    <cellStyle name="Standaard 29 2 2 4 8" xfId="33007"/>
    <cellStyle name="Standaard 29 2 2 5" xfId="33008"/>
    <cellStyle name="Standaard 29 2 2 5 2" xfId="33009"/>
    <cellStyle name="Standaard 29 2 2 5 2 2" xfId="33010"/>
    <cellStyle name="Standaard 29 2 2 5 2 2 2" xfId="33011"/>
    <cellStyle name="Standaard 29 2 2 5 2 2 2 2" xfId="33012"/>
    <cellStyle name="Standaard 29 2 2 5 2 2 2 2 2" xfId="33013"/>
    <cellStyle name="Standaard 29 2 2 5 2 2 2 3" xfId="33014"/>
    <cellStyle name="Standaard 29 2 2 5 2 2 3" xfId="33015"/>
    <cellStyle name="Standaard 29 2 2 5 2 2 3 2" xfId="33016"/>
    <cellStyle name="Standaard 29 2 2 5 2 2 4" xfId="33017"/>
    <cellStyle name="Standaard 29 2 2 5 2 3" xfId="33018"/>
    <cellStyle name="Standaard 29 2 2 5 2 3 2" xfId="33019"/>
    <cellStyle name="Standaard 29 2 2 5 2 3 2 2" xfId="33020"/>
    <cellStyle name="Standaard 29 2 2 5 2 3 3" xfId="33021"/>
    <cellStyle name="Standaard 29 2 2 5 2 4" xfId="33022"/>
    <cellStyle name="Standaard 29 2 2 5 2 4 2" xfId="33023"/>
    <cellStyle name="Standaard 29 2 2 5 2 5" xfId="33024"/>
    <cellStyle name="Standaard 29 2 2 5 2 6" xfId="33025"/>
    <cellStyle name="Standaard 29 2 2 5 3" xfId="33026"/>
    <cellStyle name="Standaard 29 2 2 5 3 2" xfId="33027"/>
    <cellStyle name="Standaard 29 2 2 5 3 2 2" xfId="33028"/>
    <cellStyle name="Standaard 29 2 2 5 3 2 2 2" xfId="33029"/>
    <cellStyle name="Standaard 29 2 2 5 3 2 3" xfId="33030"/>
    <cellStyle name="Standaard 29 2 2 5 3 3" xfId="33031"/>
    <cellStyle name="Standaard 29 2 2 5 3 3 2" xfId="33032"/>
    <cellStyle name="Standaard 29 2 2 5 3 4" xfId="33033"/>
    <cellStyle name="Standaard 29 2 2 5 4" xfId="33034"/>
    <cellStyle name="Standaard 29 2 2 5 4 2" xfId="33035"/>
    <cellStyle name="Standaard 29 2 2 5 4 2 2" xfId="33036"/>
    <cellStyle name="Standaard 29 2 2 5 4 3" xfId="33037"/>
    <cellStyle name="Standaard 29 2 2 5 5" xfId="33038"/>
    <cellStyle name="Standaard 29 2 2 5 5 2" xfId="33039"/>
    <cellStyle name="Standaard 29 2 2 5 6" xfId="33040"/>
    <cellStyle name="Standaard 29 2 2 5 7" xfId="33041"/>
    <cellStyle name="Standaard 29 2 2 6" xfId="33042"/>
    <cellStyle name="Standaard 29 2 2 6 2" xfId="33043"/>
    <cellStyle name="Standaard 29 2 2 6 2 2" xfId="33044"/>
    <cellStyle name="Standaard 29 2 2 6 2 2 2" xfId="33045"/>
    <cellStyle name="Standaard 29 2 2 6 2 2 2 2" xfId="33046"/>
    <cellStyle name="Standaard 29 2 2 6 2 2 3" xfId="33047"/>
    <cellStyle name="Standaard 29 2 2 6 2 3" xfId="33048"/>
    <cellStyle name="Standaard 29 2 2 6 2 3 2" xfId="33049"/>
    <cellStyle name="Standaard 29 2 2 6 2 4" xfId="33050"/>
    <cellStyle name="Standaard 29 2 2 6 3" xfId="33051"/>
    <cellStyle name="Standaard 29 2 2 6 3 2" xfId="33052"/>
    <cellStyle name="Standaard 29 2 2 6 3 2 2" xfId="33053"/>
    <cellStyle name="Standaard 29 2 2 6 3 3" xfId="33054"/>
    <cellStyle name="Standaard 29 2 2 6 4" xfId="33055"/>
    <cellStyle name="Standaard 29 2 2 6 4 2" xfId="33056"/>
    <cellStyle name="Standaard 29 2 2 6 5" xfId="33057"/>
    <cellStyle name="Standaard 29 2 2 6 6" xfId="33058"/>
    <cellStyle name="Standaard 29 2 2 7" xfId="33059"/>
    <cellStyle name="Standaard 29 2 2 7 2" xfId="33060"/>
    <cellStyle name="Standaard 29 2 2 7 2 2" xfId="33061"/>
    <cellStyle name="Standaard 29 2 2 7 2 2 2" xfId="33062"/>
    <cellStyle name="Standaard 29 2 2 7 2 3" xfId="33063"/>
    <cellStyle name="Standaard 29 2 2 7 3" xfId="33064"/>
    <cellStyle name="Standaard 29 2 2 7 3 2" xfId="33065"/>
    <cellStyle name="Standaard 29 2 2 7 4" xfId="33066"/>
    <cellStyle name="Standaard 29 2 2 8" xfId="33067"/>
    <cellStyle name="Standaard 29 2 2 8 2" xfId="33068"/>
    <cellStyle name="Standaard 29 2 2 8 2 2" xfId="33069"/>
    <cellStyle name="Standaard 29 2 2 8 3" xfId="33070"/>
    <cellStyle name="Standaard 29 2 2 9" xfId="33071"/>
    <cellStyle name="Standaard 29 2 2 9 2" xfId="33072"/>
    <cellStyle name="Standaard 29 2 3" xfId="33073"/>
    <cellStyle name="Standaard 29 2 3 2" xfId="33074"/>
    <cellStyle name="Standaard 29 2 3 2 2" xfId="33075"/>
    <cellStyle name="Standaard 29 2 3 2 2 2" xfId="33076"/>
    <cellStyle name="Standaard 29 2 3 2 2 2 2" xfId="33077"/>
    <cellStyle name="Standaard 29 2 3 2 2 2 2 2" xfId="33078"/>
    <cellStyle name="Standaard 29 2 3 2 2 2 2 2 2" xfId="33079"/>
    <cellStyle name="Standaard 29 2 3 2 2 2 2 2 2 2" xfId="33080"/>
    <cellStyle name="Standaard 29 2 3 2 2 2 2 2 3" xfId="33081"/>
    <cellStyle name="Standaard 29 2 3 2 2 2 2 3" xfId="33082"/>
    <cellStyle name="Standaard 29 2 3 2 2 2 2 3 2" xfId="33083"/>
    <cellStyle name="Standaard 29 2 3 2 2 2 2 4" xfId="33084"/>
    <cellStyle name="Standaard 29 2 3 2 2 2 3" xfId="33085"/>
    <cellStyle name="Standaard 29 2 3 2 2 2 3 2" xfId="33086"/>
    <cellStyle name="Standaard 29 2 3 2 2 2 3 2 2" xfId="33087"/>
    <cellStyle name="Standaard 29 2 3 2 2 2 3 3" xfId="33088"/>
    <cellStyle name="Standaard 29 2 3 2 2 2 4" xfId="33089"/>
    <cellStyle name="Standaard 29 2 3 2 2 2 4 2" xfId="33090"/>
    <cellStyle name="Standaard 29 2 3 2 2 2 5" xfId="33091"/>
    <cellStyle name="Standaard 29 2 3 2 2 2 6" xfId="33092"/>
    <cellStyle name="Standaard 29 2 3 2 2 3" xfId="33093"/>
    <cellStyle name="Standaard 29 2 3 2 2 3 2" xfId="33094"/>
    <cellStyle name="Standaard 29 2 3 2 2 3 2 2" xfId="33095"/>
    <cellStyle name="Standaard 29 2 3 2 2 3 2 2 2" xfId="33096"/>
    <cellStyle name="Standaard 29 2 3 2 2 3 2 3" xfId="33097"/>
    <cellStyle name="Standaard 29 2 3 2 2 3 3" xfId="33098"/>
    <cellStyle name="Standaard 29 2 3 2 2 3 3 2" xfId="33099"/>
    <cellStyle name="Standaard 29 2 3 2 2 3 4" xfId="33100"/>
    <cellStyle name="Standaard 29 2 3 2 2 4" xfId="33101"/>
    <cellStyle name="Standaard 29 2 3 2 2 4 2" xfId="33102"/>
    <cellStyle name="Standaard 29 2 3 2 2 4 2 2" xfId="33103"/>
    <cellStyle name="Standaard 29 2 3 2 2 4 3" xfId="33104"/>
    <cellStyle name="Standaard 29 2 3 2 2 5" xfId="33105"/>
    <cellStyle name="Standaard 29 2 3 2 2 5 2" xfId="33106"/>
    <cellStyle name="Standaard 29 2 3 2 2 6" xfId="33107"/>
    <cellStyle name="Standaard 29 2 3 2 2 7" xfId="33108"/>
    <cellStyle name="Standaard 29 2 3 2 3" xfId="33109"/>
    <cellStyle name="Standaard 29 2 3 2 3 2" xfId="33110"/>
    <cellStyle name="Standaard 29 2 3 2 3 2 2" xfId="33111"/>
    <cellStyle name="Standaard 29 2 3 2 3 2 2 2" xfId="33112"/>
    <cellStyle name="Standaard 29 2 3 2 3 2 2 2 2" xfId="33113"/>
    <cellStyle name="Standaard 29 2 3 2 3 2 2 3" xfId="33114"/>
    <cellStyle name="Standaard 29 2 3 2 3 2 3" xfId="33115"/>
    <cellStyle name="Standaard 29 2 3 2 3 2 3 2" xfId="33116"/>
    <cellStyle name="Standaard 29 2 3 2 3 2 4" xfId="33117"/>
    <cellStyle name="Standaard 29 2 3 2 3 3" xfId="33118"/>
    <cellStyle name="Standaard 29 2 3 2 3 3 2" xfId="33119"/>
    <cellStyle name="Standaard 29 2 3 2 3 3 2 2" xfId="33120"/>
    <cellStyle name="Standaard 29 2 3 2 3 3 3" xfId="33121"/>
    <cellStyle name="Standaard 29 2 3 2 3 4" xfId="33122"/>
    <cellStyle name="Standaard 29 2 3 2 3 4 2" xfId="33123"/>
    <cellStyle name="Standaard 29 2 3 2 3 5" xfId="33124"/>
    <cellStyle name="Standaard 29 2 3 2 3 6" xfId="33125"/>
    <cellStyle name="Standaard 29 2 3 2 4" xfId="33126"/>
    <cellStyle name="Standaard 29 2 3 2 4 2" xfId="33127"/>
    <cellStyle name="Standaard 29 2 3 2 4 2 2" xfId="33128"/>
    <cellStyle name="Standaard 29 2 3 2 4 2 2 2" xfId="33129"/>
    <cellStyle name="Standaard 29 2 3 2 4 2 3" xfId="33130"/>
    <cellStyle name="Standaard 29 2 3 2 4 3" xfId="33131"/>
    <cellStyle name="Standaard 29 2 3 2 4 3 2" xfId="33132"/>
    <cellStyle name="Standaard 29 2 3 2 4 4" xfId="33133"/>
    <cellStyle name="Standaard 29 2 3 2 5" xfId="33134"/>
    <cellStyle name="Standaard 29 2 3 2 5 2" xfId="33135"/>
    <cellStyle name="Standaard 29 2 3 2 5 2 2" xfId="33136"/>
    <cellStyle name="Standaard 29 2 3 2 5 3" xfId="33137"/>
    <cellStyle name="Standaard 29 2 3 2 6" xfId="33138"/>
    <cellStyle name="Standaard 29 2 3 2 6 2" xfId="33139"/>
    <cellStyle name="Standaard 29 2 3 2 7" xfId="33140"/>
    <cellStyle name="Standaard 29 2 3 2 8" xfId="33141"/>
    <cellStyle name="Standaard 29 2 3 3" xfId="33142"/>
    <cellStyle name="Standaard 29 2 3 3 2" xfId="33143"/>
    <cellStyle name="Standaard 29 2 3 3 2 2" xfId="33144"/>
    <cellStyle name="Standaard 29 2 3 3 2 2 2" xfId="33145"/>
    <cellStyle name="Standaard 29 2 3 3 2 2 2 2" xfId="33146"/>
    <cellStyle name="Standaard 29 2 3 3 2 2 2 2 2" xfId="33147"/>
    <cellStyle name="Standaard 29 2 3 3 2 2 2 3" xfId="33148"/>
    <cellStyle name="Standaard 29 2 3 3 2 2 3" xfId="33149"/>
    <cellStyle name="Standaard 29 2 3 3 2 2 3 2" xfId="33150"/>
    <cellStyle name="Standaard 29 2 3 3 2 2 4" xfId="33151"/>
    <cellStyle name="Standaard 29 2 3 3 2 3" xfId="33152"/>
    <cellStyle name="Standaard 29 2 3 3 2 3 2" xfId="33153"/>
    <cellStyle name="Standaard 29 2 3 3 2 3 2 2" xfId="33154"/>
    <cellStyle name="Standaard 29 2 3 3 2 3 3" xfId="33155"/>
    <cellStyle name="Standaard 29 2 3 3 2 4" xfId="33156"/>
    <cellStyle name="Standaard 29 2 3 3 2 4 2" xfId="33157"/>
    <cellStyle name="Standaard 29 2 3 3 2 5" xfId="33158"/>
    <cellStyle name="Standaard 29 2 3 3 2 6" xfId="33159"/>
    <cellStyle name="Standaard 29 2 3 3 3" xfId="33160"/>
    <cellStyle name="Standaard 29 2 3 3 3 2" xfId="33161"/>
    <cellStyle name="Standaard 29 2 3 3 3 2 2" xfId="33162"/>
    <cellStyle name="Standaard 29 2 3 3 3 2 2 2" xfId="33163"/>
    <cellStyle name="Standaard 29 2 3 3 3 2 3" xfId="33164"/>
    <cellStyle name="Standaard 29 2 3 3 3 3" xfId="33165"/>
    <cellStyle name="Standaard 29 2 3 3 3 3 2" xfId="33166"/>
    <cellStyle name="Standaard 29 2 3 3 3 4" xfId="33167"/>
    <cellStyle name="Standaard 29 2 3 3 4" xfId="33168"/>
    <cellStyle name="Standaard 29 2 3 3 4 2" xfId="33169"/>
    <cellStyle name="Standaard 29 2 3 3 4 2 2" xfId="33170"/>
    <cellStyle name="Standaard 29 2 3 3 4 3" xfId="33171"/>
    <cellStyle name="Standaard 29 2 3 3 5" xfId="33172"/>
    <cellStyle name="Standaard 29 2 3 3 5 2" xfId="33173"/>
    <cellStyle name="Standaard 29 2 3 3 6" xfId="33174"/>
    <cellStyle name="Standaard 29 2 3 3 7" xfId="33175"/>
    <cellStyle name="Standaard 29 2 3 4" xfId="33176"/>
    <cellStyle name="Standaard 29 2 3 4 2" xfId="33177"/>
    <cellStyle name="Standaard 29 2 3 4 2 2" xfId="33178"/>
    <cellStyle name="Standaard 29 2 3 4 2 2 2" xfId="33179"/>
    <cellStyle name="Standaard 29 2 3 4 2 2 2 2" xfId="33180"/>
    <cellStyle name="Standaard 29 2 3 4 2 2 3" xfId="33181"/>
    <cellStyle name="Standaard 29 2 3 4 2 3" xfId="33182"/>
    <cellStyle name="Standaard 29 2 3 4 2 3 2" xfId="33183"/>
    <cellStyle name="Standaard 29 2 3 4 2 4" xfId="33184"/>
    <cellStyle name="Standaard 29 2 3 4 3" xfId="33185"/>
    <cellStyle name="Standaard 29 2 3 4 3 2" xfId="33186"/>
    <cellStyle name="Standaard 29 2 3 4 3 2 2" xfId="33187"/>
    <cellStyle name="Standaard 29 2 3 4 3 3" xfId="33188"/>
    <cellStyle name="Standaard 29 2 3 4 4" xfId="33189"/>
    <cellStyle name="Standaard 29 2 3 4 4 2" xfId="33190"/>
    <cellStyle name="Standaard 29 2 3 4 5" xfId="33191"/>
    <cellStyle name="Standaard 29 2 3 4 6" xfId="33192"/>
    <cellStyle name="Standaard 29 2 3 5" xfId="33193"/>
    <cellStyle name="Standaard 29 2 3 5 2" xfId="33194"/>
    <cellStyle name="Standaard 29 2 3 5 2 2" xfId="33195"/>
    <cellStyle name="Standaard 29 2 3 5 2 2 2" xfId="33196"/>
    <cellStyle name="Standaard 29 2 3 5 2 3" xfId="33197"/>
    <cellStyle name="Standaard 29 2 3 5 3" xfId="33198"/>
    <cellStyle name="Standaard 29 2 3 5 3 2" xfId="33199"/>
    <cellStyle name="Standaard 29 2 3 5 4" xfId="33200"/>
    <cellStyle name="Standaard 29 2 3 6" xfId="33201"/>
    <cellStyle name="Standaard 29 2 3 6 2" xfId="33202"/>
    <cellStyle name="Standaard 29 2 3 6 2 2" xfId="33203"/>
    <cellStyle name="Standaard 29 2 3 6 3" xfId="33204"/>
    <cellStyle name="Standaard 29 2 3 7" xfId="33205"/>
    <cellStyle name="Standaard 29 2 3 7 2" xfId="33206"/>
    <cellStyle name="Standaard 29 2 3 8" xfId="33207"/>
    <cellStyle name="Standaard 29 2 3 9" xfId="33208"/>
    <cellStyle name="Standaard 29 2 4" xfId="33209"/>
    <cellStyle name="Standaard 29 2 4 2" xfId="33210"/>
    <cellStyle name="Standaard 29 2 4 2 2" xfId="33211"/>
    <cellStyle name="Standaard 29 2 4 2 2 2" xfId="33212"/>
    <cellStyle name="Standaard 29 2 4 2 2 2 2" xfId="33213"/>
    <cellStyle name="Standaard 29 2 4 2 2 2 2 2" xfId="33214"/>
    <cellStyle name="Standaard 29 2 4 2 2 2 2 2 2" xfId="33215"/>
    <cellStyle name="Standaard 29 2 4 2 2 2 2 3" xfId="33216"/>
    <cellStyle name="Standaard 29 2 4 2 2 2 3" xfId="33217"/>
    <cellStyle name="Standaard 29 2 4 2 2 2 3 2" xfId="33218"/>
    <cellStyle name="Standaard 29 2 4 2 2 2 4" xfId="33219"/>
    <cellStyle name="Standaard 29 2 4 2 2 3" xfId="33220"/>
    <cellStyle name="Standaard 29 2 4 2 2 3 2" xfId="33221"/>
    <cellStyle name="Standaard 29 2 4 2 2 3 2 2" xfId="33222"/>
    <cellStyle name="Standaard 29 2 4 2 2 3 3" xfId="33223"/>
    <cellStyle name="Standaard 29 2 4 2 2 4" xfId="33224"/>
    <cellStyle name="Standaard 29 2 4 2 2 4 2" xfId="33225"/>
    <cellStyle name="Standaard 29 2 4 2 2 5" xfId="33226"/>
    <cellStyle name="Standaard 29 2 4 2 2 6" xfId="33227"/>
    <cellStyle name="Standaard 29 2 4 2 3" xfId="33228"/>
    <cellStyle name="Standaard 29 2 4 2 3 2" xfId="33229"/>
    <cellStyle name="Standaard 29 2 4 2 3 2 2" xfId="33230"/>
    <cellStyle name="Standaard 29 2 4 2 3 2 2 2" xfId="33231"/>
    <cellStyle name="Standaard 29 2 4 2 3 2 3" xfId="33232"/>
    <cellStyle name="Standaard 29 2 4 2 3 3" xfId="33233"/>
    <cellStyle name="Standaard 29 2 4 2 3 3 2" xfId="33234"/>
    <cellStyle name="Standaard 29 2 4 2 3 4" xfId="33235"/>
    <cellStyle name="Standaard 29 2 4 2 4" xfId="33236"/>
    <cellStyle name="Standaard 29 2 4 2 4 2" xfId="33237"/>
    <cellStyle name="Standaard 29 2 4 2 4 2 2" xfId="33238"/>
    <cellStyle name="Standaard 29 2 4 2 4 3" xfId="33239"/>
    <cellStyle name="Standaard 29 2 4 2 5" xfId="33240"/>
    <cellStyle name="Standaard 29 2 4 2 5 2" xfId="33241"/>
    <cellStyle name="Standaard 29 2 4 2 6" xfId="33242"/>
    <cellStyle name="Standaard 29 2 4 2 7" xfId="33243"/>
    <cellStyle name="Standaard 29 2 4 3" xfId="33244"/>
    <cellStyle name="Standaard 29 2 4 3 2" xfId="33245"/>
    <cellStyle name="Standaard 29 2 4 3 2 2" xfId="33246"/>
    <cellStyle name="Standaard 29 2 4 3 2 2 2" xfId="33247"/>
    <cellStyle name="Standaard 29 2 4 3 2 2 2 2" xfId="33248"/>
    <cellStyle name="Standaard 29 2 4 3 2 2 3" xfId="33249"/>
    <cellStyle name="Standaard 29 2 4 3 2 3" xfId="33250"/>
    <cellStyle name="Standaard 29 2 4 3 2 3 2" xfId="33251"/>
    <cellStyle name="Standaard 29 2 4 3 2 4" xfId="33252"/>
    <cellStyle name="Standaard 29 2 4 3 3" xfId="33253"/>
    <cellStyle name="Standaard 29 2 4 3 3 2" xfId="33254"/>
    <cellStyle name="Standaard 29 2 4 3 3 2 2" xfId="33255"/>
    <cellStyle name="Standaard 29 2 4 3 3 3" xfId="33256"/>
    <cellStyle name="Standaard 29 2 4 3 4" xfId="33257"/>
    <cellStyle name="Standaard 29 2 4 3 4 2" xfId="33258"/>
    <cellStyle name="Standaard 29 2 4 3 5" xfId="33259"/>
    <cellStyle name="Standaard 29 2 4 3 6" xfId="33260"/>
    <cellStyle name="Standaard 29 2 4 4" xfId="33261"/>
    <cellStyle name="Standaard 29 2 4 4 2" xfId="33262"/>
    <cellStyle name="Standaard 29 2 4 4 2 2" xfId="33263"/>
    <cellStyle name="Standaard 29 2 4 4 2 2 2" xfId="33264"/>
    <cellStyle name="Standaard 29 2 4 4 2 3" xfId="33265"/>
    <cellStyle name="Standaard 29 2 4 4 3" xfId="33266"/>
    <cellStyle name="Standaard 29 2 4 4 3 2" xfId="33267"/>
    <cellStyle name="Standaard 29 2 4 4 4" xfId="33268"/>
    <cellStyle name="Standaard 29 2 4 5" xfId="33269"/>
    <cellStyle name="Standaard 29 2 4 5 2" xfId="33270"/>
    <cellStyle name="Standaard 29 2 4 5 2 2" xfId="33271"/>
    <cellStyle name="Standaard 29 2 4 5 3" xfId="33272"/>
    <cellStyle name="Standaard 29 2 4 6" xfId="33273"/>
    <cellStyle name="Standaard 29 2 4 6 2" xfId="33274"/>
    <cellStyle name="Standaard 29 2 4 7" xfId="33275"/>
    <cellStyle name="Standaard 29 2 4 8" xfId="33276"/>
    <cellStyle name="Standaard 29 2 5" xfId="33277"/>
    <cellStyle name="Standaard 29 2 5 2" xfId="33278"/>
    <cellStyle name="Standaard 29 2 5 2 2" xfId="33279"/>
    <cellStyle name="Standaard 29 2 5 2 2 2" xfId="33280"/>
    <cellStyle name="Standaard 29 2 5 2 2 2 2" xfId="33281"/>
    <cellStyle name="Standaard 29 2 5 2 2 2 2 2" xfId="33282"/>
    <cellStyle name="Standaard 29 2 5 2 2 2 2 2 2" xfId="33283"/>
    <cellStyle name="Standaard 29 2 5 2 2 2 2 3" xfId="33284"/>
    <cellStyle name="Standaard 29 2 5 2 2 2 3" xfId="33285"/>
    <cellStyle name="Standaard 29 2 5 2 2 2 3 2" xfId="33286"/>
    <cellStyle name="Standaard 29 2 5 2 2 2 4" xfId="33287"/>
    <cellStyle name="Standaard 29 2 5 2 2 3" xfId="33288"/>
    <cellStyle name="Standaard 29 2 5 2 2 3 2" xfId="33289"/>
    <cellStyle name="Standaard 29 2 5 2 2 3 2 2" xfId="33290"/>
    <cellStyle name="Standaard 29 2 5 2 2 3 3" xfId="33291"/>
    <cellStyle name="Standaard 29 2 5 2 2 4" xfId="33292"/>
    <cellStyle name="Standaard 29 2 5 2 2 4 2" xfId="33293"/>
    <cellStyle name="Standaard 29 2 5 2 2 5" xfId="33294"/>
    <cellStyle name="Standaard 29 2 5 2 2 6" xfId="33295"/>
    <cellStyle name="Standaard 29 2 5 2 3" xfId="33296"/>
    <cellStyle name="Standaard 29 2 5 2 3 2" xfId="33297"/>
    <cellStyle name="Standaard 29 2 5 2 3 2 2" xfId="33298"/>
    <cellStyle name="Standaard 29 2 5 2 3 2 2 2" xfId="33299"/>
    <cellStyle name="Standaard 29 2 5 2 3 2 3" xfId="33300"/>
    <cellStyle name="Standaard 29 2 5 2 3 3" xfId="33301"/>
    <cellStyle name="Standaard 29 2 5 2 3 3 2" xfId="33302"/>
    <cellStyle name="Standaard 29 2 5 2 3 4" xfId="33303"/>
    <cellStyle name="Standaard 29 2 5 2 4" xfId="33304"/>
    <cellStyle name="Standaard 29 2 5 2 4 2" xfId="33305"/>
    <cellStyle name="Standaard 29 2 5 2 4 2 2" xfId="33306"/>
    <cellStyle name="Standaard 29 2 5 2 4 3" xfId="33307"/>
    <cellStyle name="Standaard 29 2 5 2 5" xfId="33308"/>
    <cellStyle name="Standaard 29 2 5 2 5 2" xfId="33309"/>
    <cellStyle name="Standaard 29 2 5 2 6" xfId="33310"/>
    <cellStyle name="Standaard 29 2 5 2 7" xfId="33311"/>
    <cellStyle name="Standaard 29 2 5 3" xfId="33312"/>
    <cellStyle name="Standaard 29 2 5 3 2" xfId="33313"/>
    <cellStyle name="Standaard 29 2 5 3 2 2" xfId="33314"/>
    <cellStyle name="Standaard 29 2 5 3 2 2 2" xfId="33315"/>
    <cellStyle name="Standaard 29 2 5 3 2 2 2 2" xfId="33316"/>
    <cellStyle name="Standaard 29 2 5 3 2 2 3" xfId="33317"/>
    <cellStyle name="Standaard 29 2 5 3 2 3" xfId="33318"/>
    <cellStyle name="Standaard 29 2 5 3 2 3 2" xfId="33319"/>
    <cellStyle name="Standaard 29 2 5 3 2 4" xfId="33320"/>
    <cellStyle name="Standaard 29 2 5 3 3" xfId="33321"/>
    <cellStyle name="Standaard 29 2 5 3 3 2" xfId="33322"/>
    <cellStyle name="Standaard 29 2 5 3 3 2 2" xfId="33323"/>
    <cellStyle name="Standaard 29 2 5 3 3 3" xfId="33324"/>
    <cellStyle name="Standaard 29 2 5 3 4" xfId="33325"/>
    <cellStyle name="Standaard 29 2 5 3 4 2" xfId="33326"/>
    <cellStyle name="Standaard 29 2 5 3 5" xfId="33327"/>
    <cellStyle name="Standaard 29 2 5 3 6" xfId="33328"/>
    <cellStyle name="Standaard 29 2 5 4" xfId="33329"/>
    <cellStyle name="Standaard 29 2 5 4 2" xfId="33330"/>
    <cellStyle name="Standaard 29 2 5 4 2 2" xfId="33331"/>
    <cellStyle name="Standaard 29 2 5 4 2 2 2" xfId="33332"/>
    <cellStyle name="Standaard 29 2 5 4 2 3" xfId="33333"/>
    <cellStyle name="Standaard 29 2 5 4 3" xfId="33334"/>
    <cellStyle name="Standaard 29 2 5 4 3 2" xfId="33335"/>
    <cellStyle name="Standaard 29 2 5 4 4" xfId="33336"/>
    <cellStyle name="Standaard 29 2 5 5" xfId="33337"/>
    <cellStyle name="Standaard 29 2 5 5 2" xfId="33338"/>
    <cellStyle name="Standaard 29 2 5 5 2 2" xfId="33339"/>
    <cellStyle name="Standaard 29 2 5 5 3" xfId="33340"/>
    <cellStyle name="Standaard 29 2 5 6" xfId="33341"/>
    <cellStyle name="Standaard 29 2 5 6 2" xfId="33342"/>
    <cellStyle name="Standaard 29 2 5 7" xfId="33343"/>
    <cellStyle name="Standaard 29 2 5 8" xfId="33344"/>
    <cellStyle name="Standaard 29 2 6" xfId="33345"/>
    <cellStyle name="Standaard 29 2 6 2" xfId="33346"/>
    <cellStyle name="Standaard 29 2 6 2 2" xfId="33347"/>
    <cellStyle name="Standaard 29 2 6 2 2 2" xfId="33348"/>
    <cellStyle name="Standaard 29 2 6 2 2 2 2" xfId="33349"/>
    <cellStyle name="Standaard 29 2 6 2 2 2 2 2" xfId="33350"/>
    <cellStyle name="Standaard 29 2 6 2 2 2 3" xfId="33351"/>
    <cellStyle name="Standaard 29 2 6 2 2 3" xfId="33352"/>
    <cellStyle name="Standaard 29 2 6 2 2 3 2" xfId="33353"/>
    <cellStyle name="Standaard 29 2 6 2 2 4" xfId="33354"/>
    <cellStyle name="Standaard 29 2 6 2 3" xfId="33355"/>
    <cellStyle name="Standaard 29 2 6 2 3 2" xfId="33356"/>
    <cellStyle name="Standaard 29 2 6 2 3 2 2" xfId="33357"/>
    <cellStyle name="Standaard 29 2 6 2 3 3" xfId="33358"/>
    <cellStyle name="Standaard 29 2 6 2 4" xfId="33359"/>
    <cellStyle name="Standaard 29 2 6 2 4 2" xfId="33360"/>
    <cellStyle name="Standaard 29 2 6 2 5" xfId="33361"/>
    <cellStyle name="Standaard 29 2 6 2 6" xfId="33362"/>
    <cellStyle name="Standaard 29 2 6 3" xfId="33363"/>
    <cellStyle name="Standaard 29 2 6 3 2" xfId="33364"/>
    <cellStyle name="Standaard 29 2 6 3 2 2" xfId="33365"/>
    <cellStyle name="Standaard 29 2 6 3 2 2 2" xfId="33366"/>
    <cellStyle name="Standaard 29 2 6 3 2 3" xfId="33367"/>
    <cellStyle name="Standaard 29 2 6 3 3" xfId="33368"/>
    <cellStyle name="Standaard 29 2 6 3 3 2" xfId="33369"/>
    <cellStyle name="Standaard 29 2 6 3 4" xfId="33370"/>
    <cellStyle name="Standaard 29 2 6 4" xfId="33371"/>
    <cellStyle name="Standaard 29 2 6 4 2" xfId="33372"/>
    <cellStyle name="Standaard 29 2 6 4 2 2" xfId="33373"/>
    <cellStyle name="Standaard 29 2 6 4 3" xfId="33374"/>
    <cellStyle name="Standaard 29 2 6 5" xfId="33375"/>
    <cellStyle name="Standaard 29 2 6 5 2" xfId="33376"/>
    <cellStyle name="Standaard 29 2 6 6" xfId="33377"/>
    <cellStyle name="Standaard 29 2 6 7" xfId="33378"/>
    <cellStyle name="Standaard 29 2 7" xfId="33379"/>
    <cellStyle name="Standaard 29 2 7 2" xfId="33380"/>
    <cellStyle name="Standaard 29 2 7 2 2" xfId="33381"/>
    <cellStyle name="Standaard 29 2 7 2 2 2" xfId="33382"/>
    <cellStyle name="Standaard 29 2 7 2 2 2 2" xfId="33383"/>
    <cellStyle name="Standaard 29 2 7 2 2 3" xfId="33384"/>
    <cellStyle name="Standaard 29 2 7 2 3" xfId="33385"/>
    <cellStyle name="Standaard 29 2 7 2 3 2" xfId="33386"/>
    <cellStyle name="Standaard 29 2 7 2 4" xfId="33387"/>
    <cellStyle name="Standaard 29 2 7 3" xfId="33388"/>
    <cellStyle name="Standaard 29 2 7 3 2" xfId="33389"/>
    <cellStyle name="Standaard 29 2 7 3 2 2" xfId="33390"/>
    <cellStyle name="Standaard 29 2 7 3 3" xfId="33391"/>
    <cellStyle name="Standaard 29 2 7 4" xfId="33392"/>
    <cellStyle name="Standaard 29 2 7 4 2" xfId="33393"/>
    <cellStyle name="Standaard 29 2 7 5" xfId="33394"/>
    <cellStyle name="Standaard 29 2 7 6" xfId="33395"/>
    <cellStyle name="Standaard 29 2 8" xfId="33396"/>
    <cellStyle name="Standaard 29 2 8 2" xfId="33397"/>
    <cellStyle name="Standaard 29 2 8 2 2" xfId="33398"/>
    <cellStyle name="Standaard 29 2 8 2 2 2" xfId="33399"/>
    <cellStyle name="Standaard 29 2 8 2 3" xfId="33400"/>
    <cellStyle name="Standaard 29 2 8 3" xfId="33401"/>
    <cellStyle name="Standaard 29 2 8 3 2" xfId="33402"/>
    <cellStyle name="Standaard 29 2 8 4" xfId="33403"/>
    <cellStyle name="Standaard 29 2 9" xfId="33404"/>
    <cellStyle name="Standaard 29 2 9 2" xfId="33405"/>
    <cellStyle name="Standaard 29 2 9 2 2" xfId="33406"/>
    <cellStyle name="Standaard 29 2 9 3" xfId="33407"/>
    <cellStyle name="Standaard 29 3" xfId="33408"/>
    <cellStyle name="Standaard 29 3 10" xfId="33409"/>
    <cellStyle name="Standaard 29 3 11" xfId="33410"/>
    <cellStyle name="Standaard 29 3 2" xfId="33411"/>
    <cellStyle name="Standaard 29 3 2 2" xfId="33412"/>
    <cellStyle name="Standaard 29 3 2 2 2" xfId="33413"/>
    <cellStyle name="Standaard 29 3 2 2 2 2" xfId="33414"/>
    <cellStyle name="Standaard 29 3 2 2 2 2 2" xfId="33415"/>
    <cellStyle name="Standaard 29 3 2 2 2 2 2 2" xfId="33416"/>
    <cellStyle name="Standaard 29 3 2 2 2 2 2 2 2" xfId="33417"/>
    <cellStyle name="Standaard 29 3 2 2 2 2 2 2 2 2" xfId="33418"/>
    <cellStyle name="Standaard 29 3 2 2 2 2 2 2 3" xfId="33419"/>
    <cellStyle name="Standaard 29 3 2 2 2 2 2 3" xfId="33420"/>
    <cellStyle name="Standaard 29 3 2 2 2 2 2 3 2" xfId="33421"/>
    <cellStyle name="Standaard 29 3 2 2 2 2 2 4" xfId="33422"/>
    <cellStyle name="Standaard 29 3 2 2 2 2 3" xfId="33423"/>
    <cellStyle name="Standaard 29 3 2 2 2 2 3 2" xfId="33424"/>
    <cellStyle name="Standaard 29 3 2 2 2 2 3 2 2" xfId="33425"/>
    <cellStyle name="Standaard 29 3 2 2 2 2 3 3" xfId="33426"/>
    <cellStyle name="Standaard 29 3 2 2 2 2 4" xfId="33427"/>
    <cellStyle name="Standaard 29 3 2 2 2 2 4 2" xfId="33428"/>
    <cellStyle name="Standaard 29 3 2 2 2 2 5" xfId="33429"/>
    <cellStyle name="Standaard 29 3 2 2 2 2 6" xfId="33430"/>
    <cellStyle name="Standaard 29 3 2 2 2 3" xfId="33431"/>
    <cellStyle name="Standaard 29 3 2 2 2 3 2" xfId="33432"/>
    <cellStyle name="Standaard 29 3 2 2 2 3 2 2" xfId="33433"/>
    <cellStyle name="Standaard 29 3 2 2 2 3 2 2 2" xfId="33434"/>
    <cellStyle name="Standaard 29 3 2 2 2 3 2 3" xfId="33435"/>
    <cellStyle name="Standaard 29 3 2 2 2 3 3" xfId="33436"/>
    <cellStyle name="Standaard 29 3 2 2 2 3 3 2" xfId="33437"/>
    <cellStyle name="Standaard 29 3 2 2 2 3 4" xfId="33438"/>
    <cellStyle name="Standaard 29 3 2 2 2 4" xfId="33439"/>
    <cellStyle name="Standaard 29 3 2 2 2 4 2" xfId="33440"/>
    <cellStyle name="Standaard 29 3 2 2 2 4 2 2" xfId="33441"/>
    <cellStyle name="Standaard 29 3 2 2 2 4 3" xfId="33442"/>
    <cellStyle name="Standaard 29 3 2 2 2 5" xfId="33443"/>
    <cellStyle name="Standaard 29 3 2 2 2 5 2" xfId="33444"/>
    <cellStyle name="Standaard 29 3 2 2 2 6" xfId="33445"/>
    <cellStyle name="Standaard 29 3 2 2 2 7" xfId="33446"/>
    <cellStyle name="Standaard 29 3 2 2 3" xfId="33447"/>
    <cellStyle name="Standaard 29 3 2 2 3 2" xfId="33448"/>
    <cellStyle name="Standaard 29 3 2 2 3 2 2" xfId="33449"/>
    <cellStyle name="Standaard 29 3 2 2 3 2 2 2" xfId="33450"/>
    <cellStyle name="Standaard 29 3 2 2 3 2 2 2 2" xfId="33451"/>
    <cellStyle name="Standaard 29 3 2 2 3 2 2 3" xfId="33452"/>
    <cellStyle name="Standaard 29 3 2 2 3 2 3" xfId="33453"/>
    <cellStyle name="Standaard 29 3 2 2 3 2 3 2" xfId="33454"/>
    <cellStyle name="Standaard 29 3 2 2 3 2 4" xfId="33455"/>
    <cellStyle name="Standaard 29 3 2 2 3 3" xfId="33456"/>
    <cellStyle name="Standaard 29 3 2 2 3 3 2" xfId="33457"/>
    <cellStyle name="Standaard 29 3 2 2 3 3 2 2" xfId="33458"/>
    <cellStyle name="Standaard 29 3 2 2 3 3 3" xfId="33459"/>
    <cellStyle name="Standaard 29 3 2 2 3 4" xfId="33460"/>
    <cellStyle name="Standaard 29 3 2 2 3 4 2" xfId="33461"/>
    <cellStyle name="Standaard 29 3 2 2 3 5" xfId="33462"/>
    <cellStyle name="Standaard 29 3 2 2 3 6" xfId="33463"/>
    <cellStyle name="Standaard 29 3 2 2 4" xfId="33464"/>
    <cellStyle name="Standaard 29 3 2 2 4 2" xfId="33465"/>
    <cellStyle name="Standaard 29 3 2 2 4 2 2" xfId="33466"/>
    <cellStyle name="Standaard 29 3 2 2 4 2 2 2" xfId="33467"/>
    <cellStyle name="Standaard 29 3 2 2 4 2 3" xfId="33468"/>
    <cellStyle name="Standaard 29 3 2 2 4 3" xfId="33469"/>
    <cellStyle name="Standaard 29 3 2 2 4 3 2" xfId="33470"/>
    <cellStyle name="Standaard 29 3 2 2 4 4" xfId="33471"/>
    <cellStyle name="Standaard 29 3 2 2 5" xfId="33472"/>
    <cellStyle name="Standaard 29 3 2 2 5 2" xfId="33473"/>
    <cellStyle name="Standaard 29 3 2 2 5 2 2" xfId="33474"/>
    <cellStyle name="Standaard 29 3 2 2 5 3" xfId="33475"/>
    <cellStyle name="Standaard 29 3 2 2 6" xfId="33476"/>
    <cellStyle name="Standaard 29 3 2 2 6 2" xfId="33477"/>
    <cellStyle name="Standaard 29 3 2 2 7" xfId="33478"/>
    <cellStyle name="Standaard 29 3 2 2 8" xfId="33479"/>
    <cellStyle name="Standaard 29 3 2 3" xfId="33480"/>
    <cellStyle name="Standaard 29 3 2 3 2" xfId="33481"/>
    <cellStyle name="Standaard 29 3 2 3 2 2" xfId="33482"/>
    <cellStyle name="Standaard 29 3 2 3 2 2 2" xfId="33483"/>
    <cellStyle name="Standaard 29 3 2 3 2 2 2 2" xfId="33484"/>
    <cellStyle name="Standaard 29 3 2 3 2 2 2 2 2" xfId="33485"/>
    <cellStyle name="Standaard 29 3 2 3 2 2 2 3" xfId="33486"/>
    <cellStyle name="Standaard 29 3 2 3 2 2 3" xfId="33487"/>
    <cellStyle name="Standaard 29 3 2 3 2 2 3 2" xfId="33488"/>
    <cellStyle name="Standaard 29 3 2 3 2 2 4" xfId="33489"/>
    <cellStyle name="Standaard 29 3 2 3 2 3" xfId="33490"/>
    <cellStyle name="Standaard 29 3 2 3 2 3 2" xfId="33491"/>
    <cellStyle name="Standaard 29 3 2 3 2 3 2 2" xfId="33492"/>
    <cellStyle name="Standaard 29 3 2 3 2 3 3" xfId="33493"/>
    <cellStyle name="Standaard 29 3 2 3 2 4" xfId="33494"/>
    <cellStyle name="Standaard 29 3 2 3 2 4 2" xfId="33495"/>
    <cellStyle name="Standaard 29 3 2 3 2 5" xfId="33496"/>
    <cellStyle name="Standaard 29 3 2 3 2 6" xfId="33497"/>
    <cellStyle name="Standaard 29 3 2 3 3" xfId="33498"/>
    <cellStyle name="Standaard 29 3 2 3 3 2" xfId="33499"/>
    <cellStyle name="Standaard 29 3 2 3 3 2 2" xfId="33500"/>
    <cellStyle name="Standaard 29 3 2 3 3 2 2 2" xfId="33501"/>
    <cellStyle name="Standaard 29 3 2 3 3 2 3" xfId="33502"/>
    <cellStyle name="Standaard 29 3 2 3 3 3" xfId="33503"/>
    <cellStyle name="Standaard 29 3 2 3 3 3 2" xfId="33504"/>
    <cellStyle name="Standaard 29 3 2 3 3 4" xfId="33505"/>
    <cellStyle name="Standaard 29 3 2 3 4" xfId="33506"/>
    <cellStyle name="Standaard 29 3 2 3 4 2" xfId="33507"/>
    <cellStyle name="Standaard 29 3 2 3 4 2 2" xfId="33508"/>
    <cellStyle name="Standaard 29 3 2 3 4 3" xfId="33509"/>
    <cellStyle name="Standaard 29 3 2 3 5" xfId="33510"/>
    <cellStyle name="Standaard 29 3 2 3 5 2" xfId="33511"/>
    <cellStyle name="Standaard 29 3 2 3 6" xfId="33512"/>
    <cellStyle name="Standaard 29 3 2 3 7" xfId="33513"/>
    <cellStyle name="Standaard 29 3 2 4" xfId="33514"/>
    <cellStyle name="Standaard 29 3 2 4 2" xfId="33515"/>
    <cellStyle name="Standaard 29 3 2 4 2 2" xfId="33516"/>
    <cellStyle name="Standaard 29 3 2 4 2 2 2" xfId="33517"/>
    <cellStyle name="Standaard 29 3 2 4 2 2 2 2" xfId="33518"/>
    <cellStyle name="Standaard 29 3 2 4 2 2 3" xfId="33519"/>
    <cellStyle name="Standaard 29 3 2 4 2 3" xfId="33520"/>
    <cellStyle name="Standaard 29 3 2 4 2 3 2" xfId="33521"/>
    <cellStyle name="Standaard 29 3 2 4 2 4" xfId="33522"/>
    <cellStyle name="Standaard 29 3 2 4 3" xfId="33523"/>
    <cellStyle name="Standaard 29 3 2 4 3 2" xfId="33524"/>
    <cellStyle name="Standaard 29 3 2 4 3 2 2" xfId="33525"/>
    <cellStyle name="Standaard 29 3 2 4 3 3" xfId="33526"/>
    <cellStyle name="Standaard 29 3 2 4 4" xfId="33527"/>
    <cellStyle name="Standaard 29 3 2 4 4 2" xfId="33528"/>
    <cellStyle name="Standaard 29 3 2 4 5" xfId="33529"/>
    <cellStyle name="Standaard 29 3 2 4 6" xfId="33530"/>
    <cellStyle name="Standaard 29 3 2 5" xfId="33531"/>
    <cellStyle name="Standaard 29 3 2 5 2" xfId="33532"/>
    <cellStyle name="Standaard 29 3 2 5 2 2" xfId="33533"/>
    <cellStyle name="Standaard 29 3 2 5 2 2 2" xfId="33534"/>
    <cellStyle name="Standaard 29 3 2 5 2 3" xfId="33535"/>
    <cellStyle name="Standaard 29 3 2 5 3" xfId="33536"/>
    <cellStyle name="Standaard 29 3 2 5 3 2" xfId="33537"/>
    <cellStyle name="Standaard 29 3 2 5 4" xfId="33538"/>
    <cellStyle name="Standaard 29 3 2 6" xfId="33539"/>
    <cellStyle name="Standaard 29 3 2 6 2" xfId="33540"/>
    <cellStyle name="Standaard 29 3 2 6 2 2" xfId="33541"/>
    <cellStyle name="Standaard 29 3 2 6 3" xfId="33542"/>
    <cellStyle name="Standaard 29 3 2 7" xfId="33543"/>
    <cellStyle name="Standaard 29 3 2 7 2" xfId="33544"/>
    <cellStyle name="Standaard 29 3 2 8" xfId="33545"/>
    <cellStyle name="Standaard 29 3 2 9" xfId="33546"/>
    <cellStyle name="Standaard 29 3 3" xfId="33547"/>
    <cellStyle name="Standaard 29 3 3 2" xfId="33548"/>
    <cellStyle name="Standaard 29 3 3 2 2" xfId="33549"/>
    <cellStyle name="Standaard 29 3 3 2 2 2" xfId="33550"/>
    <cellStyle name="Standaard 29 3 3 2 2 2 2" xfId="33551"/>
    <cellStyle name="Standaard 29 3 3 2 2 2 2 2" xfId="33552"/>
    <cellStyle name="Standaard 29 3 3 2 2 2 2 2 2" xfId="33553"/>
    <cellStyle name="Standaard 29 3 3 2 2 2 2 3" xfId="33554"/>
    <cellStyle name="Standaard 29 3 3 2 2 2 3" xfId="33555"/>
    <cellStyle name="Standaard 29 3 3 2 2 2 3 2" xfId="33556"/>
    <cellStyle name="Standaard 29 3 3 2 2 2 4" xfId="33557"/>
    <cellStyle name="Standaard 29 3 3 2 2 3" xfId="33558"/>
    <cellStyle name="Standaard 29 3 3 2 2 3 2" xfId="33559"/>
    <cellStyle name="Standaard 29 3 3 2 2 3 2 2" xfId="33560"/>
    <cellStyle name="Standaard 29 3 3 2 2 3 3" xfId="33561"/>
    <cellStyle name="Standaard 29 3 3 2 2 4" xfId="33562"/>
    <cellStyle name="Standaard 29 3 3 2 2 4 2" xfId="33563"/>
    <cellStyle name="Standaard 29 3 3 2 2 5" xfId="33564"/>
    <cellStyle name="Standaard 29 3 3 2 2 6" xfId="33565"/>
    <cellStyle name="Standaard 29 3 3 2 3" xfId="33566"/>
    <cellStyle name="Standaard 29 3 3 2 3 2" xfId="33567"/>
    <cellStyle name="Standaard 29 3 3 2 3 2 2" xfId="33568"/>
    <cellStyle name="Standaard 29 3 3 2 3 2 2 2" xfId="33569"/>
    <cellStyle name="Standaard 29 3 3 2 3 2 3" xfId="33570"/>
    <cellStyle name="Standaard 29 3 3 2 3 3" xfId="33571"/>
    <cellStyle name="Standaard 29 3 3 2 3 3 2" xfId="33572"/>
    <cellStyle name="Standaard 29 3 3 2 3 4" xfId="33573"/>
    <cellStyle name="Standaard 29 3 3 2 4" xfId="33574"/>
    <cellStyle name="Standaard 29 3 3 2 4 2" xfId="33575"/>
    <cellStyle name="Standaard 29 3 3 2 4 2 2" xfId="33576"/>
    <cellStyle name="Standaard 29 3 3 2 4 3" xfId="33577"/>
    <cellStyle name="Standaard 29 3 3 2 5" xfId="33578"/>
    <cellStyle name="Standaard 29 3 3 2 5 2" xfId="33579"/>
    <cellStyle name="Standaard 29 3 3 2 6" xfId="33580"/>
    <cellStyle name="Standaard 29 3 3 2 7" xfId="33581"/>
    <cellStyle name="Standaard 29 3 3 3" xfId="33582"/>
    <cellStyle name="Standaard 29 3 3 3 2" xfId="33583"/>
    <cellStyle name="Standaard 29 3 3 3 2 2" xfId="33584"/>
    <cellStyle name="Standaard 29 3 3 3 2 2 2" xfId="33585"/>
    <cellStyle name="Standaard 29 3 3 3 2 2 2 2" xfId="33586"/>
    <cellStyle name="Standaard 29 3 3 3 2 2 3" xfId="33587"/>
    <cellStyle name="Standaard 29 3 3 3 2 3" xfId="33588"/>
    <cellStyle name="Standaard 29 3 3 3 2 3 2" xfId="33589"/>
    <cellStyle name="Standaard 29 3 3 3 2 4" xfId="33590"/>
    <cellStyle name="Standaard 29 3 3 3 3" xfId="33591"/>
    <cellStyle name="Standaard 29 3 3 3 3 2" xfId="33592"/>
    <cellStyle name="Standaard 29 3 3 3 3 2 2" xfId="33593"/>
    <cellStyle name="Standaard 29 3 3 3 3 3" xfId="33594"/>
    <cellStyle name="Standaard 29 3 3 3 4" xfId="33595"/>
    <cellStyle name="Standaard 29 3 3 3 4 2" xfId="33596"/>
    <cellStyle name="Standaard 29 3 3 3 5" xfId="33597"/>
    <cellStyle name="Standaard 29 3 3 3 6" xfId="33598"/>
    <cellStyle name="Standaard 29 3 3 4" xfId="33599"/>
    <cellStyle name="Standaard 29 3 3 4 2" xfId="33600"/>
    <cellStyle name="Standaard 29 3 3 4 2 2" xfId="33601"/>
    <cellStyle name="Standaard 29 3 3 4 2 2 2" xfId="33602"/>
    <cellStyle name="Standaard 29 3 3 4 2 3" xfId="33603"/>
    <cellStyle name="Standaard 29 3 3 4 3" xfId="33604"/>
    <cellStyle name="Standaard 29 3 3 4 3 2" xfId="33605"/>
    <cellStyle name="Standaard 29 3 3 4 4" xfId="33606"/>
    <cellStyle name="Standaard 29 3 3 5" xfId="33607"/>
    <cellStyle name="Standaard 29 3 3 5 2" xfId="33608"/>
    <cellStyle name="Standaard 29 3 3 5 2 2" xfId="33609"/>
    <cellStyle name="Standaard 29 3 3 5 3" xfId="33610"/>
    <cellStyle name="Standaard 29 3 3 6" xfId="33611"/>
    <cellStyle name="Standaard 29 3 3 6 2" xfId="33612"/>
    <cellStyle name="Standaard 29 3 3 7" xfId="33613"/>
    <cellStyle name="Standaard 29 3 3 8" xfId="33614"/>
    <cellStyle name="Standaard 29 3 4" xfId="33615"/>
    <cellStyle name="Standaard 29 3 4 2" xfId="33616"/>
    <cellStyle name="Standaard 29 3 4 2 2" xfId="33617"/>
    <cellStyle name="Standaard 29 3 4 2 2 2" xfId="33618"/>
    <cellStyle name="Standaard 29 3 4 2 2 2 2" xfId="33619"/>
    <cellStyle name="Standaard 29 3 4 2 2 2 2 2" xfId="33620"/>
    <cellStyle name="Standaard 29 3 4 2 2 2 2 2 2" xfId="33621"/>
    <cellStyle name="Standaard 29 3 4 2 2 2 2 3" xfId="33622"/>
    <cellStyle name="Standaard 29 3 4 2 2 2 3" xfId="33623"/>
    <cellStyle name="Standaard 29 3 4 2 2 2 3 2" xfId="33624"/>
    <cellStyle name="Standaard 29 3 4 2 2 2 4" xfId="33625"/>
    <cellStyle name="Standaard 29 3 4 2 2 3" xfId="33626"/>
    <cellStyle name="Standaard 29 3 4 2 2 3 2" xfId="33627"/>
    <cellStyle name="Standaard 29 3 4 2 2 3 2 2" xfId="33628"/>
    <cellStyle name="Standaard 29 3 4 2 2 3 3" xfId="33629"/>
    <cellStyle name="Standaard 29 3 4 2 2 4" xfId="33630"/>
    <cellStyle name="Standaard 29 3 4 2 2 4 2" xfId="33631"/>
    <cellStyle name="Standaard 29 3 4 2 2 5" xfId="33632"/>
    <cellStyle name="Standaard 29 3 4 2 2 6" xfId="33633"/>
    <cellStyle name="Standaard 29 3 4 2 3" xfId="33634"/>
    <cellStyle name="Standaard 29 3 4 2 3 2" xfId="33635"/>
    <cellStyle name="Standaard 29 3 4 2 3 2 2" xfId="33636"/>
    <cellStyle name="Standaard 29 3 4 2 3 2 2 2" xfId="33637"/>
    <cellStyle name="Standaard 29 3 4 2 3 2 3" xfId="33638"/>
    <cellStyle name="Standaard 29 3 4 2 3 3" xfId="33639"/>
    <cellStyle name="Standaard 29 3 4 2 3 3 2" xfId="33640"/>
    <cellStyle name="Standaard 29 3 4 2 3 4" xfId="33641"/>
    <cellStyle name="Standaard 29 3 4 2 4" xfId="33642"/>
    <cellStyle name="Standaard 29 3 4 2 4 2" xfId="33643"/>
    <cellStyle name="Standaard 29 3 4 2 4 2 2" xfId="33644"/>
    <cellStyle name="Standaard 29 3 4 2 4 3" xfId="33645"/>
    <cellStyle name="Standaard 29 3 4 2 5" xfId="33646"/>
    <cellStyle name="Standaard 29 3 4 2 5 2" xfId="33647"/>
    <cellStyle name="Standaard 29 3 4 2 6" xfId="33648"/>
    <cellStyle name="Standaard 29 3 4 2 7" xfId="33649"/>
    <cellStyle name="Standaard 29 3 4 3" xfId="33650"/>
    <cellStyle name="Standaard 29 3 4 3 2" xfId="33651"/>
    <cellStyle name="Standaard 29 3 4 3 2 2" xfId="33652"/>
    <cellStyle name="Standaard 29 3 4 3 2 2 2" xfId="33653"/>
    <cellStyle name="Standaard 29 3 4 3 2 2 2 2" xfId="33654"/>
    <cellStyle name="Standaard 29 3 4 3 2 2 3" xfId="33655"/>
    <cellStyle name="Standaard 29 3 4 3 2 3" xfId="33656"/>
    <cellStyle name="Standaard 29 3 4 3 2 3 2" xfId="33657"/>
    <cellStyle name="Standaard 29 3 4 3 2 4" xfId="33658"/>
    <cellStyle name="Standaard 29 3 4 3 3" xfId="33659"/>
    <cellStyle name="Standaard 29 3 4 3 3 2" xfId="33660"/>
    <cellStyle name="Standaard 29 3 4 3 3 2 2" xfId="33661"/>
    <cellStyle name="Standaard 29 3 4 3 3 3" xfId="33662"/>
    <cellStyle name="Standaard 29 3 4 3 4" xfId="33663"/>
    <cellStyle name="Standaard 29 3 4 3 4 2" xfId="33664"/>
    <cellStyle name="Standaard 29 3 4 3 5" xfId="33665"/>
    <cellStyle name="Standaard 29 3 4 3 6" xfId="33666"/>
    <cellStyle name="Standaard 29 3 4 4" xfId="33667"/>
    <cellStyle name="Standaard 29 3 4 4 2" xfId="33668"/>
    <cellStyle name="Standaard 29 3 4 4 2 2" xfId="33669"/>
    <cellStyle name="Standaard 29 3 4 4 2 2 2" xfId="33670"/>
    <cellStyle name="Standaard 29 3 4 4 2 3" xfId="33671"/>
    <cellStyle name="Standaard 29 3 4 4 3" xfId="33672"/>
    <cellStyle name="Standaard 29 3 4 4 3 2" xfId="33673"/>
    <cellStyle name="Standaard 29 3 4 4 4" xfId="33674"/>
    <cellStyle name="Standaard 29 3 4 5" xfId="33675"/>
    <cellStyle name="Standaard 29 3 4 5 2" xfId="33676"/>
    <cellStyle name="Standaard 29 3 4 5 2 2" xfId="33677"/>
    <cellStyle name="Standaard 29 3 4 5 3" xfId="33678"/>
    <cellStyle name="Standaard 29 3 4 6" xfId="33679"/>
    <cellStyle name="Standaard 29 3 4 6 2" xfId="33680"/>
    <cellStyle name="Standaard 29 3 4 7" xfId="33681"/>
    <cellStyle name="Standaard 29 3 4 8" xfId="33682"/>
    <cellStyle name="Standaard 29 3 5" xfId="33683"/>
    <cellStyle name="Standaard 29 3 5 2" xfId="33684"/>
    <cellStyle name="Standaard 29 3 5 2 2" xfId="33685"/>
    <cellStyle name="Standaard 29 3 5 2 2 2" xfId="33686"/>
    <cellStyle name="Standaard 29 3 5 2 2 2 2" xfId="33687"/>
    <cellStyle name="Standaard 29 3 5 2 2 2 2 2" xfId="33688"/>
    <cellStyle name="Standaard 29 3 5 2 2 2 3" xfId="33689"/>
    <cellStyle name="Standaard 29 3 5 2 2 3" xfId="33690"/>
    <cellStyle name="Standaard 29 3 5 2 2 3 2" xfId="33691"/>
    <cellStyle name="Standaard 29 3 5 2 2 4" xfId="33692"/>
    <cellStyle name="Standaard 29 3 5 2 3" xfId="33693"/>
    <cellStyle name="Standaard 29 3 5 2 3 2" xfId="33694"/>
    <cellStyle name="Standaard 29 3 5 2 3 2 2" xfId="33695"/>
    <cellStyle name="Standaard 29 3 5 2 3 3" xfId="33696"/>
    <cellStyle name="Standaard 29 3 5 2 4" xfId="33697"/>
    <cellStyle name="Standaard 29 3 5 2 4 2" xfId="33698"/>
    <cellStyle name="Standaard 29 3 5 2 5" xfId="33699"/>
    <cellStyle name="Standaard 29 3 5 2 6" xfId="33700"/>
    <cellStyle name="Standaard 29 3 5 3" xfId="33701"/>
    <cellStyle name="Standaard 29 3 5 3 2" xfId="33702"/>
    <cellStyle name="Standaard 29 3 5 3 2 2" xfId="33703"/>
    <cellStyle name="Standaard 29 3 5 3 2 2 2" xfId="33704"/>
    <cellStyle name="Standaard 29 3 5 3 2 3" xfId="33705"/>
    <cellStyle name="Standaard 29 3 5 3 3" xfId="33706"/>
    <cellStyle name="Standaard 29 3 5 3 3 2" xfId="33707"/>
    <cellStyle name="Standaard 29 3 5 3 4" xfId="33708"/>
    <cellStyle name="Standaard 29 3 5 4" xfId="33709"/>
    <cellStyle name="Standaard 29 3 5 4 2" xfId="33710"/>
    <cellStyle name="Standaard 29 3 5 4 2 2" xfId="33711"/>
    <cellStyle name="Standaard 29 3 5 4 3" xfId="33712"/>
    <cellStyle name="Standaard 29 3 5 5" xfId="33713"/>
    <cellStyle name="Standaard 29 3 5 5 2" xfId="33714"/>
    <cellStyle name="Standaard 29 3 5 6" xfId="33715"/>
    <cellStyle name="Standaard 29 3 5 7" xfId="33716"/>
    <cellStyle name="Standaard 29 3 6" xfId="33717"/>
    <cellStyle name="Standaard 29 3 6 2" xfId="33718"/>
    <cellStyle name="Standaard 29 3 6 2 2" xfId="33719"/>
    <cellStyle name="Standaard 29 3 6 2 2 2" xfId="33720"/>
    <cellStyle name="Standaard 29 3 6 2 2 2 2" xfId="33721"/>
    <cellStyle name="Standaard 29 3 6 2 2 3" xfId="33722"/>
    <cellStyle name="Standaard 29 3 6 2 3" xfId="33723"/>
    <cellStyle name="Standaard 29 3 6 2 3 2" xfId="33724"/>
    <cellStyle name="Standaard 29 3 6 2 4" xfId="33725"/>
    <cellStyle name="Standaard 29 3 6 3" xfId="33726"/>
    <cellStyle name="Standaard 29 3 6 3 2" xfId="33727"/>
    <cellStyle name="Standaard 29 3 6 3 2 2" xfId="33728"/>
    <cellStyle name="Standaard 29 3 6 3 3" xfId="33729"/>
    <cellStyle name="Standaard 29 3 6 4" xfId="33730"/>
    <cellStyle name="Standaard 29 3 6 4 2" xfId="33731"/>
    <cellStyle name="Standaard 29 3 6 5" xfId="33732"/>
    <cellStyle name="Standaard 29 3 6 6" xfId="33733"/>
    <cellStyle name="Standaard 29 3 7" xfId="33734"/>
    <cellStyle name="Standaard 29 3 7 2" xfId="33735"/>
    <cellStyle name="Standaard 29 3 7 2 2" xfId="33736"/>
    <cellStyle name="Standaard 29 3 7 2 2 2" xfId="33737"/>
    <cellStyle name="Standaard 29 3 7 2 3" xfId="33738"/>
    <cellStyle name="Standaard 29 3 7 3" xfId="33739"/>
    <cellStyle name="Standaard 29 3 7 3 2" xfId="33740"/>
    <cellStyle name="Standaard 29 3 7 4" xfId="33741"/>
    <cellStyle name="Standaard 29 3 8" xfId="33742"/>
    <cellStyle name="Standaard 29 3 8 2" xfId="33743"/>
    <cellStyle name="Standaard 29 3 8 2 2" xfId="33744"/>
    <cellStyle name="Standaard 29 3 8 3" xfId="33745"/>
    <cellStyle name="Standaard 29 3 9" xfId="33746"/>
    <cellStyle name="Standaard 29 3 9 2" xfId="33747"/>
    <cellStyle name="Standaard 29 4" xfId="33748"/>
    <cellStyle name="Standaard 29 4 2" xfId="33749"/>
    <cellStyle name="Standaard 29 4 2 2" xfId="33750"/>
    <cellStyle name="Standaard 29 4 2 2 2" xfId="33751"/>
    <cellStyle name="Standaard 29 4 2 2 2 2" xfId="33752"/>
    <cellStyle name="Standaard 29 4 2 2 2 2 2" xfId="33753"/>
    <cellStyle name="Standaard 29 4 2 2 2 2 2 2" xfId="33754"/>
    <cellStyle name="Standaard 29 4 2 2 2 2 2 2 2" xfId="33755"/>
    <cellStyle name="Standaard 29 4 2 2 2 2 2 3" xfId="33756"/>
    <cellStyle name="Standaard 29 4 2 2 2 2 3" xfId="33757"/>
    <cellStyle name="Standaard 29 4 2 2 2 2 3 2" xfId="33758"/>
    <cellStyle name="Standaard 29 4 2 2 2 2 4" xfId="33759"/>
    <cellStyle name="Standaard 29 4 2 2 2 3" xfId="33760"/>
    <cellStyle name="Standaard 29 4 2 2 2 3 2" xfId="33761"/>
    <cellStyle name="Standaard 29 4 2 2 2 3 2 2" xfId="33762"/>
    <cellStyle name="Standaard 29 4 2 2 2 3 3" xfId="33763"/>
    <cellStyle name="Standaard 29 4 2 2 2 4" xfId="33764"/>
    <cellStyle name="Standaard 29 4 2 2 2 4 2" xfId="33765"/>
    <cellStyle name="Standaard 29 4 2 2 2 5" xfId="33766"/>
    <cellStyle name="Standaard 29 4 2 2 2 6" xfId="33767"/>
    <cellStyle name="Standaard 29 4 2 2 3" xfId="33768"/>
    <cellStyle name="Standaard 29 4 2 2 3 2" xfId="33769"/>
    <cellStyle name="Standaard 29 4 2 2 3 2 2" xfId="33770"/>
    <cellStyle name="Standaard 29 4 2 2 3 2 2 2" xfId="33771"/>
    <cellStyle name="Standaard 29 4 2 2 3 2 3" xfId="33772"/>
    <cellStyle name="Standaard 29 4 2 2 3 3" xfId="33773"/>
    <cellStyle name="Standaard 29 4 2 2 3 3 2" xfId="33774"/>
    <cellStyle name="Standaard 29 4 2 2 3 4" xfId="33775"/>
    <cellStyle name="Standaard 29 4 2 2 4" xfId="33776"/>
    <cellStyle name="Standaard 29 4 2 2 4 2" xfId="33777"/>
    <cellStyle name="Standaard 29 4 2 2 4 2 2" xfId="33778"/>
    <cellStyle name="Standaard 29 4 2 2 4 3" xfId="33779"/>
    <cellStyle name="Standaard 29 4 2 2 5" xfId="33780"/>
    <cellStyle name="Standaard 29 4 2 2 5 2" xfId="33781"/>
    <cellStyle name="Standaard 29 4 2 2 6" xfId="33782"/>
    <cellStyle name="Standaard 29 4 2 2 7" xfId="33783"/>
    <cellStyle name="Standaard 29 4 2 3" xfId="33784"/>
    <cellStyle name="Standaard 29 4 2 3 2" xfId="33785"/>
    <cellStyle name="Standaard 29 4 2 3 2 2" xfId="33786"/>
    <cellStyle name="Standaard 29 4 2 3 2 2 2" xfId="33787"/>
    <cellStyle name="Standaard 29 4 2 3 2 2 2 2" xfId="33788"/>
    <cellStyle name="Standaard 29 4 2 3 2 2 3" xfId="33789"/>
    <cellStyle name="Standaard 29 4 2 3 2 3" xfId="33790"/>
    <cellStyle name="Standaard 29 4 2 3 2 3 2" xfId="33791"/>
    <cellStyle name="Standaard 29 4 2 3 2 4" xfId="33792"/>
    <cellStyle name="Standaard 29 4 2 3 3" xfId="33793"/>
    <cellStyle name="Standaard 29 4 2 3 3 2" xfId="33794"/>
    <cellStyle name="Standaard 29 4 2 3 3 2 2" xfId="33795"/>
    <cellStyle name="Standaard 29 4 2 3 3 3" xfId="33796"/>
    <cellStyle name="Standaard 29 4 2 3 4" xfId="33797"/>
    <cellStyle name="Standaard 29 4 2 3 4 2" xfId="33798"/>
    <cellStyle name="Standaard 29 4 2 3 5" xfId="33799"/>
    <cellStyle name="Standaard 29 4 2 3 6" xfId="33800"/>
    <cellStyle name="Standaard 29 4 2 4" xfId="33801"/>
    <cellStyle name="Standaard 29 4 2 4 2" xfId="33802"/>
    <cellStyle name="Standaard 29 4 2 4 2 2" xfId="33803"/>
    <cellStyle name="Standaard 29 4 2 4 2 2 2" xfId="33804"/>
    <cellStyle name="Standaard 29 4 2 4 2 3" xfId="33805"/>
    <cellStyle name="Standaard 29 4 2 4 3" xfId="33806"/>
    <cellStyle name="Standaard 29 4 2 4 3 2" xfId="33807"/>
    <cellStyle name="Standaard 29 4 2 4 4" xfId="33808"/>
    <cellStyle name="Standaard 29 4 2 5" xfId="33809"/>
    <cellStyle name="Standaard 29 4 2 5 2" xfId="33810"/>
    <cellStyle name="Standaard 29 4 2 5 2 2" xfId="33811"/>
    <cellStyle name="Standaard 29 4 2 5 3" xfId="33812"/>
    <cellStyle name="Standaard 29 4 2 6" xfId="33813"/>
    <cellStyle name="Standaard 29 4 2 6 2" xfId="33814"/>
    <cellStyle name="Standaard 29 4 2 7" xfId="33815"/>
    <cellStyle name="Standaard 29 4 2 8" xfId="33816"/>
    <cellStyle name="Standaard 29 4 3" xfId="33817"/>
    <cellStyle name="Standaard 29 4 3 2" xfId="33818"/>
    <cellStyle name="Standaard 29 4 3 2 2" xfId="33819"/>
    <cellStyle name="Standaard 29 4 3 2 2 2" xfId="33820"/>
    <cellStyle name="Standaard 29 4 3 2 2 2 2" xfId="33821"/>
    <cellStyle name="Standaard 29 4 3 2 2 2 2 2" xfId="33822"/>
    <cellStyle name="Standaard 29 4 3 2 2 2 3" xfId="33823"/>
    <cellStyle name="Standaard 29 4 3 2 2 3" xfId="33824"/>
    <cellStyle name="Standaard 29 4 3 2 2 3 2" xfId="33825"/>
    <cellStyle name="Standaard 29 4 3 2 2 4" xfId="33826"/>
    <cellStyle name="Standaard 29 4 3 2 3" xfId="33827"/>
    <cellStyle name="Standaard 29 4 3 2 3 2" xfId="33828"/>
    <cellStyle name="Standaard 29 4 3 2 3 2 2" xfId="33829"/>
    <cellStyle name="Standaard 29 4 3 2 3 3" xfId="33830"/>
    <cellStyle name="Standaard 29 4 3 2 4" xfId="33831"/>
    <cellStyle name="Standaard 29 4 3 2 4 2" xfId="33832"/>
    <cellStyle name="Standaard 29 4 3 2 5" xfId="33833"/>
    <cellStyle name="Standaard 29 4 3 2 6" xfId="33834"/>
    <cellStyle name="Standaard 29 4 3 3" xfId="33835"/>
    <cellStyle name="Standaard 29 4 3 3 2" xfId="33836"/>
    <cellStyle name="Standaard 29 4 3 3 2 2" xfId="33837"/>
    <cellStyle name="Standaard 29 4 3 3 2 2 2" xfId="33838"/>
    <cellStyle name="Standaard 29 4 3 3 2 3" xfId="33839"/>
    <cellStyle name="Standaard 29 4 3 3 3" xfId="33840"/>
    <cellStyle name="Standaard 29 4 3 3 3 2" xfId="33841"/>
    <cellStyle name="Standaard 29 4 3 3 4" xfId="33842"/>
    <cellStyle name="Standaard 29 4 3 4" xfId="33843"/>
    <cellStyle name="Standaard 29 4 3 4 2" xfId="33844"/>
    <cellStyle name="Standaard 29 4 3 4 2 2" xfId="33845"/>
    <cellStyle name="Standaard 29 4 3 4 3" xfId="33846"/>
    <cellStyle name="Standaard 29 4 3 5" xfId="33847"/>
    <cellStyle name="Standaard 29 4 3 5 2" xfId="33848"/>
    <cellStyle name="Standaard 29 4 3 6" xfId="33849"/>
    <cellStyle name="Standaard 29 4 3 7" xfId="33850"/>
    <cellStyle name="Standaard 29 4 4" xfId="33851"/>
    <cellStyle name="Standaard 29 4 4 2" xfId="33852"/>
    <cellStyle name="Standaard 29 4 4 2 2" xfId="33853"/>
    <cellStyle name="Standaard 29 4 4 2 2 2" xfId="33854"/>
    <cellStyle name="Standaard 29 4 4 2 2 2 2" xfId="33855"/>
    <cellStyle name="Standaard 29 4 4 2 2 3" xfId="33856"/>
    <cellStyle name="Standaard 29 4 4 2 3" xfId="33857"/>
    <cellStyle name="Standaard 29 4 4 2 3 2" xfId="33858"/>
    <cellStyle name="Standaard 29 4 4 2 4" xfId="33859"/>
    <cellStyle name="Standaard 29 4 4 3" xfId="33860"/>
    <cellStyle name="Standaard 29 4 4 3 2" xfId="33861"/>
    <cellStyle name="Standaard 29 4 4 3 2 2" xfId="33862"/>
    <cellStyle name="Standaard 29 4 4 3 3" xfId="33863"/>
    <cellStyle name="Standaard 29 4 4 4" xfId="33864"/>
    <cellStyle name="Standaard 29 4 4 4 2" xfId="33865"/>
    <cellStyle name="Standaard 29 4 4 5" xfId="33866"/>
    <cellStyle name="Standaard 29 4 4 6" xfId="33867"/>
    <cellStyle name="Standaard 29 4 5" xfId="33868"/>
    <cellStyle name="Standaard 29 4 5 2" xfId="33869"/>
    <cellStyle name="Standaard 29 4 5 2 2" xfId="33870"/>
    <cellStyle name="Standaard 29 4 5 2 2 2" xfId="33871"/>
    <cellStyle name="Standaard 29 4 5 2 3" xfId="33872"/>
    <cellStyle name="Standaard 29 4 5 3" xfId="33873"/>
    <cellStyle name="Standaard 29 4 5 3 2" xfId="33874"/>
    <cellStyle name="Standaard 29 4 5 4" xfId="33875"/>
    <cellStyle name="Standaard 29 4 6" xfId="33876"/>
    <cellStyle name="Standaard 29 4 6 2" xfId="33877"/>
    <cellStyle name="Standaard 29 4 6 2 2" xfId="33878"/>
    <cellStyle name="Standaard 29 4 6 3" xfId="33879"/>
    <cellStyle name="Standaard 29 4 7" xfId="33880"/>
    <cellStyle name="Standaard 29 4 7 2" xfId="33881"/>
    <cellStyle name="Standaard 29 4 8" xfId="33882"/>
    <cellStyle name="Standaard 29 4 9" xfId="33883"/>
    <cellStyle name="Standaard 29 5" xfId="33884"/>
    <cellStyle name="Standaard 29 5 2" xfId="33885"/>
    <cellStyle name="Standaard 29 5 2 2" xfId="33886"/>
    <cellStyle name="Standaard 29 5 2 2 2" xfId="33887"/>
    <cellStyle name="Standaard 29 5 2 2 2 2" xfId="33888"/>
    <cellStyle name="Standaard 29 5 2 2 2 2 2" xfId="33889"/>
    <cellStyle name="Standaard 29 5 2 2 2 2 2 2" xfId="33890"/>
    <cellStyle name="Standaard 29 5 2 2 2 2 3" xfId="33891"/>
    <cellStyle name="Standaard 29 5 2 2 2 3" xfId="33892"/>
    <cellStyle name="Standaard 29 5 2 2 2 3 2" xfId="33893"/>
    <cellStyle name="Standaard 29 5 2 2 2 4" xfId="33894"/>
    <cellStyle name="Standaard 29 5 2 2 3" xfId="33895"/>
    <cellStyle name="Standaard 29 5 2 2 3 2" xfId="33896"/>
    <cellStyle name="Standaard 29 5 2 2 3 2 2" xfId="33897"/>
    <cellStyle name="Standaard 29 5 2 2 3 3" xfId="33898"/>
    <cellStyle name="Standaard 29 5 2 2 4" xfId="33899"/>
    <cellStyle name="Standaard 29 5 2 2 4 2" xfId="33900"/>
    <cellStyle name="Standaard 29 5 2 2 5" xfId="33901"/>
    <cellStyle name="Standaard 29 5 2 2 6" xfId="33902"/>
    <cellStyle name="Standaard 29 5 2 3" xfId="33903"/>
    <cellStyle name="Standaard 29 5 2 3 2" xfId="33904"/>
    <cellStyle name="Standaard 29 5 2 3 2 2" xfId="33905"/>
    <cellStyle name="Standaard 29 5 2 3 2 2 2" xfId="33906"/>
    <cellStyle name="Standaard 29 5 2 3 2 3" xfId="33907"/>
    <cellStyle name="Standaard 29 5 2 3 3" xfId="33908"/>
    <cellStyle name="Standaard 29 5 2 3 3 2" xfId="33909"/>
    <cellStyle name="Standaard 29 5 2 3 4" xfId="33910"/>
    <cellStyle name="Standaard 29 5 2 4" xfId="33911"/>
    <cellStyle name="Standaard 29 5 2 4 2" xfId="33912"/>
    <cellStyle name="Standaard 29 5 2 4 2 2" xfId="33913"/>
    <cellStyle name="Standaard 29 5 2 4 3" xfId="33914"/>
    <cellStyle name="Standaard 29 5 2 5" xfId="33915"/>
    <cellStyle name="Standaard 29 5 2 5 2" xfId="33916"/>
    <cellStyle name="Standaard 29 5 2 6" xfId="33917"/>
    <cellStyle name="Standaard 29 5 2 7" xfId="33918"/>
    <cellStyle name="Standaard 29 5 3" xfId="33919"/>
    <cellStyle name="Standaard 29 5 3 2" xfId="33920"/>
    <cellStyle name="Standaard 29 5 3 2 2" xfId="33921"/>
    <cellStyle name="Standaard 29 5 3 2 2 2" xfId="33922"/>
    <cellStyle name="Standaard 29 5 3 2 2 2 2" xfId="33923"/>
    <cellStyle name="Standaard 29 5 3 2 2 3" xfId="33924"/>
    <cellStyle name="Standaard 29 5 3 2 3" xfId="33925"/>
    <cellStyle name="Standaard 29 5 3 2 3 2" xfId="33926"/>
    <cellStyle name="Standaard 29 5 3 2 4" xfId="33927"/>
    <cellStyle name="Standaard 29 5 3 3" xfId="33928"/>
    <cellStyle name="Standaard 29 5 3 3 2" xfId="33929"/>
    <cellStyle name="Standaard 29 5 3 3 2 2" xfId="33930"/>
    <cellStyle name="Standaard 29 5 3 3 3" xfId="33931"/>
    <cellStyle name="Standaard 29 5 3 4" xfId="33932"/>
    <cellStyle name="Standaard 29 5 3 4 2" xfId="33933"/>
    <cellStyle name="Standaard 29 5 3 5" xfId="33934"/>
    <cellStyle name="Standaard 29 5 3 6" xfId="33935"/>
    <cellStyle name="Standaard 29 5 4" xfId="33936"/>
    <cellStyle name="Standaard 29 5 4 2" xfId="33937"/>
    <cellStyle name="Standaard 29 5 4 2 2" xfId="33938"/>
    <cellStyle name="Standaard 29 5 4 2 2 2" xfId="33939"/>
    <cellStyle name="Standaard 29 5 4 2 3" xfId="33940"/>
    <cellStyle name="Standaard 29 5 4 3" xfId="33941"/>
    <cellStyle name="Standaard 29 5 4 3 2" xfId="33942"/>
    <cellStyle name="Standaard 29 5 4 4" xfId="33943"/>
    <cellStyle name="Standaard 29 5 5" xfId="33944"/>
    <cellStyle name="Standaard 29 5 5 2" xfId="33945"/>
    <cellStyle name="Standaard 29 5 5 2 2" xfId="33946"/>
    <cellStyle name="Standaard 29 5 5 3" xfId="33947"/>
    <cellStyle name="Standaard 29 5 6" xfId="33948"/>
    <cellStyle name="Standaard 29 5 6 2" xfId="33949"/>
    <cellStyle name="Standaard 29 5 7" xfId="33950"/>
    <cellStyle name="Standaard 29 5 8" xfId="33951"/>
    <cellStyle name="Standaard 29 6" xfId="33952"/>
    <cellStyle name="Standaard 29 6 2" xfId="33953"/>
    <cellStyle name="Standaard 29 6 2 2" xfId="33954"/>
    <cellStyle name="Standaard 29 6 2 2 2" xfId="33955"/>
    <cellStyle name="Standaard 29 6 2 2 2 2" xfId="33956"/>
    <cellStyle name="Standaard 29 6 2 2 2 2 2" xfId="33957"/>
    <cellStyle name="Standaard 29 6 2 2 2 2 2 2" xfId="33958"/>
    <cellStyle name="Standaard 29 6 2 2 2 2 3" xfId="33959"/>
    <cellStyle name="Standaard 29 6 2 2 2 3" xfId="33960"/>
    <cellStyle name="Standaard 29 6 2 2 2 3 2" xfId="33961"/>
    <cellStyle name="Standaard 29 6 2 2 2 4" xfId="33962"/>
    <cellStyle name="Standaard 29 6 2 2 3" xfId="33963"/>
    <cellStyle name="Standaard 29 6 2 2 3 2" xfId="33964"/>
    <cellStyle name="Standaard 29 6 2 2 3 2 2" xfId="33965"/>
    <cellStyle name="Standaard 29 6 2 2 3 3" xfId="33966"/>
    <cellStyle name="Standaard 29 6 2 2 4" xfId="33967"/>
    <cellStyle name="Standaard 29 6 2 2 4 2" xfId="33968"/>
    <cellStyle name="Standaard 29 6 2 2 5" xfId="33969"/>
    <cellStyle name="Standaard 29 6 2 2 6" xfId="33970"/>
    <cellStyle name="Standaard 29 6 2 3" xfId="33971"/>
    <cellStyle name="Standaard 29 6 2 3 2" xfId="33972"/>
    <cellStyle name="Standaard 29 6 2 3 2 2" xfId="33973"/>
    <cellStyle name="Standaard 29 6 2 3 2 2 2" xfId="33974"/>
    <cellStyle name="Standaard 29 6 2 3 2 3" xfId="33975"/>
    <cellStyle name="Standaard 29 6 2 3 3" xfId="33976"/>
    <cellStyle name="Standaard 29 6 2 3 3 2" xfId="33977"/>
    <cellStyle name="Standaard 29 6 2 3 4" xfId="33978"/>
    <cellStyle name="Standaard 29 6 2 4" xfId="33979"/>
    <cellStyle name="Standaard 29 6 2 4 2" xfId="33980"/>
    <cellStyle name="Standaard 29 6 2 4 2 2" xfId="33981"/>
    <cellStyle name="Standaard 29 6 2 4 3" xfId="33982"/>
    <cellStyle name="Standaard 29 6 2 5" xfId="33983"/>
    <cellStyle name="Standaard 29 6 2 5 2" xfId="33984"/>
    <cellStyle name="Standaard 29 6 2 6" xfId="33985"/>
    <cellStyle name="Standaard 29 6 2 7" xfId="33986"/>
    <cellStyle name="Standaard 29 6 3" xfId="33987"/>
    <cellStyle name="Standaard 29 6 3 2" xfId="33988"/>
    <cellStyle name="Standaard 29 6 3 2 2" xfId="33989"/>
    <cellStyle name="Standaard 29 6 3 2 2 2" xfId="33990"/>
    <cellStyle name="Standaard 29 6 3 2 2 2 2" xfId="33991"/>
    <cellStyle name="Standaard 29 6 3 2 2 3" xfId="33992"/>
    <cellStyle name="Standaard 29 6 3 2 3" xfId="33993"/>
    <cellStyle name="Standaard 29 6 3 2 3 2" xfId="33994"/>
    <cellStyle name="Standaard 29 6 3 2 4" xfId="33995"/>
    <cellStyle name="Standaard 29 6 3 3" xfId="33996"/>
    <cellStyle name="Standaard 29 6 3 3 2" xfId="33997"/>
    <cellStyle name="Standaard 29 6 3 3 2 2" xfId="33998"/>
    <cellStyle name="Standaard 29 6 3 3 3" xfId="33999"/>
    <cellStyle name="Standaard 29 6 3 4" xfId="34000"/>
    <cellStyle name="Standaard 29 6 3 4 2" xfId="34001"/>
    <cellStyle name="Standaard 29 6 3 5" xfId="34002"/>
    <cellStyle name="Standaard 29 6 3 6" xfId="34003"/>
    <cellStyle name="Standaard 29 6 4" xfId="34004"/>
    <cellStyle name="Standaard 29 6 4 2" xfId="34005"/>
    <cellStyle name="Standaard 29 6 4 2 2" xfId="34006"/>
    <cellStyle name="Standaard 29 6 4 2 2 2" xfId="34007"/>
    <cellStyle name="Standaard 29 6 4 2 3" xfId="34008"/>
    <cellStyle name="Standaard 29 6 4 3" xfId="34009"/>
    <cellStyle name="Standaard 29 6 4 3 2" xfId="34010"/>
    <cellStyle name="Standaard 29 6 4 4" xfId="34011"/>
    <cellStyle name="Standaard 29 6 5" xfId="34012"/>
    <cellStyle name="Standaard 29 6 5 2" xfId="34013"/>
    <cellStyle name="Standaard 29 6 5 2 2" xfId="34014"/>
    <cellStyle name="Standaard 29 6 5 3" xfId="34015"/>
    <cellStyle name="Standaard 29 6 6" xfId="34016"/>
    <cellStyle name="Standaard 29 6 6 2" xfId="34017"/>
    <cellStyle name="Standaard 29 6 7" xfId="34018"/>
    <cellStyle name="Standaard 29 6 8" xfId="34019"/>
    <cellStyle name="Standaard 29 7" xfId="34020"/>
    <cellStyle name="Standaard 29 7 2" xfId="34021"/>
    <cellStyle name="Standaard 29 7 2 2" xfId="34022"/>
    <cellStyle name="Standaard 29 7 2 2 2" xfId="34023"/>
    <cellStyle name="Standaard 29 7 2 2 2 2" xfId="34024"/>
    <cellStyle name="Standaard 29 7 2 2 2 2 2" xfId="34025"/>
    <cellStyle name="Standaard 29 7 2 2 2 3" xfId="34026"/>
    <cellStyle name="Standaard 29 7 2 2 3" xfId="34027"/>
    <cellStyle name="Standaard 29 7 2 2 3 2" xfId="34028"/>
    <cellStyle name="Standaard 29 7 2 2 4" xfId="34029"/>
    <cellStyle name="Standaard 29 7 2 3" xfId="34030"/>
    <cellStyle name="Standaard 29 7 2 3 2" xfId="34031"/>
    <cellStyle name="Standaard 29 7 2 3 2 2" xfId="34032"/>
    <cellStyle name="Standaard 29 7 2 3 3" xfId="34033"/>
    <cellStyle name="Standaard 29 7 2 4" xfId="34034"/>
    <cellStyle name="Standaard 29 7 2 4 2" xfId="34035"/>
    <cellStyle name="Standaard 29 7 2 5" xfId="34036"/>
    <cellStyle name="Standaard 29 7 2 6" xfId="34037"/>
    <cellStyle name="Standaard 29 7 3" xfId="34038"/>
    <cellStyle name="Standaard 29 7 3 2" xfId="34039"/>
    <cellStyle name="Standaard 29 7 3 2 2" xfId="34040"/>
    <cellStyle name="Standaard 29 7 3 2 2 2" xfId="34041"/>
    <cellStyle name="Standaard 29 7 3 2 3" xfId="34042"/>
    <cellStyle name="Standaard 29 7 3 3" xfId="34043"/>
    <cellStyle name="Standaard 29 7 3 3 2" xfId="34044"/>
    <cellStyle name="Standaard 29 7 3 4" xfId="34045"/>
    <cellStyle name="Standaard 29 7 4" xfId="34046"/>
    <cellStyle name="Standaard 29 7 4 2" xfId="34047"/>
    <cellStyle name="Standaard 29 7 4 2 2" xfId="34048"/>
    <cellStyle name="Standaard 29 7 4 3" xfId="34049"/>
    <cellStyle name="Standaard 29 7 5" xfId="34050"/>
    <cellStyle name="Standaard 29 7 5 2" xfId="34051"/>
    <cellStyle name="Standaard 29 7 6" xfId="34052"/>
    <cellStyle name="Standaard 29 7 7" xfId="34053"/>
    <cellStyle name="Standaard 29 8" xfId="34054"/>
    <cellStyle name="Standaard 29 8 2" xfId="34055"/>
    <cellStyle name="Standaard 29 8 2 2" xfId="34056"/>
    <cellStyle name="Standaard 29 8 2 2 2" xfId="34057"/>
    <cellStyle name="Standaard 29 8 2 2 2 2" xfId="34058"/>
    <cellStyle name="Standaard 29 8 2 2 3" xfId="34059"/>
    <cellStyle name="Standaard 29 8 2 3" xfId="34060"/>
    <cellStyle name="Standaard 29 8 2 3 2" xfId="34061"/>
    <cellStyle name="Standaard 29 8 2 4" xfId="34062"/>
    <cellStyle name="Standaard 29 8 3" xfId="34063"/>
    <cellStyle name="Standaard 29 8 3 2" xfId="34064"/>
    <cellStyle name="Standaard 29 8 3 2 2" xfId="34065"/>
    <cellStyle name="Standaard 29 8 3 3" xfId="34066"/>
    <cellStyle name="Standaard 29 8 4" xfId="34067"/>
    <cellStyle name="Standaard 29 8 4 2" xfId="34068"/>
    <cellStyle name="Standaard 29 8 5" xfId="34069"/>
    <cellStyle name="Standaard 29 8 6" xfId="34070"/>
    <cellStyle name="Standaard 29 9" xfId="34071"/>
    <cellStyle name="Standaard 29 9 2" xfId="34072"/>
    <cellStyle name="Standaard 29 9 2 2" xfId="34073"/>
    <cellStyle name="Standaard 29 9 2 2 2" xfId="34074"/>
    <cellStyle name="Standaard 29 9 2 3" xfId="34075"/>
    <cellStyle name="Standaard 29 9 3" xfId="34076"/>
    <cellStyle name="Standaard 29 9 3 2" xfId="34077"/>
    <cellStyle name="Standaard 29 9 4" xfId="34078"/>
    <cellStyle name="Standaard 3" xfId="34079"/>
    <cellStyle name="Standaard 3 10" xfId="34080"/>
    <cellStyle name="Standaard 3 10 2" xfId="34081"/>
    <cellStyle name="Standaard 3 10 2 2" xfId="34082"/>
    <cellStyle name="Standaard 3 10 3" xfId="34083"/>
    <cellStyle name="Standaard 3 11" xfId="34084"/>
    <cellStyle name="Standaard 3 11 2" xfId="34085"/>
    <cellStyle name="Standaard 3 12" xfId="34086"/>
    <cellStyle name="Standaard 3 13" xfId="34087"/>
    <cellStyle name="Standaard 3 14" xfId="34088"/>
    <cellStyle name="Standaard 3 2" xfId="34089"/>
    <cellStyle name="Standaard 3 2 10" xfId="34090"/>
    <cellStyle name="Standaard 3 2 10 2" xfId="34091"/>
    <cellStyle name="Standaard 3 2 11" xfId="34092"/>
    <cellStyle name="Standaard 3 2 12" xfId="34093"/>
    <cellStyle name="Standaard 3 2 2" xfId="34094"/>
    <cellStyle name="Standaard 3 2 2 10" xfId="34095"/>
    <cellStyle name="Standaard 3 2 2 11" xfId="34096"/>
    <cellStyle name="Standaard 3 2 2 2" xfId="34097"/>
    <cellStyle name="Standaard 3 2 2 2 2" xfId="34098"/>
    <cellStyle name="Standaard 3 2 2 2 2 2" xfId="34099"/>
    <cellStyle name="Standaard 3 2 2 2 2 2 2" xfId="34100"/>
    <cellStyle name="Standaard 3 2 2 2 2 2 2 2" xfId="34101"/>
    <cellStyle name="Standaard 3 2 2 2 2 2 2 2 2" xfId="34102"/>
    <cellStyle name="Standaard 3 2 2 2 2 2 2 2 2 2" xfId="34103"/>
    <cellStyle name="Standaard 3 2 2 2 2 2 2 2 2 2 2" xfId="34104"/>
    <cellStyle name="Standaard 3 2 2 2 2 2 2 2 2 3" xfId="34105"/>
    <cellStyle name="Standaard 3 2 2 2 2 2 2 2 3" xfId="34106"/>
    <cellStyle name="Standaard 3 2 2 2 2 2 2 2 3 2" xfId="34107"/>
    <cellStyle name="Standaard 3 2 2 2 2 2 2 2 4" xfId="34108"/>
    <cellStyle name="Standaard 3 2 2 2 2 2 2 3" xfId="34109"/>
    <cellStyle name="Standaard 3 2 2 2 2 2 2 3 2" xfId="34110"/>
    <cellStyle name="Standaard 3 2 2 2 2 2 2 3 2 2" xfId="34111"/>
    <cellStyle name="Standaard 3 2 2 2 2 2 2 3 3" xfId="34112"/>
    <cellStyle name="Standaard 3 2 2 2 2 2 2 4" xfId="34113"/>
    <cellStyle name="Standaard 3 2 2 2 2 2 2 4 2" xfId="34114"/>
    <cellStyle name="Standaard 3 2 2 2 2 2 2 5" xfId="34115"/>
    <cellStyle name="Standaard 3 2 2 2 2 2 2 6" xfId="34116"/>
    <cellStyle name="Standaard 3 2 2 2 2 2 3" xfId="34117"/>
    <cellStyle name="Standaard 3 2 2 2 2 2 3 2" xfId="34118"/>
    <cellStyle name="Standaard 3 2 2 2 2 2 3 2 2" xfId="34119"/>
    <cellStyle name="Standaard 3 2 2 2 2 2 3 2 2 2" xfId="34120"/>
    <cellStyle name="Standaard 3 2 2 2 2 2 3 2 3" xfId="34121"/>
    <cellStyle name="Standaard 3 2 2 2 2 2 3 3" xfId="34122"/>
    <cellStyle name="Standaard 3 2 2 2 2 2 3 3 2" xfId="34123"/>
    <cellStyle name="Standaard 3 2 2 2 2 2 3 4" xfId="34124"/>
    <cellStyle name="Standaard 3 2 2 2 2 2 4" xfId="34125"/>
    <cellStyle name="Standaard 3 2 2 2 2 2 4 2" xfId="34126"/>
    <cellStyle name="Standaard 3 2 2 2 2 2 4 2 2" xfId="34127"/>
    <cellStyle name="Standaard 3 2 2 2 2 2 4 3" xfId="34128"/>
    <cellStyle name="Standaard 3 2 2 2 2 2 5" xfId="34129"/>
    <cellStyle name="Standaard 3 2 2 2 2 2 5 2" xfId="34130"/>
    <cellStyle name="Standaard 3 2 2 2 2 2 6" xfId="34131"/>
    <cellStyle name="Standaard 3 2 2 2 2 2 7" xfId="34132"/>
    <cellStyle name="Standaard 3 2 2 2 2 3" xfId="34133"/>
    <cellStyle name="Standaard 3 2 2 2 2 3 2" xfId="34134"/>
    <cellStyle name="Standaard 3 2 2 2 2 3 2 2" xfId="34135"/>
    <cellStyle name="Standaard 3 2 2 2 2 3 2 2 2" xfId="34136"/>
    <cellStyle name="Standaard 3 2 2 2 2 3 2 2 2 2" xfId="34137"/>
    <cellStyle name="Standaard 3 2 2 2 2 3 2 2 3" xfId="34138"/>
    <cellStyle name="Standaard 3 2 2 2 2 3 2 3" xfId="34139"/>
    <cellStyle name="Standaard 3 2 2 2 2 3 2 3 2" xfId="34140"/>
    <cellStyle name="Standaard 3 2 2 2 2 3 2 4" xfId="34141"/>
    <cellStyle name="Standaard 3 2 2 2 2 3 3" xfId="34142"/>
    <cellStyle name="Standaard 3 2 2 2 2 3 3 2" xfId="34143"/>
    <cellStyle name="Standaard 3 2 2 2 2 3 3 2 2" xfId="34144"/>
    <cellStyle name="Standaard 3 2 2 2 2 3 3 3" xfId="34145"/>
    <cellStyle name="Standaard 3 2 2 2 2 3 4" xfId="34146"/>
    <cellStyle name="Standaard 3 2 2 2 2 3 4 2" xfId="34147"/>
    <cellStyle name="Standaard 3 2 2 2 2 3 5" xfId="34148"/>
    <cellStyle name="Standaard 3 2 2 2 2 3 6" xfId="34149"/>
    <cellStyle name="Standaard 3 2 2 2 2 4" xfId="34150"/>
    <cellStyle name="Standaard 3 2 2 2 2 4 2" xfId="34151"/>
    <cellStyle name="Standaard 3 2 2 2 2 4 2 2" xfId="34152"/>
    <cellStyle name="Standaard 3 2 2 2 2 4 2 2 2" xfId="34153"/>
    <cellStyle name="Standaard 3 2 2 2 2 4 2 3" xfId="34154"/>
    <cellStyle name="Standaard 3 2 2 2 2 4 3" xfId="34155"/>
    <cellStyle name="Standaard 3 2 2 2 2 4 3 2" xfId="34156"/>
    <cellStyle name="Standaard 3 2 2 2 2 4 4" xfId="34157"/>
    <cellStyle name="Standaard 3 2 2 2 2 5" xfId="34158"/>
    <cellStyle name="Standaard 3 2 2 2 2 5 2" xfId="34159"/>
    <cellStyle name="Standaard 3 2 2 2 2 5 2 2" xfId="34160"/>
    <cellStyle name="Standaard 3 2 2 2 2 5 3" xfId="34161"/>
    <cellStyle name="Standaard 3 2 2 2 2 6" xfId="34162"/>
    <cellStyle name="Standaard 3 2 2 2 2 6 2" xfId="34163"/>
    <cellStyle name="Standaard 3 2 2 2 2 7" xfId="34164"/>
    <cellStyle name="Standaard 3 2 2 2 2 8" xfId="34165"/>
    <cellStyle name="Standaard 3 2 2 2 3" xfId="34166"/>
    <cellStyle name="Standaard 3 2 2 2 3 2" xfId="34167"/>
    <cellStyle name="Standaard 3 2 2 2 3 2 2" xfId="34168"/>
    <cellStyle name="Standaard 3 2 2 2 3 2 2 2" xfId="34169"/>
    <cellStyle name="Standaard 3 2 2 2 3 2 2 2 2" xfId="34170"/>
    <cellStyle name="Standaard 3 2 2 2 3 2 2 2 2 2" xfId="34171"/>
    <cellStyle name="Standaard 3 2 2 2 3 2 2 2 3" xfId="34172"/>
    <cellStyle name="Standaard 3 2 2 2 3 2 2 3" xfId="34173"/>
    <cellStyle name="Standaard 3 2 2 2 3 2 2 3 2" xfId="34174"/>
    <cellStyle name="Standaard 3 2 2 2 3 2 2 4" xfId="34175"/>
    <cellStyle name="Standaard 3 2 2 2 3 2 3" xfId="34176"/>
    <cellStyle name="Standaard 3 2 2 2 3 2 3 2" xfId="34177"/>
    <cellStyle name="Standaard 3 2 2 2 3 2 3 2 2" xfId="34178"/>
    <cellStyle name="Standaard 3 2 2 2 3 2 3 3" xfId="34179"/>
    <cellStyle name="Standaard 3 2 2 2 3 2 4" xfId="34180"/>
    <cellStyle name="Standaard 3 2 2 2 3 2 4 2" xfId="34181"/>
    <cellStyle name="Standaard 3 2 2 2 3 2 5" xfId="34182"/>
    <cellStyle name="Standaard 3 2 2 2 3 2 6" xfId="34183"/>
    <cellStyle name="Standaard 3 2 2 2 3 3" xfId="34184"/>
    <cellStyle name="Standaard 3 2 2 2 3 3 2" xfId="34185"/>
    <cellStyle name="Standaard 3 2 2 2 3 3 2 2" xfId="34186"/>
    <cellStyle name="Standaard 3 2 2 2 3 3 2 2 2" xfId="34187"/>
    <cellStyle name="Standaard 3 2 2 2 3 3 2 3" xfId="34188"/>
    <cellStyle name="Standaard 3 2 2 2 3 3 3" xfId="34189"/>
    <cellStyle name="Standaard 3 2 2 2 3 3 3 2" xfId="34190"/>
    <cellStyle name="Standaard 3 2 2 2 3 3 4" xfId="34191"/>
    <cellStyle name="Standaard 3 2 2 2 3 4" xfId="34192"/>
    <cellStyle name="Standaard 3 2 2 2 3 4 2" xfId="34193"/>
    <cellStyle name="Standaard 3 2 2 2 3 4 2 2" xfId="34194"/>
    <cellStyle name="Standaard 3 2 2 2 3 4 3" xfId="34195"/>
    <cellStyle name="Standaard 3 2 2 2 3 5" xfId="34196"/>
    <cellStyle name="Standaard 3 2 2 2 3 5 2" xfId="34197"/>
    <cellStyle name="Standaard 3 2 2 2 3 6" xfId="34198"/>
    <cellStyle name="Standaard 3 2 2 2 3 7" xfId="34199"/>
    <cellStyle name="Standaard 3 2 2 2 4" xfId="34200"/>
    <cellStyle name="Standaard 3 2 2 2 4 2" xfId="34201"/>
    <cellStyle name="Standaard 3 2 2 2 4 2 2" xfId="34202"/>
    <cellStyle name="Standaard 3 2 2 2 4 2 2 2" xfId="34203"/>
    <cellStyle name="Standaard 3 2 2 2 4 2 2 2 2" xfId="34204"/>
    <cellStyle name="Standaard 3 2 2 2 4 2 2 3" xfId="34205"/>
    <cellStyle name="Standaard 3 2 2 2 4 2 3" xfId="34206"/>
    <cellStyle name="Standaard 3 2 2 2 4 2 3 2" xfId="34207"/>
    <cellStyle name="Standaard 3 2 2 2 4 2 4" xfId="34208"/>
    <cellStyle name="Standaard 3 2 2 2 4 3" xfId="34209"/>
    <cellStyle name="Standaard 3 2 2 2 4 3 2" xfId="34210"/>
    <cellStyle name="Standaard 3 2 2 2 4 3 2 2" xfId="34211"/>
    <cellStyle name="Standaard 3 2 2 2 4 3 3" xfId="34212"/>
    <cellStyle name="Standaard 3 2 2 2 4 4" xfId="34213"/>
    <cellStyle name="Standaard 3 2 2 2 4 4 2" xfId="34214"/>
    <cellStyle name="Standaard 3 2 2 2 4 5" xfId="34215"/>
    <cellStyle name="Standaard 3 2 2 2 4 6" xfId="34216"/>
    <cellStyle name="Standaard 3 2 2 2 5" xfId="34217"/>
    <cellStyle name="Standaard 3 2 2 2 5 2" xfId="34218"/>
    <cellStyle name="Standaard 3 2 2 2 5 2 2" xfId="34219"/>
    <cellStyle name="Standaard 3 2 2 2 5 2 2 2" xfId="34220"/>
    <cellStyle name="Standaard 3 2 2 2 5 2 3" xfId="34221"/>
    <cellStyle name="Standaard 3 2 2 2 5 3" xfId="34222"/>
    <cellStyle name="Standaard 3 2 2 2 5 3 2" xfId="34223"/>
    <cellStyle name="Standaard 3 2 2 2 5 4" xfId="34224"/>
    <cellStyle name="Standaard 3 2 2 2 6" xfId="34225"/>
    <cellStyle name="Standaard 3 2 2 2 6 2" xfId="34226"/>
    <cellStyle name="Standaard 3 2 2 2 6 2 2" xfId="34227"/>
    <cellStyle name="Standaard 3 2 2 2 6 3" xfId="34228"/>
    <cellStyle name="Standaard 3 2 2 2 7" xfId="34229"/>
    <cellStyle name="Standaard 3 2 2 2 7 2" xfId="34230"/>
    <cellStyle name="Standaard 3 2 2 2 8" xfId="34231"/>
    <cellStyle name="Standaard 3 2 2 2 9" xfId="34232"/>
    <cellStyle name="Standaard 3 2 2 3" xfId="34233"/>
    <cellStyle name="Standaard 3 2 2 3 2" xfId="34234"/>
    <cellStyle name="Standaard 3 2 2 3 2 2" xfId="34235"/>
    <cellStyle name="Standaard 3 2 2 3 2 2 2" xfId="34236"/>
    <cellStyle name="Standaard 3 2 2 3 2 2 2 2" xfId="34237"/>
    <cellStyle name="Standaard 3 2 2 3 2 2 2 2 2" xfId="34238"/>
    <cellStyle name="Standaard 3 2 2 3 2 2 2 2 2 2" xfId="34239"/>
    <cellStyle name="Standaard 3 2 2 3 2 2 2 2 3" xfId="34240"/>
    <cellStyle name="Standaard 3 2 2 3 2 2 2 3" xfId="34241"/>
    <cellStyle name="Standaard 3 2 2 3 2 2 2 3 2" xfId="34242"/>
    <cellStyle name="Standaard 3 2 2 3 2 2 2 4" xfId="34243"/>
    <cellStyle name="Standaard 3 2 2 3 2 2 3" xfId="34244"/>
    <cellStyle name="Standaard 3 2 2 3 2 2 3 2" xfId="34245"/>
    <cellStyle name="Standaard 3 2 2 3 2 2 3 2 2" xfId="34246"/>
    <cellStyle name="Standaard 3 2 2 3 2 2 3 3" xfId="34247"/>
    <cellStyle name="Standaard 3 2 2 3 2 2 4" xfId="34248"/>
    <cellStyle name="Standaard 3 2 2 3 2 2 4 2" xfId="34249"/>
    <cellStyle name="Standaard 3 2 2 3 2 2 5" xfId="34250"/>
    <cellStyle name="Standaard 3 2 2 3 2 2 6" xfId="34251"/>
    <cellStyle name="Standaard 3 2 2 3 2 3" xfId="34252"/>
    <cellStyle name="Standaard 3 2 2 3 2 3 2" xfId="34253"/>
    <cellStyle name="Standaard 3 2 2 3 2 3 2 2" xfId="34254"/>
    <cellStyle name="Standaard 3 2 2 3 2 3 2 2 2" xfId="34255"/>
    <cellStyle name="Standaard 3 2 2 3 2 3 2 3" xfId="34256"/>
    <cellStyle name="Standaard 3 2 2 3 2 3 3" xfId="34257"/>
    <cellStyle name="Standaard 3 2 2 3 2 3 3 2" xfId="34258"/>
    <cellStyle name="Standaard 3 2 2 3 2 3 4" xfId="34259"/>
    <cellStyle name="Standaard 3 2 2 3 2 4" xfId="34260"/>
    <cellStyle name="Standaard 3 2 2 3 2 4 2" xfId="34261"/>
    <cellStyle name="Standaard 3 2 2 3 2 4 2 2" xfId="34262"/>
    <cellStyle name="Standaard 3 2 2 3 2 4 3" xfId="34263"/>
    <cellStyle name="Standaard 3 2 2 3 2 5" xfId="34264"/>
    <cellStyle name="Standaard 3 2 2 3 2 5 2" xfId="34265"/>
    <cellStyle name="Standaard 3 2 2 3 2 6" xfId="34266"/>
    <cellStyle name="Standaard 3 2 2 3 2 7" xfId="34267"/>
    <cellStyle name="Standaard 3 2 2 3 3" xfId="34268"/>
    <cellStyle name="Standaard 3 2 2 3 3 2" xfId="34269"/>
    <cellStyle name="Standaard 3 2 2 3 3 2 2" xfId="34270"/>
    <cellStyle name="Standaard 3 2 2 3 3 2 2 2" xfId="34271"/>
    <cellStyle name="Standaard 3 2 2 3 3 2 2 2 2" xfId="34272"/>
    <cellStyle name="Standaard 3 2 2 3 3 2 2 3" xfId="34273"/>
    <cellStyle name="Standaard 3 2 2 3 3 2 3" xfId="34274"/>
    <cellStyle name="Standaard 3 2 2 3 3 2 3 2" xfId="34275"/>
    <cellStyle name="Standaard 3 2 2 3 3 2 4" xfId="34276"/>
    <cellStyle name="Standaard 3 2 2 3 3 3" xfId="34277"/>
    <cellStyle name="Standaard 3 2 2 3 3 3 2" xfId="34278"/>
    <cellStyle name="Standaard 3 2 2 3 3 3 2 2" xfId="34279"/>
    <cellStyle name="Standaard 3 2 2 3 3 3 3" xfId="34280"/>
    <cellStyle name="Standaard 3 2 2 3 3 4" xfId="34281"/>
    <cellStyle name="Standaard 3 2 2 3 3 4 2" xfId="34282"/>
    <cellStyle name="Standaard 3 2 2 3 3 5" xfId="34283"/>
    <cellStyle name="Standaard 3 2 2 3 3 6" xfId="34284"/>
    <cellStyle name="Standaard 3 2 2 3 4" xfId="34285"/>
    <cellStyle name="Standaard 3 2 2 3 4 2" xfId="34286"/>
    <cellStyle name="Standaard 3 2 2 3 4 2 2" xfId="34287"/>
    <cellStyle name="Standaard 3 2 2 3 4 2 2 2" xfId="34288"/>
    <cellStyle name="Standaard 3 2 2 3 4 2 3" xfId="34289"/>
    <cellStyle name="Standaard 3 2 2 3 4 3" xfId="34290"/>
    <cellStyle name="Standaard 3 2 2 3 4 3 2" xfId="34291"/>
    <cellStyle name="Standaard 3 2 2 3 4 4" xfId="34292"/>
    <cellStyle name="Standaard 3 2 2 3 5" xfId="34293"/>
    <cellStyle name="Standaard 3 2 2 3 5 2" xfId="34294"/>
    <cellStyle name="Standaard 3 2 2 3 5 2 2" xfId="34295"/>
    <cellStyle name="Standaard 3 2 2 3 5 3" xfId="34296"/>
    <cellStyle name="Standaard 3 2 2 3 6" xfId="34297"/>
    <cellStyle name="Standaard 3 2 2 3 6 2" xfId="34298"/>
    <cellStyle name="Standaard 3 2 2 3 7" xfId="34299"/>
    <cellStyle name="Standaard 3 2 2 3 8" xfId="34300"/>
    <cellStyle name="Standaard 3 2 2 4" xfId="34301"/>
    <cellStyle name="Standaard 3 2 2 4 2" xfId="34302"/>
    <cellStyle name="Standaard 3 2 2 4 2 2" xfId="34303"/>
    <cellStyle name="Standaard 3 2 2 4 2 2 2" xfId="34304"/>
    <cellStyle name="Standaard 3 2 2 4 2 2 2 2" xfId="34305"/>
    <cellStyle name="Standaard 3 2 2 4 2 2 2 2 2" xfId="34306"/>
    <cellStyle name="Standaard 3 2 2 4 2 2 2 2 2 2" xfId="34307"/>
    <cellStyle name="Standaard 3 2 2 4 2 2 2 2 3" xfId="34308"/>
    <cellStyle name="Standaard 3 2 2 4 2 2 2 3" xfId="34309"/>
    <cellStyle name="Standaard 3 2 2 4 2 2 2 3 2" xfId="34310"/>
    <cellStyle name="Standaard 3 2 2 4 2 2 2 4" xfId="34311"/>
    <cellStyle name="Standaard 3 2 2 4 2 2 3" xfId="34312"/>
    <cellStyle name="Standaard 3 2 2 4 2 2 3 2" xfId="34313"/>
    <cellStyle name="Standaard 3 2 2 4 2 2 3 2 2" xfId="34314"/>
    <cellStyle name="Standaard 3 2 2 4 2 2 3 3" xfId="34315"/>
    <cellStyle name="Standaard 3 2 2 4 2 2 4" xfId="34316"/>
    <cellStyle name="Standaard 3 2 2 4 2 2 4 2" xfId="34317"/>
    <cellStyle name="Standaard 3 2 2 4 2 2 5" xfId="34318"/>
    <cellStyle name="Standaard 3 2 2 4 2 2 6" xfId="34319"/>
    <cellStyle name="Standaard 3 2 2 4 2 3" xfId="34320"/>
    <cellStyle name="Standaard 3 2 2 4 2 3 2" xfId="34321"/>
    <cellStyle name="Standaard 3 2 2 4 2 3 2 2" xfId="34322"/>
    <cellStyle name="Standaard 3 2 2 4 2 3 2 2 2" xfId="34323"/>
    <cellStyle name="Standaard 3 2 2 4 2 3 2 3" xfId="34324"/>
    <cellStyle name="Standaard 3 2 2 4 2 3 3" xfId="34325"/>
    <cellStyle name="Standaard 3 2 2 4 2 3 3 2" xfId="34326"/>
    <cellStyle name="Standaard 3 2 2 4 2 3 4" xfId="34327"/>
    <cellStyle name="Standaard 3 2 2 4 2 4" xfId="34328"/>
    <cellStyle name="Standaard 3 2 2 4 2 4 2" xfId="34329"/>
    <cellStyle name="Standaard 3 2 2 4 2 4 2 2" xfId="34330"/>
    <cellStyle name="Standaard 3 2 2 4 2 4 3" xfId="34331"/>
    <cellStyle name="Standaard 3 2 2 4 2 5" xfId="34332"/>
    <cellStyle name="Standaard 3 2 2 4 2 5 2" xfId="34333"/>
    <cellStyle name="Standaard 3 2 2 4 2 6" xfId="34334"/>
    <cellStyle name="Standaard 3 2 2 4 2 7" xfId="34335"/>
    <cellStyle name="Standaard 3 2 2 4 3" xfId="34336"/>
    <cellStyle name="Standaard 3 2 2 4 3 2" xfId="34337"/>
    <cellStyle name="Standaard 3 2 2 4 3 2 2" xfId="34338"/>
    <cellStyle name="Standaard 3 2 2 4 3 2 2 2" xfId="34339"/>
    <cellStyle name="Standaard 3 2 2 4 3 2 2 2 2" xfId="34340"/>
    <cellStyle name="Standaard 3 2 2 4 3 2 2 3" xfId="34341"/>
    <cellStyle name="Standaard 3 2 2 4 3 2 3" xfId="34342"/>
    <cellStyle name="Standaard 3 2 2 4 3 2 3 2" xfId="34343"/>
    <cellStyle name="Standaard 3 2 2 4 3 2 4" xfId="34344"/>
    <cellStyle name="Standaard 3 2 2 4 3 3" xfId="34345"/>
    <cellStyle name="Standaard 3 2 2 4 3 3 2" xfId="34346"/>
    <cellStyle name="Standaard 3 2 2 4 3 3 2 2" xfId="34347"/>
    <cellStyle name="Standaard 3 2 2 4 3 3 3" xfId="34348"/>
    <cellStyle name="Standaard 3 2 2 4 3 4" xfId="34349"/>
    <cellStyle name="Standaard 3 2 2 4 3 4 2" xfId="34350"/>
    <cellStyle name="Standaard 3 2 2 4 3 5" xfId="34351"/>
    <cellStyle name="Standaard 3 2 2 4 3 6" xfId="34352"/>
    <cellStyle name="Standaard 3 2 2 4 4" xfId="34353"/>
    <cellStyle name="Standaard 3 2 2 4 4 2" xfId="34354"/>
    <cellStyle name="Standaard 3 2 2 4 4 2 2" xfId="34355"/>
    <cellStyle name="Standaard 3 2 2 4 4 2 2 2" xfId="34356"/>
    <cellStyle name="Standaard 3 2 2 4 4 2 3" xfId="34357"/>
    <cellStyle name="Standaard 3 2 2 4 4 3" xfId="34358"/>
    <cellStyle name="Standaard 3 2 2 4 4 3 2" xfId="34359"/>
    <cellStyle name="Standaard 3 2 2 4 4 4" xfId="34360"/>
    <cellStyle name="Standaard 3 2 2 4 5" xfId="34361"/>
    <cellStyle name="Standaard 3 2 2 4 5 2" xfId="34362"/>
    <cellStyle name="Standaard 3 2 2 4 5 2 2" xfId="34363"/>
    <cellStyle name="Standaard 3 2 2 4 5 3" xfId="34364"/>
    <cellStyle name="Standaard 3 2 2 4 6" xfId="34365"/>
    <cellStyle name="Standaard 3 2 2 4 6 2" xfId="34366"/>
    <cellStyle name="Standaard 3 2 2 4 7" xfId="34367"/>
    <cellStyle name="Standaard 3 2 2 4 8" xfId="34368"/>
    <cellStyle name="Standaard 3 2 2 5" xfId="34369"/>
    <cellStyle name="Standaard 3 2 2 5 2" xfId="34370"/>
    <cellStyle name="Standaard 3 2 2 5 2 2" xfId="34371"/>
    <cellStyle name="Standaard 3 2 2 5 2 2 2" xfId="34372"/>
    <cellStyle name="Standaard 3 2 2 5 2 2 2 2" xfId="34373"/>
    <cellStyle name="Standaard 3 2 2 5 2 2 2 2 2" xfId="34374"/>
    <cellStyle name="Standaard 3 2 2 5 2 2 2 3" xfId="34375"/>
    <cellStyle name="Standaard 3 2 2 5 2 2 3" xfId="34376"/>
    <cellStyle name="Standaard 3 2 2 5 2 2 3 2" xfId="34377"/>
    <cellStyle name="Standaard 3 2 2 5 2 2 4" xfId="34378"/>
    <cellStyle name="Standaard 3 2 2 5 2 3" xfId="34379"/>
    <cellStyle name="Standaard 3 2 2 5 2 3 2" xfId="34380"/>
    <cellStyle name="Standaard 3 2 2 5 2 3 2 2" xfId="34381"/>
    <cellStyle name="Standaard 3 2 2 5 2 3 3" xfId="34382"/>
    <cellStyle name="Standaard 3 2 2 5 2 4" xfId="34383"/>
    <cellStyle name="Standaard 3 2 2 5 2 4 2" xfId="34384"/>
    <cellStyle name="Standaard 3 2 2 5 2 5" xfId="34385"/>
    <cellStyle name="Standaard 3 2 2 5 2 6" xfId="34386"/>
    <cellStyle name="Standaard 3 2 2 5 3" xfId="34387"/>
    <cellStyle name="Standaard 3 2 2 5 3 2" xfId="34388"/>
    <cellStyle name="Standaard 3 2 2 5 3 2 2" xfId="34389"/>
    <cellStyle name="Standaard 3 2 2 5 3 2 2 2" xfId="34390"/>
    <cellStyle name="Standaard 3 2 2 5 3 2 3" xfId="34391"/>
    <cellStyle name="Standaard 3 2 2 5 3 3" xfId="34392"/>
    <cellStyle name="Standaard 3 2 2 5 3 3 2" xfId="34393"/>
    <cellStyle name="Standaard 3 2 2 5 3 4" xfId="34394"/>
    <cellStyle name="Standaard 3 2 2 5 4" xfId="34395"/>
    <cellStyle name="Standaard 3 2 2 5 4 2" xfId="34396"/>
    <cellStyle name="Standaard 3 2 2 5 4 2 2" xfId="34397"/>
    <cellStyle name="Standaard 3 2 2 5 4 3" xfId="34398"/>
    <cellStyle name="Standaard 3 2 2 5 5" xfId="34399"/>
    <cellStyle name="Standaard 3 2 2 5 5 2" xfId="34400"/>
    <cellStyle name="Standaard 3 2 2 5 6" xfId="34401"/>
    <cellStyle name="Standaard 3 2 2 5 7" xfId="34402"/>
    <cellStyle name="Standaard 3 2 2 6" xfId="34403"/>
    <cellStyle name="Standaard 3 2 2 6 2" xfId="34404"/>
    <cellStyle name="Standaard 3 2 2 6 2 2" xfId="34405"/>
    <cellStyle name="Standaard 3 2 2 6 2 2 2" xfId="34406"/>
    <cellStyle name="Standaard 3 2 2 6 2 2 2 2" xfId="34407"/>
    <cellStyle name="Standaard 3 2 2 6 2 2 3" xfId="34408"/>
    <cellStyle name="Standaard 3 2 2 6 2 3" xfId="34409"/>
    <cellStyle name="Standaard 3 2 2 6 2 3 2" xfId="34410"/>
    <cellStyle name="Standaard 3 2 2 6 2 4" xfId="34411"/>
    <cellStyle name="Standaard 3 2 2 6 3" xfId="34412"/>
    <cellStyle name="Standaard 3 2 2 6 3 2" xfId="34413"/>
    <cellStyle name="Standaard 3 2 2 6 3 2 2" xfId="34414"/>
    <cellStyle name="Standaard 3 2 2 6 3 3" xfId="34415"/>
    <cellStyle name="Standaard 3 2 2 6 4" xfId="34416"/>
    <cellStyle name="Standaard 3 2 2 6 4 2" xfId="34417"/>
    <cellStyle name="Standaard 3 2 2 6 5" xfId="34418"/>
    <cellStyle name="Standaard 3 2 2 6 6" xfId="34419"/>
    <cellStyle name="Standaard 3 2 2 7" xfId="34420"/>
    <cellStyle name="Standaard 3 2 2 7 2" xfId="34421"/>
    <cellStyle name="Standaard 3 2 2 7 2 2" xfId="34422"/>
    <cellStyle name="Standaard 3 2 2 7 2 2 2" xfId="34423"/>
    <cellStyle name="Standaard 3 2 2 7 2 3" xfId="34424"/>
    <cellStyle name="Standaard 3 2 2 7 3" xfId="34425"/>
    <cellStyle name="Standaard 3 2 2 7 3 2" xfId="34426"/>
    <cellStyle name="Standaard 3 2 2 7 4" xfId="34427"/>
    <cellStyle name="Standaard 3 2 2 8" xfId="34428"/>
    <cellStyle name="Standaard 3 2 2 8 2" xfId="34429"/>
    <cellStyle name="Standaard 3 2 2 8 2 2" xfId="34430"/>
    <cellStyle name="Standaard 3 2 2 8 3" xfId="34431"/>
    <cellStyle name="Standaard 3 2 2 9" xfId="34432"/>
    <cellStyle name="Standaard 3 2 2 9 2" xfId="34433"/>
    <cellStyle name="Standaard 3 2 3" xfId="34434"/>
    <cellStyle name="Standaard 3 2 3 2" xfId="34435"/>
    <cellStyle name="Standaard 3 2 3 2 2" xfId="34436"/>
    <cellStyle name="Standaard 3 2 3 2 2 2" xfId="34437"/>
    <cellStyle name="Standaard 3 2 3 2 2 2 2" xfId="34438"/>
    <cellStyle name="Standaard 3 2 3 2 2 2 2 2" xfId="34439"/>
    <cellStyle name="Standaard 3 2 3 2 2 2 2 2 2" xfId="34440"/>
    <cellStyle name="Standaard 3 2 3 2 2 2 2 2 2 2" xfId="34441"/>
    <cellStyle name="Standaard 3 2 3 2 2 2 2 2 3" xfId="34442"/>
    <cellStyle name="Standaard 3 2 3 2 2 2 2 3" xfId="34443"/>
    <cellStyle name="Standaard 3 2 3 2 2 2 2 3 2" xfId="34444"/>
    <cellStyle name="Standaard 3 2 3 2 2 2 2 4" xfId="34445"/>
    <cellStyle name="Standaard 3 2 3 2 2 2 3" xfId="34446"/>
    <cellStyle name="Standaard 3 2 3 2 2 2 3 2" xfId="34447"/>
    <cellStyle name="Standaard 3 2 3 2 2 2 3 2 2" xfId="34448"/>
    <cellStyle name="Standaard 3 2 3 2 2 2 3 3" xfId="34449"/>
    <cellStyle name="Standaard 3 2 3 2 2 2 4" xfId="34450"/>
    <cellStyle name="Standaard 3 2 3 2 2 2 4 2" xfId="34451"/>
    <cellStyle name="Standaard 3 2 3 2 2 2 5" xfId="34452"/>
    <cellStyle name="Standaard 3 2 3 2 2 2 6" xfId="34453"/>
    <cellStyle name="Standaard 3 2 3 2 2 3" xfId="34454"/>
    <cellStyle name="Standaard 3 2 3 2 2 3 2" xfId="34455"/>
    <cellStyle name="Standaard 3 2 3 2 2 3 2 2" xfId="34456"/>
    <cellStyle name="Standaard 3 2 3 2 2 3 2 2 2" xfId="34457"/>
    <cellStyle name="Standaard 3 2 3 2 2 3 2 3" xfId="34458"/>
    <cellStyle name="Standaard 3 2 3 2 2 3 3" xfId="34459"/>
    <cellStyle name="Standaard 3 2 3 2 2 3 3 2" xfId="34460"/>
    <cellStyle name="Standaard 3 2 3 2 2 3 4" xfId="34461"/>
    <cellStyle name="Standaard 3 2 3 2 2 4" xfId="34462"/>
    <cellStyle name="Standaard 3 2 3 2 2 4 2" xfId="34463"/>
    <cellStyle name="Standaard 3 2 3 2 2 4 2 2" xfId="34464"/>
    <cellStyle name="Standaard 3 2 3 2 2 4 3" xfId="34465"/>
    <cellStyle name="Standaard 3 2 3 2 2 5" xfId="34466"/>
    <cellStyle name="Standaard 3 2 3 2 2 5 2" xfId="34467"/>
    <cellStyle name="Standaard 3 2 3 2 2 6" xfId="34468"/>
    <cellStyle name="Standaard 3 2 3 2 2 7" xfId="34469"/>
    <cellStyle name="Standaard 3 2 3 2 3" xfId="34470"/>
    <cellStyle name="Standaard 3 2 3 2 3 2" xfId="34471"/>
    <cellStyle name="Standaard 3 2 3 2 3 2 2" xfId="34472"/>
    <cellStyle name="Standaard 3 2 3 2 3 2 2 2" xfId="34473"/>
    <cellStyle name="Standaard 3 2 3 2 3 2 2 2 2" xfId="34474"/>
    <cellStyle name="Standaard 3 2 3 2 3 2 2 3" xfId="34475"/>
    <cellStyle name="Standaard 3 2 3 2 3 2 3" xfId="34476"/>
    <cellStyle name="Standaard 3 2 3 2 3 2 3 2" xfId="34477"/>
    <cellStyle name="Standaard 3 2 3 2 3 2 4" xfId="34478"/>
    <cellStyle name="Standaard 3 2 3 2 3 3" xfId="34479"/>
    <cellStyle name="Standaard 3 2 3 2 3 3 2" xfId="34480"/>
    <cellStyle name="Standaard 3 2 3 2 3 3 2 2" xfId="34481"/>
    <cellStyle name="Standaard 3 2 3 2 3 3 3" xfId="34482"/>
    <cellStyle name="Standaard 3 2 3 2 3 4" xfId="34483"/>
    <cellStyle name="Standaard 3 2 3 2 3 4 2" xfId="34484"/>
    <cellStyle name="Standaard 3 2 3 2 3 5" xfId="34485"/>
    <cellStyle name="Standaard 3 2 3 2 3 6" xfId="34486"/>
    <cellStyle name="Standaard 3 2 3 2 4" xfId="34487"/>
    <cellStyle name="Standaard 3 2 3 2 4 2" xfId="34488"/>
    <cellStyle name="Standaard 3 2 3 2 4 2 2" xfId="34489"/>
    <cellStyle name="Standaard 3 2 3 2 4 2 2 2" xfId="34490"/>
    <cellStyle name="Standaard 3 2 3 2 4 2 3" xfId="34491"/>
    <cellStyle name="Standaard 3 2 3 2 4 3" xfId="34492"/>
    <cellStyle name="Standaard 3 2 3 2 4 3 2" xfId="34493"/>
    <cellStyle name="Standaard 3 2 3 2 4 4" xfId="34494"/>
    <cellStyle name="Standaard 3 2 3 2 5" xfId="34495"/>
    <cellStyle name="Standaard 3 2 3 2 5 2" xfId="34496"/>
    <cellStyle name="Standaard 3 2 3 2 5 2 2" xfId="34497"/>
    <cellStyle name="Standaard 3 2 3 2 5 3" xfId="34498"/>
    <cellStyle name="Standaard 3 2 3 2 6" xfId="34499"/>
    <cellStyle name="Standaard 3 2 3 2 6 2" xfId="34500"/>
    <cellStyle name="Standaard 3 2 3 2 7" xfId="34501"/>
    <cellStyle name="Standaard 3 2 3 2 8" xfId="34502"/>
    <cellStyle name="Standaard 3 2 3 3" xfId="34503"/>
    <cellStyle name="Standaard 3 2 3 3 2" xfId="34504"/>
    <cellStyle name="Standaard 3 2 3 3 2 2" xfId="34505"/>
    <cellStyle name="Standaard 3 2 3 3 2 2 2" xfId="34506"/>
    <cellStyle name="Standaard 3 2 3 3 2 2 2 2" xfId="34507"/>
    <cellStyle name="Standaard 3 2 3 3 2 2 2 2 2" xfId="34508"/>
    <cellStyle name="Standaard 3 2 3 3 2 2 2 3" xfId="34509"/>
    <cellStyle name="Standaard 3 2 3 3 2 2 3" xfId="34510"/>
    <cellStyle name="Standaard 3 2 3 3 2 2 3 2" xfId="34511"/>
    <cellStyle name="Standaard 3 2 3 3 2 2 4" xfId="34512"/>
    <cellStyle name="Standaard 3 2 3 3 2 3" xfId="34513"/>
    <cellStyle name="Standaard 3 2 3 3 2 3 2" xfId="34514"/>
    <cellStyle name="Standaard 3 2 3 3 2 3 2 2" xfId="34515"/>
    <cellStyle name="Standaard 3 2 3 3 2 3 3" xfId="34516"/>
    <cellStyle name="Standaard 3 2 3 3 2 4" xfId="34517"/>
    <cellStyle name="Standaard 3 2 3 3 2 4 2" xfId="34518"/>
    <cellStyle name="Standaard 3 2 3 3 2 5" xfId="34519"/>
    <cellStyle name="Standaard 3 2 3 3 2 6" xfId="34520"/>
    <cellStyle name="Standaard 3 2 3 3 3" xfId="34521"/>
    <cellStyle name="Standaard 3 2 3 3 3 2" xfId="34522"/>
    <cellStyle name="Standaard 3 2 3 3 3 2 2" xfId="34523"/>
    <cellStyle name="Standaard 3 2 3 3 3 2 2 2" xfId="34524"/>
    <cellStyle name="Standaard 3 2 3 3 3 2 3" xfId="34525"/>
    <cellStyle name="Standaard 3 2 3 3 3 3" xfId="34526"/>
    <cellStyle name="Standaard 3 2 3 3 3 3 2" xfId="34527"/>
    <cellStyle name="Standaard 3 2 3 3 3 4" xfId="34528"/>
    <cellStyle name="Standaard 3 2 3 3 4" xfId="34529"/>
    <cellStyle name="Standaard 3 2 3 3 4 2" xfId="34530"/>
    <cellStyle name="Standaard 3 2 3 3 4 2 2" xfId="34531"/>
    <cellStyle name="Standaard 3 2 3 3 4 3" xfId="34532"/>
    <cellStyle name="Standaard 3 2 3 3 5" xfId="34533"/>
    <cellStyle name="Standaard 3 2 3 3 5 2" xfId="34534"/>
    <cellStyle name="Standaard 3 2 3 3 6" xfId="34535"/>
    <cellStyle name="Standaard 3 2 3 3 7" xfId="34536"/>
    <cellStyle name="Standaard 3 2 3 4" xfId="34537"/>
    <cellStyle name="Standaard 3 2 3 4 2" xfId="34538"/>
    <cellStyle name="Standaard 3 2 3 4 2 2" xfId="34539"/>
    <cellStyle name="Standaard 3 2 3 4 2 2 2" xfId="34540"/>
    <cellStyle name="Standaard 3 2 3 4 2 2 2 2" xfId="34541"/>
    <cellStyle name="Standaard 3 2 3 4 2 2 3" xfId="34542"/>
    <cellStyle name="Standaard 3 2 3 4 2 3" xfId="34543"/>
    <cellStyle name="Standaard 3 2 3 4 2 3 2" xfId="34544"/>
    <cellStyle name="Standaard 3 2 3 4 2 4" xfId="34545"/>
    <cellStyle name="Standaard 3 2 3 4 3" xfId="34546"/>
    <cellStyle name="Standaard 3 2 3 4 3 2" xfId="34547"/>
    <cellStyle name="Standaard 3 2 3 4 3 2 2" xfId="34548"/>
    <cellStyle name="Standaard 3 2 3 4 3 3" xfId="34549"/>
    <cellStyle name="Standaard 3 2 3 4 4" xfId="34550"/>
    <cellStyle name="Standaard 3 2 3 4 4 2" xfId="34551"/>
    <cellStyle name="Standaard 3 2 3 4 5" xfId="34552"/>
    <cellStyle name="Standaard 3 2 3 4 6" xfId="34553"/>
    <cellStyle name="Standaard 3 2 3 5" xfId="34554"/>
    <cellStyle name="Standaard 3 2 3 5 2" xfId="34555"/>
    <cellStyle name="Standaard 3 2 3 5 2 2" xfId="34556"/>
    <cellStyle name="Standaard 3 2 3 5 2 2 2" xfId="34557"/>
    <cellStyle name="Standaard 3 2 3 5 2 3" xfId="34558"/>
    <cellStyle name="Standaard 3 2 3 5 3" xfId="34559"/>
    <cellStyle name="Standaard 3 2 3 5 3 2" xfId="34560"/>
    <cellStyle name="Standaard 3 2 3 5 4" xfId="34561"/>
    <cellStyle name="Standaard 3 2 3 6" xfId="34562"/>
    <cellStyle name="Standaard 3 2 3 6 2" xfId="34563"/>
    <cellStyle name="Standaard 3 2 3 6 2 2" xfId="34564"/>
    <cellStyle name="Standaard 3 2 3 6 3" xfId="34565"/>
    <cellStyle name="Standaard 3 2 3 7" xfId="34566"/>
    <cellStyle name="Standaard 3 2 3 7 2" xfId="34567"/>
    <cellStyle name="Standaard 3 2 3 8" xfId="34568"/>
    <cellStyle name="Standaard 3 2 3 9" xfId="34569"/>
    <cellStyle name="Standaard 3 2 4" xfId="34570"/>
    <cellStyle name="Standaard 3 2 4 2" xfId="34571"/>
    <cellStyle name="Standaard 3 2 4 2 2" xfId="34572"/>
    <cellStyle name="Standaard 3 2 4 2 2 2" xfId="34573"/>
    <cellStyle name="Standaard 3 2 4 2 2 2 2" xfId="34574"/>
    <cellStyle name="Standaard 3 2 4 2 2 2 2 2" xfId="34575"/>
    <cellStyle name="Standaard 3 2 4 2 2 2 2 2 2" xfId="34576"/>
    <cellStyle name="Standaard 3 2 4 2 2 2 2 3" xfId="34577"/>
    <cellStyle name="Standaard 3 2 4 2 2 2 3" xfId="34578"/>
    <cellStyle name="Standaard 3 2 4 2 2 2 3 2" xfId="34579"/>
    <cellStyle name="Standaard 3 2 4 2 2 2 4" xfId="34580"/>
    <cellStyle name="Standaard 3 2 4 2 2 3" xfId="34581"/>
    <cellStyle name="Standaard 3 2 4 2 2 3 2" xfId="34582"/>
    <cellStyle name="Standaard 3 2 4 2 2 3 2 2" xfId="34583"/>
    <cellStyle name="Standaard 3 2 4 2 2 3 3" xfId="34584"/>
    <cellStyle name="Standaard 3 2 4 2 2 4" xfId="34585"/>
    <cellStyle name="Standaard 3 2 4 2 2 4 2" xfId="34586"/>
    <cellStyle name="Standaard 3 2 4 2 2 5" xfId="34587"/>
    <cellStyle name="Standaard 3 2 4 2 2 6" xfId="34588"/>
    <cellStyle name="Standaard 3 2 4 2 3" xfId="34589"/>
    <cellStyle name="Standaard 3 2 4 2 3 2" xfId="34590"/>
    <cellStyle name="Standaard 3 2 4 2 3 2 2" xfId="34591"/>
    <cellStyle name="Standaard 3 2 4 2 3 2 2 2" xfId="34592"/>
    <cellStyle name="Standaard 3 2 4 2 3 2 3" xfId="34593"/>
    <cellStyle name="Standaard 3 2 4 2 3 3" xfId="34594"/>
    <cellStyle name="Standaard 3 2 4 2 3 3 2" xfId="34595"/>
    <cellStyle name="Standaard 3 2 4 2 3 4" xfId="34596"/>
    <cellStyle name="Standaard 3 2 4 2 4" xfId="34597"/>
    <cellStyle name="Standaard 3 2 4 2 4 2" xfId="34598"/>
    <cellStyle name="Standaard 3 2 4 2 4 2 2" xfId="34599"/>
    <cellStyle name="Standaard 3 2 4 2 4 3" xfId="34600"/>
    <cellStyle name="Standaard 3 2 4 2 5" xfId="34601"/>
    <cellStyle name="Standaard 3 2 4 2 5 2" xfId="34602"/>
    <cellStyle name="Standaard 3 2 4 2 6" xfId="34603"/>
    <cellStyle name="Standaard 3 2 4 2 7" xfId="34604"/>
    <cellStyle name="Standaard 3 2 4 3" xfId="34605"/>
    <cellStyle name="Standaard 3 2 4 3 2" xfId="34606"/>
    <cellStyle name="Standaard 3 2 4 3 2 2" xfId="34607"/>
    <cellStyle name="Standaard 3 2 4 3 2 2 2" xfId="34608"/>
    <cellStyle name="Standaard 3 2 4 3 2 2 2 2" xfId="34609"/>
    <cellStyle name="Standaard 3 2 4 3 2 2 3" xfId="34610"/>
    <cellStyle name="Standaard 3 2 4 3 2 3" xfId="34611"/>
    <cellStyle name="Standaard 3 2 4 3 2 3 2" xfId="34612"/>
    <cellStyle name="Standaard 3 2 4 3 2 4" xfId="34613"/>
    <cellStyle name="Standaard 3 2 4 3 3" xfId="34614"/>
    <cellStyle name="Standaard 3 2 4 3 3 2" xfId="34615"/>
    <cellStyle name="Standaard 3 2 4 3 3 2 2" xfId="34616"/>
    <cellStyle name="Standaard 3 2 4 3 3 3" xfId="34617"/>
    <cellStyle name="Standaard 3 2 4 3 4" xfId="34618"/>
    <cellStyle name="Standaard 3 2 4 3 4 2" xfId="34619"/>
    <cellStyle name="Standaard 3 2 4 3 5" xfId="34620"/>
    <cellStyle name="Standaard 3 2 4 3 6" xfId="34621"/>
    <cellStyle name="Standaard 3 2 4 4" xfId="34622"/>
    <cellStyle name="Standaard 3 2 4 4 2" xfId="34623"/>
    <cellStyle name="Standaard 3 2 4 4 2 2" xfId="34624"/>
    <cellStyle name="Standaard 3 2 4 4 2 2 2" xfId="34625"/>
    <cellStyle name="Standaard 3 2 4 4 2 3" xfId="34626"/>
    <cellStyle name="Standaard 3 2 4 4 3" xfId="34627"/>
    <cellStyle name="Standaard 3 2 4 4 3 2" xfId="34628"/>
    <cellStyle name="Standaard 3 2 4 4 4" xfId="34629"/>
    <cellStyle name="Standaard 3 2 4 5" xfId="34630"/>
    <cellStyle name="Standaard 3 2 4 5 2" xfId="34631"/>
    <cellStyle name="Standaard 3 2 4 5 2 2" xfId="34632"/>
    <cellStyle name="Standaard 3 2 4 5 3" xfId="34633"/>
    <cellStyle name="Standaard 3 2 4 6" xfId="34634"/>
    <cellStyle name="Standaard 3 2 4 6 2" xfId="34635"/>
    <cellStyle name="Standaard 3 2 4 7" xfId="34636"/>
    <cellStyle name="Standaard 3 2 4 8" xfId="34637"/>
    <cellStyle name="Standaard 3 2 5" xfId="34638"/>
    <cellStyle name="Standaard 3 2 5 2" xfId="34639"/>
    <cellStyle name="Standaard 3 2 5 2 2" xfId="34640"/>
    <cellStyle name="Standaard 3 2 5 2 2 2" xfId="34641"/>
    <cellStyle name="Standaard 3 2 5 2 2 2 2" xfId="34642"/>
    <cellStyle name="Standaard 3 2 5 2 2 2 2 2" xfId="34643"/>
    <cellStyle name="Standaard 3 2 5 2 2 2 2 2 2" xfId="34644"/>
    <cellStyle name="Standaard 3 2 5 2 2 2 2 3" xfId="34645"/>
    <cellStyle name="Standaard 3 2 5 2 2 2 3" xfId="34646"/>
    <cellStyle name="Standaard 3 2 5 2 2 2 3 2" xfId="34647"/>
    <cellStyle name="Standaard 3 2 5 2 2 2 4" xfId="34648"/>
    <cellStyle name="Standaard 3 2 5 2 2 3" xfId="34649"/>
    <cellStyle name="Standaard 3 2 5 2 2 3 2" xfId="34650"/>
    <cellStyle name="Standaard 3 2 5 2 2 3 2 2" xfId="34651"/>
    <cellStyle name="Standaard 3 2 5 2 2 3 3" xfId="34652"/>
    <cellStyle name="Standaard 3 2 5 2 2 4" xfId="34653"/>
    <cellStyle name="Standaard 3 2 5 2 2 4 2" xfId="34654"/>
    <cellStyle name="Standaard 3 2 5 2 2 5" xfId="34655"/>
    <cellStyle name="Standaard 3 2 5 2 2 6" xfId="34656"/>
    <cellStyle name="Standaard 3 2 5 2 3" xfId="34657"/>
    <cellStyle name="Standaard 3 2 5 2 3 2" xfId="34658"/>
    <cellStyle name="Standaard 3 2 5 2 3 2 2" xfId="34659"/>
    <cellStyle name="Standaard 3 2 5 2 3 2 2 2" xfId="34660"/>
    <cellStyle name="Standaard 3 2 5 2 3 2 3" xfId="34661"/>
    <cellStyle name="Standaard 3 2 5 2 3 3" xfId="34662"/>
    <cellStyle name="Standaard 3 2 5 2 3 3 2" xfId="34663"/>
    <cellStyle name="Standaard 3 2 5 2 3 4" xfId="34664"/>
    <cellStyle name="Standaard 3 2 5 2 4" xfId="34665"/>
    <cellStyle name="Standaard 3 2 5 2 4 2" xfId="34666"/>
    <cellStyle name="Standaard 3 2 5 2 4 2 2" xfId="34667"/>
    <cellStyle name="Standaard 3 2 5 2 4 3" xfId="34668"/>
    <cellStyle name="Standaard 3 2 5 2 5" xfId="34669"/>
    <cellStyle name="Standaard 3 2 5 2 5 2" xfId="34670"/>
    <cellStyle name="Standaard 3 2 5 2 6" xfId="34671"/>
    <cellStyle name="Standaard 3 2 5 2 7" xfId="34672"/>
    <cellStyle name="Standaard 3 2 5 3" xfId="34673"/>
    <cellStyle name="Standaard 3 2 5 3 2" xfId="34674"/>
    <cellStyle name="Standaard 3 2 5 3 2 2" xfId="34675"/>
    <cellStyle name="Standaard 3 2 5 3 2 2 2" xfId="34676"/>
    <cellStyle name="Standaard 3 2 5 3 2 2 2 2" xfId="34677"/>
    <cellStyle name="Standaard 3 2 5 3 2 2 3" xfId="34678"/>
    <cellStyle name="Standaard 3 2 5 3 2 3" xfId="34679"/>
    <cellStyle name="Standaard 3 2 5 3 2 3 2" xfId="34680"/>
    <cellStyle name="Standaard 3 2 5 3 2 4" xfId="34681"/>
    <cellStyle name="Standaard 3 2 5 3 3" xfId="34682"/>
    <cellStyle name="Standaard 3 2 5 3 3 2" xfId="34683"/>
    <cellStyle name="Standaard 3 2 5 3 3 2 2" xfId="34684"/>
    <cellStyle name="Standaard 3 2 5 3 3 3" xfId="34685"/>
    <cellStyle name="Standaard 3 2 5 3 4" xfId="34686"/>
    <cellStyle name="Standaard 3 2 5 3 4 2" xfId="34687"/>
    <cellStyle name="Standaard 3 2 5 3 5" xfId="34688"/>
    <cellStyle name="Standaard 3 2 5 3 6" xfId="34689"/>
    <cellStyle name="Standaard 3 2 5 4" xfId="34690"/>
    <cellStyle name="Standaard 3 2 5 4 2" xfId="34691"/>
    <cellStyle name="Standaard 3 2 5 4 2 2" xfId="34692"/>
    <cellStyle name="Standaard 3 2 5 4 2 2 2" xfId="34693"/>
    <cellStyle name="Standaard 3 2 5 4 2 3" xfId="34694"/>
    <cellStyle name="Standaard 3 2 5 4 3" xfId="34695"/>
    <cellStyle name="Standaard 3 2 5 4 3 2" xfId="34696"/>
    <cellStyle name="Standaard 3 2 5 4 4" xfId="34697"/>
    <cellStyle name="Standaard 3 2 5 5" xfId="34698"/>
    <cellStyle name="Standaard 3 2 5 5 2" xfId="34699"/>
    <cellStyle name="Standaard 3 2 5 5 2 2" xfId="34700"/>
    <cellStyle name="Standaard 3 2 5 5 3" xfId="34701"/>
    <cellStyle name="Standaard 3 2 5 6" xfId="34702"/>
    <cellStyle name="Standaard 3 2 5 6 2" xfId="34703"/>
    <cellStyle name="Standaard 3 2 5 7" xfId="34704"/>
    <cellStyle name="Standaard 3 2 5 8" xfId="34705"/>
    <cellStyle name="Standaard 3 2 6" xfId="34706"/>
    <cellStyle name="Standaard 3 2 6 2" xfId="34707"/>
    <cellStyle name="Standaard 3 2 6 2 2" xfId="34708"/>
    <cellStyle name="Standaard 3 2 6 2 2 2" xfId="34709"/>
    <cellStyle name="Standaard 3 2 6 2 2 2 2" xfId="34710"/>
    <cellStyle name="Standaard 3 2 6 2 2 2 2 2" xfId="34711"/>
    <cellStyle name="Standaard 3 2 6 2 2 2 3" xfId="34712"/>
    <cellStyle name="Standaard 3 2 6 2 2 3" xfId="34713"/>
    <cellStyle name="Standaard 3 2 6 2 2 3 2" xfId="34714"/>
    <cellStyle name="Standaard 3 2 6 2 2 4" xfId="34715"/>
    <cellStyle name="Standaard 3 2 6 2 3" xfId="34716"/>
    <cellStyle name="Standaard 3 2 6 2 3 2" xfId="34717"/>
    <cellStyle name="Standaard 3 2 6 2 3 2 2" xfId="34718"/>
    <cellStyle name="Standaard 3 2 6 2 3 3" xfId="34719"/>
    <cellStyle name="Standaard 3 2 6 2 4" xfId="34720"/>
    <cellStyle name="Standaard 3 2 6 2 4 2" xfId="34721"/>
    <cellStyle name="Standaard 3 2 6 2 5" xfId="34722"/>
    <cellStyle name="Standaard 3 2 6 2 6" xfId="34723"/>
    <cellStyle name="Standaard 3 2 6 3" xfId="34724"/>
    <cellStyle name="Standaard 3 2 6 3 2" xfId="34725"/>
    <cellStyle name="Standaard 3 2 6 3 2 2" xfId="34726"/>
    <cellStyle name="Standaard 3 2 6 3 2 2 2" xfId="34727"/>
    <cellStyle name="Standaard 3 2 6 3 2 3" xfId="34728"/>
    <cellStyle name="Standaard 3 2 6 3 3" xfId="34729"/>
    <cellStyle name="Standaard 3 2 6 3 3 2" xfId="34730"/>
    <cellStyle name="Standaard 3 2 6 3 4" xfId="34731"/>
    <cellStyle name="Standaard 3 2 6 4" xfId="34732"/>
    <cellStyle name="Standaard 3 2 6 4 2" xfId="34733"/>
    <cellStyle name="Standaard 3 2 6 4 2 2" xfId="34734"/>
    <cellStyle name="Standaard 3 2 6 4 3" xfId="34735"/>
    <cellStyle name="Standaard 3 2 6 5" xfId="34736"/>
    <cellStyle name="Standaard 3 2 6 5 2" xfId="34737"/>
    <cellStyle name="Standaard 3 2 6 6" xfId="34738"/>
    <cellStyle name="Standaard 3 2 6 7" xfId="34739"/>
    <cellStyle name="Standaard 3 2 7" xfId="34740"/>
    <cellStyle name="Standaard 3 2 7 2" xfId="34741"/>
    <cellStyle name="Standaard 3 2 7 2 2" xfId="34742"/>
    <cellStyle name="Standaard 3 2 7 2 2 2" xfId="34743"/>
    <cellStyle name="Standaard 3 2 7 2 2 2 2" xfId="34744"/>
    <cellStyle name="Standaard 3 2 7 2 2 3" xfId="34745"/>
    <cellStyle name="Standaard 3 2 7 2 3" xfId="34746"/>
    <cellStyle name="Standaard 3 2 7 2 3 2" xfId="34747"/>
    <cellStyle name="Standaard 3 2 7 2 4" xfId="34748"/>
    <cellStyle name="Standaard 3 2 7 3" xfId="34749"/>
    <cellStyle name="Standaard 3 2 7 3 2" xfId="34750"/>
    <cellStyle name="Standaard 3 2 7 3 2 2" xfId="34751"/>
    <cellStyle name="Standaard 3 2 7 3 3" xfId="34752"/>
    <cellStyle name="Standaard 3 2 7 4" xfId="34753"/>
    <cellStyle name="Standaard 3 2 7 4 2" xfId="34754"/>
    <cellStyle name="Standaard 3 2 7 5" xfId="34755"/>
    <cellStyle name="Standaard 3 2 7 6" xfId="34756"/>
    <cellStyle name="Standaard 3 2 8" xfId="34757"/>
    <cellStyle name="Standaard 3 2 8 2" xfId="34758"/>
    <cellStyle name="Standaard 3 2 8 2 2" xfId="34759"/>
    <cellStyle name="Standaard 3 2 8 2 2 2" xfId="34760"/>
    <cellStyle name="Standaard 3 2 8 2 3" xfId="34761"/>
    <cellStyle name="Standaard 3 2 8 3" xfId="34762"/>
    <cellStyle name="Standaard 3 2 8 3 2" xfId="34763"/>
    <cellStyle name="Standaard 3 2 8 4" xfId="34764"/>
    <cellStyle name="Standaard 3 2 9" xfId="34765"/>
    <cellStyle name="Standaard 3 2 9 2" xfId="34766"/>
    <cellStyle name="Standaard 3 2 9 2 2" xfId="34767"/>
    <cellStyle name="Standaard 3 2 9 3" xfId="34768"/>
    <cellStyle name="Standaard 3 3" xfId="34769"/>
    <cellStyle name="Standaard 3 3 10" xfId="34770"/>
    <cellStyle name="Standaard 3 3 11" xfId="34771"/>
    <cellStyle name="Standaard 3 3 2" xfId="34772"/>
    <cellStyle name="Standaard 3 3 2 2" xfId="34773"/>
    <cellStyle name="Standaard 3 3 2 2 2" xfId="34774"/>
    <cellStyle name="Standaard 3 3 2 2 2 2" xfId="34775"/>
    <cellStyle name="Standaard 3 3 2 2 2 2 2" xfId="34776"/>
    <cellStyle name="Standaard 3 3 2 2 2 2 2 2" xfId="34777"/>
    <cellStyle name="Standaard 3 3 2 2 2 2 2 2 2" xfId="34778"/>
    <cellStyle name="Standaard 3 3 2 2 2 2 2 2 2 2" xfId="34779"/>
    <cellStyle name="Standaard 3 3 2 2 2 2 2 2 3" xfId="34780"/>
    <cellStyle name="Standaard 3 3 2 2 2 2 2 3" xfId="34781"/>
    <cellStyle name="Standaard 3 3 2 2 2 2 2 3 2" xfId="34782"/>
    <cellStyle name="Standaard 3 3 2 2 2 2 2 4" xfId="34783"/>
    <cellStyle name="Standaard 3 3 2 2 2 2 3" xfId="34784"/>
    <cellStyle name="Standaard 3 3 2 2 2 2 3 2" xfId="34785"/>
    <cellStyle name="Standaard 3 3 2 2 2 2 3 2 2" xfId="34786"/>
    <cellStyle name="Standaard 3 3 2 2 2 2 3 3" xfId="34787"/>
    <cellStyle name="Standaard 3 3 2 2 2 2 4" xfId="34788"/>
    <cellStyle name="Standaard 3 3 2 2 2 2 4 2" xfId="34789"/>
    <cellStyle name="Standaard 3 3 2 2 2 2 5" xfId="34790"/>
    <cellStyle name="Standaard 3 3 2 2 2 2 6" xfId="34791"/>
    <cellStyle name="Standaard 3 3 2 2 2 3" xfId="34792"/>
    <cellStyle name="Standaard 3 3 2 2 2 3 2" xfId="34793"/>
    <cellStyle name="Standaard 3 3 2 2 2 3 2 2" xfId="34794"/>
    <cellStyle name="Standaard 3 3 2 2 2 3 2 2 2" xfId="34795"/>
    <cellStyle name="Standaard 3 3 2 2 2 3 2 3" xfId="34796"/>
    <cellStyle name="Standaard 3 3 2 2 2 3 3" xfId="34797"/>
    <cellStyle name="Standaard 3 3 2 2 2 3 3 2" xfId="34798"/>
    <cellStyle name="Standaard 3 3 2 2 2 3 4" xfId="34799"/>
    <cellStyle name="Standaard 3 3 2 2 2 4" xfId="34800"/>
    <cellStyle name="Standaard 3 3 2 2 2 4 2" xfId="34801"/>
    <cellStyle name="Standaard 3 3 2 2 2 4 2 2" xfId="34802"/>
    <cellStyle name="Standaard 3 3 2 2 2 4 3" xfId="34803"/>
    <cellStyle name="Standaard 3 3 2 2 2 5" xfId="34804"/>
    <cellStyle name="Standaard 3 3 2 2 2 5 2" xfId="34805"/>
    <cellStyle name="Standaard 3 3 2 2 2 6" xfId="34806"/>
    <cellStyle name="Standaard 3 3 2 2 2 7" xfId="34807"/>
    <cellStyle name="Standaard 3 3 2 2 3" xfId="34808"/>
    <cellStyle name="Standaard 3 3 2 2 3 2" xfId="34809"/>
    <cellStyle name="Standaard 3 3 2 2 3 2 2" xfId="34810"/>
    <cellStyle name="Standaard 3 3 2 2 3 2 2 2" xfId="34811"/>
    <cellStyle name="Standaard 3 3 2 2 3 2 2 2 2" xfId="34812"/>
    <cellStyle name="Standaard 3 3 2 2 3 2 2 3" xfId="34813"/>
    <cellStyle name="Standaard 3 3 2 2 3 2 3" xfId="34814"/>
    <cellStyle name="Standaard 3 3 2 2 3 2 3 2" xfId="34815"/>
    <cellStyle name="Standaard 3 3 2 2 3 2 4" xfId="34816"/>
    <cellStyle name="Standaard 3 3 2 2 3 3" xfId="34817"/>
    <cellStyle name="Standaard 3 3 2 2 3 3 2" xfId="34818"/>
    <cellStyle name="Standaard 3 3 2 2 3 3 2 2" xfId="34819"/>
    <cellStyle name="Standaard 3 3 2 2 3 3 3" xfId="34820"/>
    <cellStyle name="Standaard 3 3 2 2 3 4" xfId="34821"/>
    <cellStyle name="Standaard 3 3 2 2 3 4 2" xfId="34822"/>
    <cellStyle name="Standaard 3 3 2 2 3 5" xfId="34823"/>
    <cellStyle name="Standaard 3 3 2 2 3 6" xfId="34824"/>
    <cellStyle name="Standaard 3 3 2 2 4" xfId="34825"/>
    <cellStyle name="Standaard 3 3 2 2 4 2" xfId="34826"/>
    <cellStyle name="Standaard 3 3 2 2 4 2 2" xfId="34827"/>
    <cellStyle name="Standaard 3 3 2 2 4 2 2 2" xfId="34828"/>
    <cellStyle name="Standaard 3 3 2 2 4 2 3" xfId="34829"/>
    <cellStyle name="Standaard 3 3 2 2 4 3" xfId="34830"/>
    <cellStyle name="Standaard 3 3 2 2 4 3 2" xfId="34831"/>
    <cellStyle name="Standaard 3 3 2 2 4 4" xfId="34832"/>
    <cellStyle name="Standaard 3 3 2 2 5" xfId="34833"/>
    <cellStyle name="Standaard 3 3 2 2 5 2" xfId="34834"/>
    <cellStyle name="Standaard 3 3 2 2 5 2 2" xfId="34835"/>
    <cellStyle name="Standaard 3 3 2 2 5 3" xfId="34836"/>
    <cellStyle name="Standaard 3 3 2 2 6" xfId="34837"/>
    <cellStyle name="Standaard 3 3 2 2 6 2" xfId="34838"/>
    <cellStyle name="Standaard 3 3 2 2 7" xfId="34839"/>
    <cellStyle name="Standaard 3 3 2 2 8" xfId="34840"/>
    <cellStyle name="Standaard 3 3 2 3" xfId="34841"/>
    <cellStyle name="Standaard 3 3 2 3 2" xfId="34842"/>
    <cellStyle name="Standaard 3 3 2 3 2 2" xfId="34843"/>
    <cellStyle name="Standaard 3 3 2 3 2 2 2" xfId="34844"/>
    <cellStyle name="Standaard 3 3 2 3 2 2 2 2" xfId="34845"/>
    <cellStyle name="Standaard 3 3 2 3 2 2 2 2 2" xfId="34846"/>
    <cellStyle name="Standaard 3 3 2 3 2 2 2 3" xfId="34847"/>
    <cellStyle name="Standaard 3 3 2 3 2 2 3" xfId="34848"/>
    <cellStyle name="Standaard 3 3 2 3 2 2 3 2" xfId="34849"/>
    <cellStyle name="Standaard 3 3 2 3 2 2 4" xfId="34850"/>
    <cellStyle name="Standaard 3 3 2 3 2 3" xfId="34851"/>
    <cellStyle name="Standaard 3 3 2 3 2 3 2" xfId="34852"/>
    <cellStyle name="Standaard 3 3 2 3 2 3 2 2" xfId="34853"/>
    <cellStyle name="Standaard 3 3 2 3 2 3 3" xfId="34854"/>
    <cellStyle name="Standaard 3 3 2 3 2 4" xfId="34855"/>
    <cellStyle name="Standaard 3 3 2 3 2 4 2" xfId="34856"/>
    <cellStyle name="Standaard 3 3 2 3 2 5" xfId="34857"/>
    <cellStyle name="Standaard 3 3 2 3 2 6" xfId="34858"/>
    <cellStyle name="Standaard 3 3 2 3 3" xfId="34859"/>
    <cellStyle name="Standaard 3 3 2 3 3 2" xfId="34860"/>
    <cellStyle name="Standaard 3 3 2 3 3 2 2" xfId="34861"/>
    <cellStyle name="Standaard 3 3 2 3 3 2 2 2" xfId="34862"/>
    <cellStyle name="Standaard 3 3 2 3 3 2 3" xfId="34863"/>
    <cellStyle name="Standaard 3 3 2 3 3 3" xfId="34864"/>
    <cellStyle name="Standaard 3 3 2 3 3 3 2" xfId="34865"/>
    <cellStyle name="Standaard 3 3 2 3 3 4" xfId="34866"/>
    <cellStyle name="Standaard 3 3 2 3 4" xfId="34867"/>
    <cellStyle name="Standaard 3 3 2 3 4 2" xfId="34868"/>
    <cellStyle name="Standaard 3 3 2 3 4 2 2" xfId="34869"/>
    <cellStyle name="Standaard 3 3 2 3 4 3" xfId="34870"/>
    <cellStyle name="Standaard 3 3 2 3 5" xfId="34871"/>
    <cellStyle name="Standaard 3 3 2 3 5 2" xfId="34872"/>
    <cellStyle name="Standaard 3 3 2 3 6" xfId="34873"/>
    <cellStyle name="Standaard 3 3 2 3 7" xfId="34874"/>
    <cellStyle name="Standaard 3 3 2 4" xfId="34875"/>
    <cellStyle name="Standaard 3 3 2 4 2" xfId="34876"/>
    <cellStyle name="Standaard 3 3 2 4 2 2" xfId="34877"/>
    <cellStyle name="Standaard 3 3 2 4 2 2 2" xfId="34878"/>
    <cellStyle name="Standaard 3 3 2 4 2 2 2 2" xfId="34879"/>
    <cellStyle name="Standaard 3 3 2 4 2 2 3" xfId="34880"/>
    <cellStyle name="Standaard 3 3 2 4 2 3" xfId="34881"/>
    <cellStyle name="Standaard 3 3 2 4 2 3 2" xfId="34882"/>
    <cellStyle name="Standaard 3 3 2 4 2 4" xfId="34883"/>
    <cellStyle name="Standaard 3 3 2 4 3" xfId="34884"/>
    <cellStyle name="Standaard 3 3 2 4 3 2" xfId="34885"/>
    <cellStyle name="Standaard 3 3 2 4 3 2 2" xfId="34886"/>
    <cellStyle name="Standaard 3 3 2 4 3 3" xfId="34887"/>
    <cellStyle name="Standaard 3 3 2 4 4" xfId="34888"/>
    <cellStyle name="Standaard 3 3 2 4 4 2" xfId="34889"/>
    <cellStyle name="Standaard 3 3 2 4 5" xfId="34890"/>
    <cellStyle name="Standaard 3 3 2 4 6" xfId="34891"/>
    <cellStyle name="Standaard 3 3 2 5" xfId="34892"/>
    <cellStyle name="Standaard 3 3 2 5 2" xfId="34893"/>
    <cellStyle name="Standaard 3 3 2 5 2 2" xfId="34894"/>
    <cellStyle name="Standaard 3 3 2 5 2 2 2" xfId="34895"/>
    <cellStyle name="Standaard 3 3 2 5 2 3" xfId="34896"/>
    <cellStyle name="Standaard 3 3 2 5 3" xfId="34897"/>
    <cellStyle name="Standaard 3 3 2 5 3 2" xfId="34898"/>
    <cellStyle name="Standaard 3 3 2 5 4" xfId="34899"/>
    <cellStyle name="Standaard 3 3 2 6" xfId="34900"/>
    <cellStyle name="Standaard 3 3 2 6 2" xfId="34901"/>
    <cellStyle name="Standaard 3 3 2 6 2 2" xfId="34902"/>
    <cellStyle name="Standaard 3 3 2 6 3" xfId="34903"/>
    <cellStyle name="Standaard 3 3 2 7" xfId="34904"/>
    <cellStyle name="Standaard 3 3 2 7 2" xfId="34905"/>
    <cellStyle name="Standaard 3 3 2 8" xfId="34906"/>
    <cellStyle name="Standaard 3 3 2 9" xfId="34907"/>
    <cellStyle name="Standaard 3 3 3" xfId="34908"/>
    <cellStyle name="Standaard 3 3 3 2" xfId="34909"/>
    <cellStyle name="Standaard 3 3 3 2 2" xfId="34910"/>
    <cellStyle name="Standaard 3 3 3 2 2 2" xfId="34911"/>
    <cellStyle name="Standaard 3 3 3 2 2 2 2" xfId="34912"/>
    <cellStyle name="Standaard 3 3 3 2 2 2 2 2" xfId="34913"/>
    <cellStyle name="Standaard 3 3 3 2 2 2 2 2 2" xfId="34914"/>
    <cellStyle name="Standaard 3 3 3 2 2 2 2 3" xfId="34915"/>
    <cellStyle name="Standaard 3 3 3 2 2 2 3" xfId="34916"/>
    <cellStyle name="Standaard 3 3 3 2 2 2 3 2" xfId="34917"/>
    <cellStyle name="Standaard 3 3 3 2 2 2 4" xfId="34918"/>
    <cellStyle name="Standaard 3 3 3 2 2 3" xfId="34919"/>
    <cellStyle name="Standaard 3 3 3 2 2 3 2" xfId="34920"/>
    <cellStyle name="Standaard 3 3 3 2 2 3 2 2" xfId="34921"/>
    <cellStyle name="Standaard 3 3 3 2 2 3 3" xfId="34922"/>
    <cellStyle name="Standaard 3 3 3 2 2 4" xfId="34923"/>
    <cellStyle name="Standaard 3 3 3 2 2 4 2" xfId="34924"/>
    <cellStyle name="Standaard 3 3 3 2 2 5" xfId="34925"/>
    <cellStyle name="Standaard 3 3 3 2 2 6" xfId="34926"/>
    <cellStyle name="Standaard 3 3 3 2 3" xfId="34927"/>
    <cellStyle name="Standaard 3 3 3 2 3 2" xfId="34928"/>
    <cellStyle name="Standaard 3 3 3 2 3 2 2" xfId="34929"/>
    <cellStyle name="Standaard 3 3 3 2 3 2 2 2" xfId="34930"/>
    <cellStyle name="Standaard 3 3 3 2 3 2 3" xfId="34931"/>
    <cellStyle name="Standaard 3 3 3 2 3 3" xfId="34932"/>
    <cellStyle name="Standaard 3 3 3 2 3 3 2" xfId="34933"/>
    <cellStyle name="Standaard 3 3 3 2 3 4" xfId="34934"/>
    <cellStyle name="Standaard 3 3 3 2 4" xfId="34935"/>
    <cellStyle name="Standaard 3 3 3 2 4 2" xfId="34936"/>
    <cellStyle name="Standaard 3 3 3 2 4 2 2" xfId="34937"/>
    <cellStyle name="Standaard 3 3 3 2 4 3" xfId="34938"/>
    <cellStyle name="Standaard 3 3 3 2 5" xfId="34939"/>
    <cellStyle name="Standaard 3 3 3 2 5 2" xfId="34940"/>
    <cellStyle name="Standaard 3 3 3 2 6" xfId="34941"/>
    <cellStyle name="Standaard 3 3 3 2 7" xfId="34942"/>
    <cellStyle name="Standaard 3 3 3 3" xfId="34943"/>
    <cellStyle name="Standaard 3 3 3 3 2" xfId="34944"/>
    <cellStyle name="Standaard 3 3 3 3 2 2" xfId="34945"/>
    <cellStyle name="Standaard 3 3 3 3 2 2 2" xfId="34946"/>
    <cellStyle name="Standaard 3 3 3 3 2 2 2 2" xfId="34947"/>
    <cellStyle name="Standaard 3 3 3 3 2 2 3" xfId="34948"/>
    <cellStyle name="Standaard 3 3 3 3 2 3" xfId="34949"/>
    <cellStyle name="Standaard 3 3 3 3 2 3 2" xfId="34950"/>
    <cellStyle name="Standaard 3 3 3 3 2 4" xfId="34951"/>
    <cellStyle name="Standaard 3 3 3 3 3" xfId="34952"/>
    <cellStyle name="Standaard 3 3 3 3 3 2" xfId="34953"/>
    <cellStyle name="Standaard 3 3 3 3 3 2 2" xfId="34954"/>
    <cellStyle name="Standaard 3 3 3 3 3 3" xfId="34955"/>
    <cellStyle name="Standaard 3 3 3 3 4" xfId="34956"/>
    <cellStyle name="Standaard 3 3 3 3 4 2" xfId="34957"/>
    <cellStyle name="Standaard 3 3 3 3 5" xfId="34958"/>
    <cellStyle name="Standaard 3 3 3 3 6" xfId="34959"/>
    <cellStyle name="Standaard 3 3 3 4" xfId="34960"/>
    <cellStyle name="Standaard 3 3 3 4 2" xfId="34961"/>
    <cellStyle name="Standaard 3 3 3 4 2 2" xfId="34962"/>
    <cellStyle name="Standaard 3 3 3 4 2 2 2" xfId="34963"/>
    <cellStyle name="Standaard 3 3 3 4 2 3" xfId="34964"/>
    <cellStyle name="Standaard 3 3 3 4 3" xfId="34965"/>
    <cellStyle name="Standaard 3 3 3 4 3 2" xfId="34966"/>
    <cellStyle name="Standaard 3 3 3 4 4" xfId="34967"/>
    <cellStyle name="Standaard 3 3 3 5" xfId="34968"/>
    <cellStyle name="Standaard 3 3 3 5 2" xfId="34969"/>
    <cellStyle name="Standaard 3 3 3 5 2 2" xfId="34970"/>
    <cellStyle name="Standaard 3 3 3 5 3" xfId="34971"/>
    <cellStyle name="Standaard 3 3 3 6" xfId="34972"/>
    <cellStyle name="Standaard 3 3 3 6 2" xfId="34973"/>
    <cellStyle name="Standaard 3 3 3 7" xfId="34974"/>
    <cellStyle name="Standaard 3 3 3 8" xfId="34975"/>
    <cellStyle name="Standaard 3 3 4" xfId="34976"/>
    <cellStyle name="Standaard 3 3 4 2" xfId="34977"/>
    <cellStyle name="Standaard 3 3 4 2 2" xfId="34978"/>
    <cellStyle name="Standaard 3 3 4 2 2 2" xfId="34979"/>
    <cellStyle name="Standaard 3 3 4 2 2 2 2" xfId="34980"/>
    <cellStyle name="Standaard 3 3 4 2 2 2 2 2" xfId="34981"/>
    <cellStyle name="Standaard 3 3 4 2 2 2 2 2 2" xfId="34982"/>
    <cellStyle name="Standaard 3 3 4 2 2 2 2 3" xfId="34983"/>
    <cellStyle name="Standaard 3 3 4 2 2 2 3" xfId="34984"/>
    <cellStyle name="Standaard 3 3 4 2 2 2 3 2" xfId="34985"/>
    <cellStyle name="Standaard 3 3 4 2 2 2 4" xfId="34986"/>
    <cellStyle name="Standaard 3 3 4 2 2 3" xfId="34987"/>
    <cellStyle name="Standaard 3 3 4 2 2 3 2" xfId="34988"/>
    <cellStyle name="Standaard 3 3 4 2 2 3 2 2" xfId="34989"/>
    <cellStyle name="Standaard 3 3 4 2 2 3 3" xfId="34990"/>
    <cellStyle name="Standaard 3 3 4 2 2 4" xfId="34991"/>
    <cellStyle name="Standaard 3 3 4 2 2 4 2" xfId="34992"/>
    <cellStyle name="Standaard 3 3 4 2 2 5" xfId="34993"/>
    <cellStyle name="Standaard 3 3 4 2 2 6" xfId="34994"/>
    <cellStyle name="Standaard 3 3 4 2 3" xfId="34995"/>
    <cellStyle name="Standaard 3 3 4 2 3 2" xfId="34996"/>
    <cellStyle name="Standaard 3 3 4 2 3 2 2" xfId="34997"/>
    <cellStyle name="Standaard 3 3 4 2 3 2 2 2" xfId="34998"/>
    <cellStyle name="Standaard 3 3 4 2 3 2 3" xfId="34999"/>
    <cellStyle name="Standaard 3 3 4 2 3 3" xfId="35000"/>
    <cellStyle name="Standaard 3 3 4 2 3 3 2" xfId="35001"/>
    <cellStyle name="Standaard 3 3 4 2 3 4" xfId="35002"/>
    <cellStyle name="Standaard 3 3 4 2 4" xfId="35003"/>
    <cellStyle name="Standaard 3 3 4 2 4 2" xfId="35004"/>
    <cellStyle name="Standaard 3 3 4 2 4 2 2" xfId="35005"/>
    <cellStyle name="Standaard 3 3 4 2 4 3" xfId="35006"/>
    <cellStyle name="Standaard 3 3 4 2 5" xfId="35007"/>
    <cellStyle name="Standaard 3 3 4 2 5 2" xfId="35008"/>
    <cellStyle name="Standaard 3 3 4 2 6" xfId="35009"/>
    <cellStyle name="Standaard 3 3 4 2 7" xfId="35010"/>
    <cellStyle name="Standaard 3 3 4 3" xfId="35011"/>
    <cellStyle name="Standaard 3 3 4 3 2" xfId="35012"/>
    <cellStyle name="Standaard 3 3 4 3 2 2" xfId="35013"/>
    <cellStyle name="Standaard 3 3 4 3 2 2 2" xfId="35014"/>
    <cellStyle name="Standaard 3 3 4 3 2 2 2 2" xfId="35015"/>
    <cellStyle name="Standaard 3 3 4 3 2 2 3" xfId="35016"/>
    <cellStyle name="Standaard 3 3 4 3 2 3" xfId="35017"/>
    <cellStyle name="Standaard 3 3 4 3 2 3 2" xfId="35018"/>
    <cellStyle name="Standaard 3 3 4 3 2 4" xfId="35019"/>
    <cellStyle name="Standaard 3 3 4 3 3" xfId="35020"/>
    <cellStyle name="Standaard 3 3 4 3 3 2" xfId="35021"/>
    <cellStyle name="Standaard 3 3 4 3 3 2 2" xfId="35022"/>
    <cellStyle name="Standaard 3 3 4 3 3 3" xfId="35023"/>
    <cellStyle name="Standaard 3 3 4 3 4" xfId="35024"/>
    <cellStyle name="Standaard 3 3 4 3 4 2" xfId="35025"/>
    <cellStyle name="Standaard 3 3 4 3 5" xfId="35026"/>
    <cellStyle name="Standaard 3 3 4 3 6" xfId="35027"/>
    <cellStyle name="Standaard 3 3 4 4" xfId="35028"/>
    <cellStyle name="Standaard 3 3 4 4 2" xfId="35029"/>
    <cellStyle name="Standaard 3 3 4 4 2 2" xfId="35030"/>
    <cellStyle name="Standaard 3 3 4 4 2 2 2" xfId="35031"/>
    <cellStyle name="Standaard 3 3 4 4 2 3" xfId="35032"/>
    <cellStyle name="Standaard 3 3 4 4 3" xfId="35033"/>
    <cellStyle name="Standaard 3 3 4 4 3 2" xfId="35034"/>
    <cellStyle name="Standaard 3 3 4 4 4" xfId="35035"/>
    <cellStyle name="Standaard 3 3 4 5" xfId="35036"/>
    <cellStyle name="Standaard 3 3 4 5 2" xfId="35037"/>
    <cellStyle name="Standaard 3 3 4 5 2 2" xfId="35038"/>
    <cellStyle name="Standaard 3 3 4 5 3" xfId="35039"/>
    <cellStyle name="Standaard 3 3 4 6" xfId="35040"/>
    <cellStyle name="Standaard 3 3 4 6 2" xfId="35041"/>
    <cellStyle name="Standaard 3 3 4 7" xfId="35042"/>
    <cellStyle name="Standaard 3 3 4 8" xfId="35043"/>
    <cellStyle name="Standaard 3 3 5" xfId="35044"/>
    <cellStyle name="Standaard 3 3 5 2" xfId="35045"/>
    <cellStyle name="Standaard 3 3 5 2 2" xfId="35046"/>
    <cellStyle name="Standaard 3 3 5 2 2 2" xfId="35047"/>
    <cellStyle name="Standaard 3 3 5 2 2 2 2" xfId="35048"/>
    <cellStyle name="Standaard 3 3 5 2 2 2 2 2" xfId="35049"/>
    <cellStyle name="Standaard 3 3 5 2 2 2 3" xfId="35050"/>
    <cellStyle name="Standaard 3 3 5 2 2 3" xfId="35051"/>
    <cellStyle name="Standaard 3 3 5 2 2 3 2" xfId="35052"/>
    <cellStyle name="Standaard 3 3 5 2 2 4" xfId="35053"/>
    <cellStyle name="Standaard 3 3 5 2 3" xfId="35054"/>
    <cellStyle name="Standaard 3 3 5 2 3 2" xfId="35055"/>
    <cellStyle name="Standaard 3 3 5 2 3 2 2" xfId="35056"/>
    <cellStyle name="Standaard 3 3 5 2 3 3" xfId="35057"/>
    <cellStyle name="Standaard 3 3 5 2 4" xfId="35058"/>
    <cellStyle name="Standaard 3 3 5 2 4 2" xfId="35059"/>
    <cellStyle name="Standaard 3 3 5 2 5" xfId="35060"/>
    <cellStyle name="Standaard 3 3 5 2 6" xfId="35061"/>
    <cellStyle name="Standaard 3 3 5 3" xfId="35062"/>
    <cellStyle name="Standaard 3 3 5 3 2" xfId="35063"/>
    <cellStyle name="Standaard 3 3 5 3 2 2" xfId="35064"/>
    <cellStyle name="Standaard 3 3 5 3 2 2 2" xfId="35065"/>
    <cellStyle name="Standaard 3 3 5 3 2 3" xfId="35066"/>
    <cellStyle name="Standaard 3 3 5 3 3" xfId="35067"/>
    <cellStyle name="Standaard 3 3 5 3 3 2" xfId="35068"/>
    <cellStyle name="Standaard 3 3 5 3 4" xfId="35069"/>
    <cellStyle name="Standaard 3 3 5 4" xfId="35070"/>
    <cellStyle name="Standaard 3 3 5 4 2" xfId="35071"/>
    <cellStyle name="Standaard 3 3 5 4 2 2" xfId="35072"/>
    <cellStyle name="Standaard 3 3 5 4 3" xfId="35073"/>
    <cellStyle name="Standaard 3 3 5 5" xfId="35074"/>
    <cellStyle name="Standaard 3 3 5 5 2" xfId="35075"/>
    <cellStyle name="Standaard 3 3 5 6" xfId="35076"/>
    <cellStyle name="Standaard 3 3 5 7" xfId="35077"/>
    <cellStyle name="Standaard 3 3 6" xfId="35078"/>
    <cellStyle name="Standaard 3 3 6 2" xfId="35079"/>
    <cellStyle name="Standaard 3 3 6 2 2" xfId="35080"/>
    <cellStyle name="Standaard 3 3 6 2 2 2" xfId="35081"/>
    <cellStyle name="Standaard 3 3 6 2 2 2 2" xfId="35082"/>
    <cellStyle name="Standaard 3 3 6 2 2 3" xfId="35083"/>
    <cellStyle name="Standaard 3 3 6 2 3" xfId="35084"/>
    <cellStyle name="Standaard 3 3 6 2 3 2" xfId="35085"/>
    <cellStyle name="Standaard 3 3 6 2 4" xfId="35086"/>
    <cellStyle name="Standaard 3 3 6 3" xfId="35087"/>
    <cellStyle name="Standaard 3 3 6 3 2" xfId="35088"/>
    <cellStyle name="Standaard 3 3 6 3 2 2" xfId="35089"/>
    <cellStyle name="Standaard 3 3 6 3 3" xfId="35090"/>
    <cellStyle name="Standaard 3 3 6 4" xfId="35091"/>
    <cellStyle name="Standaard 3 3 6 4 2" xfId="35092"/>
    <cellStyle name="Standaard 3 3 6 5" xfId="35093"/>
    <cellStyle name="Standaard 3 3 6 6" xfId="35094"/>
    <cellStyle name="Standaard 3 3 7" xfId="35095"/>
    <cellStyle name="Standaard 3 3 7 2" xfId="35096"/>
    <cellStyle name="Standaard 3 3 7 2 2" xfId="35097"/>
    <cellStyle name="Standaard 3 3 7 2 2 2" xfId="35098"/>
    <cellStyle name="Standaard 3 3 7 2 3" xfId="35099"/>
    <cellStyle name="Standaard 3 3 7 3" xfId="35100"/>
    <cellStyle name="Standaard 3 3 7 3 2" xfId="35101"/>
    <cellStyle name="Standaard 3 3 7 4" xfId="35102"/>
    <cellStyle name="Standaard 3 3 8" xfId="35103"/>
    <cellStyle name="Standaard 3 3 8 2" xfId="35104"/>
    <cellStyle name="Standaard 3 3 8 2 2" xfId="35105"/>
    <cellStyle name="Standaard 3 3 8 3" xfId="35106"/>
    <cellStyle name="Standaard 3 3 9" xfId="35107"/>
    <cellStyle name="Standaard 3 3 9 2" xfId="35108"/>
    <cellStyle name="Standaard 3 4" xfId="35109"/>
    <cellStyle name="Standaard 3 4 2" xfId="35110"/>
    <cellStyle name="Standaard 3 4 2 2" xfId="35111"/>
    <cellStyle name="Standaard 3 4 2 2 2" xfId="35112"/>
    <cellStyle name="Standaard 3 4 2 2 2 2" xfId="35113"/>
    <cellStyle name="Standaard 3 4 2 2 2 2 2" xfId="35114"/>
    <cellStyle name="Standaard 3 4 2 2 2 2 2 2" xfId="35115"/>
    <cellStyle name="Standaard 3 4 2 2 2 2 2 2 2" xfId="35116"/>
    <cellStyle name="Standaard 3 4 2 2 2 2 2 3" xfId="35117"/>
    <cellStyle name="Standaard 3 4 2 2 2 2 3" xfId="35118"/>
    <cellStyle name="Standaard 3 4 2 2 2 2 3 2" xfId="35119"/>
    <cellStyle name="Standaard 3 4 2 2 2 2 4" xfId="35120"/>
    <cellStyle name="Standaard 3 4 2 2 2 3" xfId="35121"/>
    <cellStyle name="Standaard 3 4 2 2 2 3 2" xfId="35122"/>
    <cellStyle name="Standaard 3 4 2 2 2 3 2 2" xfId="35123"/>
    <cellStyle name="Standaard 3 4 2 2 2 3 3" xfId="35124"/>
    <cellStyle name="Standaard 3 4 2 2 2 4" xfId="35125"/>
    <cellStyle name="Standaard 3 4 2 2 2 4 2" xfId="35126"/>
    <cellStyle name="Standaard 3 4 2 2 2 5" xfId="35127"/>
    <cellStyle name="Standaard 3 4 2 2 2 6" xfId="35128"/>
    <cellStyle name="Standaard 3 4 2 2 3" xfId="35129"/>
    <cellStyle name="Standaard 3 4 2 2 3 2" xfId="35130"/>
    <cellStyle name="Standaard 3 4 2 2 3 2 2" xfId="35131"/>
    <cellStyle name="Standaard 3 4 2 2 3 2 2 2" xfId="35132"/>
    <cellStyle name="Standaard 3 4 2 2 3 2 3" xfId="35133"/>
    <cellStyle name="Standaard 3 4 2 2 3 3" xfId="35134"/>
    <cellStyle name="Standaard 3 4 2 2 3 3 2" xfId="35135"/>
    <cellStyle name="Standaard 3 4 2 2 3 4" xfId="35136"/>
    <cellStyle name="Standaard 3 4 2 2 4" xfId="35137"/>
    <cellStyle name="Standaard 3 4 2 2 4 2" xfId="35138"/>
    <cellStyle name="Standaard 3 4 2 2 4 2 2" xfId="35139"/>
    <cellStyle name="Standaard 3 4 2 2 4 3" xfId="35140"/>
    <cellStyle name="Standaard 3 4 2 2 5" xfId="35141"/>
    <cellStyle name="Standaard 3 4 2 2 5 2" xfId="35142"/>
    <cellStyle name="Standaard 3 4 2 2 6" xfId="35143"/>
    <cellStyle name="Standaard 3 4 2 2 7" xfId="35144"/>
    <cellStyle name="Standaard 3 4 2 3" xfId="35145"/>
    <cellStyle name="Standaard 3 4 2 3 2" xfId="35146"/>
    <cellStyle name="Standaard 3 4 2 3 2 2" xfId="35147"/>
    <cellStyle name="Standaard 3 4 2 3 2 2 2" xfId="35148"/>
    <cellStyle name="Standaard 3 4 2 3 2 2 2 2" xfId="35149"/>
    <cellStyle name="Standaard 3 4 2 3 2 2 3" xfId="35150"/>
    <cellStyle name="Standaard 3 4 2 3 2 3" xfId="35151"/>
    <cellStyle name="Standaard 3 4 2 3 2 3 2" xfId="35152"/>
    <cellStyle name="Standaard 3 4 2 3 2 4" xfId="35153"/>
    <cellStyle name="Standaard 3 4 2 3 3" xfId="35154"/>
    <cellStyle name="Standaard 3 4 2 3 3 2" xfId="35155"/>
    <cellStyle name="Standaard 3 4 2 3 3 2 2" xfId="35156"/>
    <cellStyle name="Standaard 3 4 2 3 3 3" xfId="35157"/>
    <cellStyle name="Standaard 3 4 2 3 4" xfId="35158"/>
    <cellStyle name="Standaard 3 4 2 3 4 2" xfId="35159"/>
    <cellStyle name="Standaard 3 4 2 3 5" xfId="35160"/>
    <cellStyle name="Standaard 3 4 2 3 6" xfId="35161"/>
    <cellStyle name="Standaard 3 4 2 4" xfId="35162"/>
    <cellStyle name="Standaard 3 4 2 4 2" xfId="35163"/>
    <cellStyle name="Standaard 3 4 2 4 2 2" xfId="35164"/>
    <cellStyle name="Standaard 3 4 2 4 2 2 2" xfId="35165"/>
    <cellStyle name="Standaard 3 4 2 4 2 3" xfId="35166"/>
    <cellStyle name="Standaard 3 4 2 4 3" xfId="35167"/>
    <cellStyle name="Standaard 3 4 2 4 3 2" xfId="35168"/>
    <cellStyle name="Standaard 3 4 2 4 4" xfId="35169"/>
    <cellStyle name="Standaard 3 4 2 5" xfId="35170"/>
    <cellStyle name="Standaard 3 4 2 5 2" xfId="35171"/>
    <cellStyle name="Standaard 3 4 2 5 2 2" xfId="35172"/>
    <cellStyle name="Standaard 3 4 2 5 3" xfId="35173"/>
    <cellStyle name="Standaard 3 4 2 6" xfId="35174"/>
    <cellStyle name="Standaard 3 4 2 6 2" xfId="35175"/>
    <cellStyle name="Standaard 3 4 2 7" xfId="35176"/>
    <cellStyle name="Standaard 3 4 2 8" xfId="35177"/>
    <cellStyle name="Standaard 3 4 3" xfId="35178"/>
    <cellStyle name="Standaard 3 4 3 2" xfId="35179"/>
    <cellStyle name="Standaard 3 4 3 2 2" xfId="35180"/>
    <cellStyle name="Standaard 3 4 3 2 2 2" xfId="35181"/>
    <cellStyle name="Standaard 3 4 3 2 2 2 2" xfId="35182"/>
    <cellStyle name="Standaard 3 4 3 2 2 2 2 2" xfId="35183"/>
    <cellStyle name="Standaard 3 4 3 2 2 2 3" xfId="35184"/>
    <cellStyle name="Standaard 3 4 3 2 2 3" xfId="35185"/>
    <cellStyle name="Standaard 3 4 3 2 2 3 2" xfId="35186"/>
    <cellStyle name="Standaard 3 4 3 2 2 4" xfId="35187"/>
    <cellStyle name="Standaard 3 4 3 2 3" xfId="35188"/>
    <cellStyle name="Standaard 3 4 3 2 3 2" xfId="35189"/>
    <cellStyle name="Standaard 3 4 3 2 3 2 2" xfId="35190"/>
    <cellStyle name="Standaard 3 4 3 2 3 3" xfId="35191"/>
    <cellStyle name="Standaard 3 4 3 2 4" xfId="35192"/>
    <cellStyle name="Standaard 3 4 3 2 4 2" xfId="35193"/>
    <cellStyle name="Standaard 3 4 3 2 5" xfId="35194"/>
    <cellStyle name="Standaard 3 4 3 2 6" xfId="35195"/>
    <cellStyle name="Standaard 3 4 3 3" xfId="35196"/>
    <cellStyle name="Standaard 3 4 3 3 2" xfId="35197"/>
    <cellStyle name="Standaard 3 4 3 3 2 2" xfId="35198"/>
    <cellStyle name="Standaard 3 4 3 3 2 2 2" xfId="35199"/>
    <cellStyle name="Standaard 3 4 3 3 2 3" xfId="35200"/>
    <cellStyle name="Standaard 3 4 3 3 3" xfId="35201"/>
    <cellStyle name="Standaard 3 4 3 3 3 2" xfId="35202"/>
    <cellStyle name="Standaard 3 4 3 3 4" xfId="35203"/>
    <cellStyle name="Standaard 3 4 3 4" xfId="35204"/>
    <cellStyle name="Standaard 3 4 3 4 2" xfId="35205"/>
    <cellStyle name="Standaard 3 4 3 4 2 2" xfId="35206"/>
    <cellStyle name="Standaard 3 4 3 4 3" xfId="35207"/>
    <cellStyle name="Standaard 3 4 3 5" xfId="35208"/>
    <cellStyle name="Standaard 3 4 3 5 2" xfId="35209"/>
    <cellStyle name="Standaard 3 4 3 6" xfId="35210"/>
    <cellStyle name="Standaard 3 4 3 7" xfId="35211"/>
    <cellStyle name="Standaard 3 4 4" xfId="35212"/>
    <cellStyle name="Standaard 3 4 4 2" xfId="35213"/>
    <cellStyle name="Standaard 3 4 4 2 2" xfId="35214"/>
    <cellStyle name="Standaard 3 4 4 2 2 2" xfId="35215"/>
    <cellStyle name="Standaard 3 4 4 2 2 2 2" xfId="35216"/>
    <cellStyle name="Standaard 3 4 4 2 2 3" xfId="35217"/>
    <cellStyle name="Standaard 3 4 4 2 3" xfId="35218"/>
    <cellStyle name="Standaard 3 4 4 2 3 2" xfId="35219"/>
    <cellStyle name="Standaard 3 4 4 2 4" xfId="35220"/>
    <cellStyle name="Standaard 3 4 4 3" xfId="35221"/>
    <cellStyle name="Standaard 3 4 4 3 2" xfId="35222"/>
    <cellStyle name="Standaard 3 4 4 3 2 2" xfId="35223"/>
    <cellStyle name="Standaard 3 4 4 3 3" xfId="35224"/>
    <cellStyle name="Standaard 3 4 4 4" xfId="35225"/>
    <cellStyle name="Standaard 3 4 4 4 2" xfId="35226"/>
    <cellStyle name="Standaard 3 4 4 5" xfId="35227"/>
    <cellStyle name="Standaard 3 4 4 6" xfId="35228"/>
    <cellStyle name="Standaard 3 4 5" xfId="35229"/>
    <cellStyle name="Standaard 3 4 5 2" xfId="35230"/>
    <cellStyle name="Standaard 3 4 5 2 2" xfId="35231"/>
    <cellStyle name="Standaard 3 4 5 2 2 2" xfId="35232"/>
    <cellStyle name="Standaard 3 4 5 2 3" xfId="35233"/>
    <cellStyle name="Standaard 3 4 5 3" xfId="35234"/>
    <cellStyle name="Standaard 3 4 5 3 2" xfId="35235"/>
    <cellStyle name="Standaard 3 4 5 4" xfId="35236"/>
    <cellStyle name="Standaard 3 4 6" xfId="35237"/>
    <cellStyle name="Standaard 3 4 6 2" xfId="35238"/>
    <cellStyle name="Standaard 3 4 6 2 2" xfId="35239"/>
    <cellStyle name="Standaard 3 4 6 3" xfId="35240"/>
    <cellStyle name="Standaard 3 4 7" xfId="35241"/>
    <cellStyle name="Standaard 3 4 7 2" xfId="35242"/>
    <cellStyle name="Standaard 3 4 8" xfId="35243"/>
    <cellStyle name="Standaard 3 4 9" xfId="35244"/>
    <cellStyle name="Standaard 3 5" xfId="35245"/>
    <cellStyle name="Standaard 3 5 2" xfId="35246"/>
    <cellStyle name="Standaard 3 5 2 2" xfId="35247"/>
    <cellStyle name="Standaard 3 5 2 2 2" xfId="35248"/>
    <cellStyle name="Standaard 3 5 2 2 2 2" xfId="35249"/>
    <cellStyle name="Standaard 3 5 2 2 2 2 2" xfId="35250"/>
    <cellStyle name="Standaard 3 5 2 2 2 2 2 2" xfId="35251"/>
    <cellStyle name="Standaard 3 5 2 2 2 2 3" xfId="35252"/>
    <cellStyle name="Standaard 3 5 2 2 2 3" xfId="35253"/>
    <cellStyle name="Standaard 3 5 2 2 2 3 2" xfId="35254"/>
    <cellStyle name="Standaard 3 5 2 2 2 4" xfId="35255"/>
    <cellStyle name="Standaard 3 5 2 2 3" xfId="35256"/>
    <cellStyle name="Standaard 3 5 2 2 3 2" xfId="35257"/>
    <cellStyle name="Standaard 3 5 2 2 3 2 2" xfId="35258"/>
    <cellStyle name="Standaard 3 5 2 2 3 3" xfId="35259"/>
    <cellStyle name="Standaard 3 5 2 2 4" xfId="35260"/>
    <cellStyle name="Standaard 3 5 2 2 4 2" xfId="35261"/>
    <cellStyle name="Standaard 3 5 2 2 5" xfId="35262"/>
    <cellStyle name="Standaard 3 5 2 2 6" xfId="35263"/>
    <cellStyle name="Standaard 3 5 2 3" xfId="35264"/>
    <cellStyle name="Standaard 3 5 2 3 2" xfId="35265"/>
    <cellStyle name="Standaard 3 5 2 3 2 2" xfId="35266"/>
    <cellStyle name="Standaard 3 5 2 3 2 2 2" xfId="35267"/>
    <cellStyle name="Standaard 3 5 2 3 2 3" xfId="35268"/>
    <cellStyle name="Standaard 3 5 2 3 3" xfId="35269"/>
    <cellStyle name="Standaard 3 5 2 3 3 2" xfId="35270"/>
    <cellStyle name="Standaard 3 5 2 3 4" xfId="35271"/>
    <cellStyle name="Standaard 3 5 2 4" xfId="35272"/>
    <cellStyle name="Standaard 3 5 2 4 2" xfId="35273"/>
    <cellStyle name="Standaard 3 5 2 4 2 2" xfId="35274"/>
    <cellStyle name="Standaard 3 5 2 4 3" xfId="35275"/>
    <cellStyle name="Standaard 3 5 2 5" xfId="35276"/>
    <cellStyle name="Standaard 3 5 2 5 2" xfId="35277"/>
    <cellStyle name="Standaard 3 5 2 6" xfId="35278"/>
    <cellStyle name="Standaard 3 5 2 7" xfId="35279"/>
    <cellStyle name="Standaard 3 5 3" xfId="35280"/>
    <cellStyle name="Standaard 3 5 3 2" xfId="35281"/>
    <cellStyle name="Standaard 3 5 3 2 2" xfId="35282"/>
    <cellStyle name="Standaard 3 5 3 2 2 2" xfId="35283"/>
    <cellStyle name="Standaard 3 5 3 2 2 2 2" xfId="35284"/>
    <cellStyle name="Standaard 3 5 3 2 2 3" xfId="35285"/>
    <cellStyle name="Standaard 3 5 3 2 3" xfId="35286"/>
    <cellStyle name="Standaard 3 5 3 2 3 2" xfId="35287"/>
    <cellStyle name="Standaard 3 5 3 2 4" xfId="35288"/>
    <cellStyle name="Standaard 3 5 3 3" xfId="35289"/>
    <cellStyle name="Standaard 3 5 3 3 2" xfId="35290"/>
    <cellStyle name="Standaard 3 5 3 3 2 2" xfId="35291"/>
    <cellStyle name="Standaard 3 5 3 3 3" xfId="35292"/>
    <cellStyle name="Standaard 3 5 3 4" xfId="35293"/>
    <cellStyle name="Standaard 3 5 3 4 2" xfId="35294"/>
    <cellStyle name="Standaard 3 5 3 5" xfId="35295"/>
    <cellStyle name="Standaard 3 5 3 6" xfId="35296"/>
    <cellStyle name="Standaard 3 5 4" xfId="35297"/>
    <cellStyle name="Standaard 3 5 4 2" xfId="35298"/>
    <cellStyle name="Standaard 3 5 4 2 2" xfId="35299"/>
    <cellStyle name="Standaard 3 5 4 2 2 2" xfId="35300"/>
    <cellStyle name="Standaard 3 5 4 2 3" xfId="35301"/>
    <cellStyle name="Standaard 3 5 4 3" xfId="35302"/>
    <cellStyle name="Standaard 3 5 4 3 2" xfId="35303"/>
    <cellStyle name="Standaard 3 5 4 4" xfId="35304"/>
    <cellStyle name="Standaard 3 5 5" xfId="35305"/>
    <cellStyle name="Standaard 3 5 5 2" xfId="35306"/>
    <cellStyle name="Standaard 3 5 5 2 2" xfId="35307"/>
    <cellStyle name="Standaard 3 5 5 3" xfId="35308"/>
    <cellStyle name="Standaard 3 5 6" xfId="35309"/>
    <cellStyle name="Standaard 3 5 6 2" xfId="35310"/>
    <cellStyle name="Standaard 3 5 7" xfId="35311"/>
    <cellStyle name="Standaard 3 5 8" xfId="35312"/>
    <cellStyle name="Standaard 3 6" xfId="35313"/>
    <cellStyle name="Standaard 3 6 2" xfId="35314"/>
    <cellStyle name="Standaard 3 6 2 2" xfId="35315"/>
    <cellStyle name="Standaard 3 6 2 2 2" xfId="35316"/>
    <cellStyle name="Standaard 3 6 2 2 2 2" xfId="35317"/>
    <cellStyle name="Standaard 3 6 2 2 2 2 2" xfId="35318"/>
    <cellStyle name="Standaard 3 6 2 2 2 2 2 2" xfId="35319"/>
    <cellStyle name="Standaard 3 6 2 2 2 2 3" xfId="35320"/>
    <cellStyle name="Standaard 3 6 2 2 2 3" xfId="35321"/>
    <cellStyle name="Standaard 3 6 2 2 2 3 2" xfId="35322"/>
    <cellStyle name="Standaard 3 6 2 2 2 4" xfId="35323"/>
    <cellStyle name="Standaard 3 6 2 2 3" xfId="35324"/>
    <cellStyle name="Standaard 3 6 2 2 3 2" xfId="35325"/>
    <cellStyle name="Standaard 3 6 2 2 3 2 2" xfId="35326"/>
    <cellStyle name="Standaard 3 6 2 2 3 3" xfId="35327"/>
    <cellStyle name="Standaard 3 6 2 2 4" xfId="35328"/>
    <cellStyle name="Standaard 3 6 2 2 4 2" xfId="35329"/>
    <cellStyle name="Standaard 3 6 2 2 5" xfId="35330"/>
    <cellStyle name="Standaard 3 6 2 2 6" xfId="35331"/>
    <cellStyle name="Standaard 3 6 2 3" xfId="35332"/>
    <cellStyle name="Standaard 3 6 2 3 2" xfId="35333"/>
    <cellStyle name="Standaard 3 6 2 3 2 2" xfId="35334"/>
    <cellStyle name="Standaard 3 6 2 3 2 2 2" xfId="35335"/>
    <cellStyle name="Standaard 3 6 2 3 2 3" xfId="35336"/>
    <cellStyle name="Standaard 3 6 2 3 3" xfId="35337"/>
    <cellStyle name="Standaard 3 6 2 3 3 2" xfId="35338"/>
    <cellStyle name="Standaard 3 6 2 3 4" xfId="35339"/>
    <cellStyle name="Standaard 3 6 2 4" xfId="35340"/>
    <cellStyle name="Standaard 3 6 2 4 2" xfId="35341"/>
    <cellStyle name="Standaard 3 6 2 4 2 2" xfId="35342"/>
    <cellStyle name="Standaard 3 6 2 4 3" xfId="35343"/>
    <cellStyle name="Standaard 3 6 2 5" xfId="35344"/>
    <cellStyle name="Standaard 3 6 2 5 2" xfId="35345"/>
    <cellStyle name="Standaard 3 6 2 6" xfId="35346"/>
    <cellStyle name="Standaard 3 6 2 7" xfId="35347"/>
    <cellStyle name="Standaard 3 6 3" xfId="35348"/>
    <cellStyle name="Standaard 3 6 3 2" xfId="35349"/>
    <cellStyle name="Standaard 3 6 3 2 2" xfId="35350"/>
    <cellStyle name="Standaard 3 6 3 2 2 2" xfId="35351"/>
    <cellStyle name="Standaard 3 6 3 2 2 2 2" xfId="35352"/>
    <cellStyle name="Standaard 3 6 3 2 2 3" xfId="35353"/>
    <cellStyle name="Standaard 3 6 3 2 3" xfId="35354"/>
    <cellStyle name="Standaard 3 6 3 2 3 2" xfId="35355"/>
    <cellStyle name="Standaard 3 6 3 2 4" xfId="35356"/>
    <cellStyle name="Standaard 3 6 3 3" xfId="35357"/>
    <cellStyle name="Standaard 3 6 3 3 2" xfId="35358"/>
    <cellStyle name="Standaard 3 6 3 3 2 2" xfId="35359"/>
    <cellStyle name="Standaard 3 6 3 3 3" xfId="35360"/>
    <cellStyle name="Standaard 3 6 3 4" xfId="35361"/>
    <cellStyle name="Standaard 3 6 3 4 2" xfId="35362"/>
    <cellStyle name="Standaard 3 6 3 5" xfId="35363"/>
    <cellStyle name="Standaard 3 6 3 6" xfId="35364"/>
    <cellStyle name="Standaard 3 6 4" xfId="35365"/>
    <cellStyle name="Standaard 3 6 4 2" xfId="35366"/>
    <cellStyle name="Standaard 3 6 4 2 2" xfId="35367"/>
    <cellStyle name="Standaard 3 6 4 2 2 2" xfId="35368"/>
    <cellStyle name="Standaard 3 6 4 2 3" xfId="35369"/>
    <cellStyle name="Standaard 3 6 4 3" xfId="35370"/>
    <cellStyle name="Standaard 3 6 4 3 2" xfId="35371"/>
    <cellStyle name="Standaard 3 6 4 4" xfId="35372"/>
    <cellStyle name="Standaard 3 6 5" xfId="35373"/>
    <cellStyle name="Standaard 3 6 5 2" xfId="35374"/>
    <cellStyle name="Standaard 3 6 5 2 2" xfId="35375"/>
    <cellStyle name="Standaard 3 6 5 3" xfId="35376"/>
    <cellStyle name="Standaard 3 6 6" xfId="35377"/>
    <cellStyle name="Standaard 3 6 6 2" xfId="35378"/>
    <cellStyle name="Standaard 3 6 7" xfId="35379"/>
    <cellStyle name="Standaard 3 6 8" xfId="35380"/>
    <cellStyle name="Standaard 3 7" xfId="35381"/>
    <cellStyle name="Standaard 3 7 2" xfId="35382"/>
    <cellStyle name="Standaard 3 7 2 2" xfId="35383"/>
    <cellStyle name="Standaard 3 7 2 2 2" xfId="35384"/>
    <cellStyle name="Standaard 3 7 2 2 2 2" xfId="35385"/>
    <cellStyle name="Standaard 3 7 2 2 2 2 2" xfId="35386"/>
    <cellStyle name="Standaard 3 7 2 2 2 3" xfId="35387"/>
    <cellStyle name="Standaard 3 7 2 2 3" xfId="35388"/>
    <cellStyle name="Standaard 3 7 2 2 3 2" xfId="35389"/>
    <cellStyle name="Standaard 3 7 2 2 4" xfId="35390"/>
    <cellStyle name="Standaard 3 7 2 3" xfId="35391"/>
    <cellStyle name="Standaard 3 7 2 3 2" xfId="35392"/>
    <cellStyle name="Standaard 3 7 2 3 2 2" xfId="35393"/>
    <cellStyle name="Standaard 3 7 2 3 3" xfId="35394"/>
    <cellStyle name="Standaard 3 7 2 4" xfId="35395"/>
    <cellStyle name="Standaard 3 7 2 4 2" xfId="35396"/>
    <cellStyle name="Standaard 3 7 2 5" xfId="35397"/>
    <cellStyle name="Standaard 3 7 2 6" xfId="35398"/>
    <cellStyle name="Standaard 3 7 3" xfId="35399"/>
    <cellStyle name="Standaard 3 7 3 2" xfId="35400"/>
    <cellStyle name="Standaard 3 7 3 2 2" xfId="35401"/>
    <cellStyle name="Standaard 3 7 3 2 2 2" xfId="35402"/>
    <cellStyle name="Standaard 3 7 3 2 3" xfId="35403"/>
    <cellStyle name="Standaard 3 7 3 3" xfId="35404"/>
    <cellStyle name="Standaard 3 7 3 3 2" xfId="35405"/>
    <cellStyle name="Standaard 3 7 3 4" xfId="35406"/>
    <cellStyle name="Standaard 3 7 4" xfId="35407"/>
    <cellStyle name="Standaard 3 7 4 2" xfId="35408"/>
    <cellStyle name="Standaard 3 7 4 2 2" xfId="35409"/>
    <cellStyle name="Standaard 3 7 4 3" xfId="35410"/>
    <cellStyle name="Standaard 3 7 5" xfId="35411"/>
    <cellStyle name="Standaard 3 7 5 2" xfId="35412"/>
    <cellStyle name="Standaard 3 7 6" xfId="35413"/>
    <cellStyle name="Standaard 3 7 7" xfId="35414"/>
    <cellStyle name="Standaard 3 8" xfId="35415"/>
    <cellStyle name="Standaard 3 8 2" xfId="35416"/>
    <cellStyle name="Standaard 3 8 2 2" xfId="35417"/>
    <cellStyle name="Standaard 3 8 2 2 2" xfId="35418"/>
    <cellStyle name="Standaard 3 8 2 2 2 2" xfId="35419"/>
    <cellStyle name="Standaard 3 8 2 2 3" xfId="35420"/>
    <cellStyle name="Standaard 3 8 2 3" xfId="35421"/>
    <cellStyle name="Standaard 3 8 2 3 2" xfId="35422"/>
    <cellStyle name="Standaard 3 8 2 4" xfId="35423"/>
    <cellStyle name="Standaard 3 8 3" xfId="35424"/>
    <cellStyle name="Standaard 3 8 3 2" xfId="35425"/>
    <cellStyle name="Standaard 3 8 3 2 2" xfId="35426"/>
    <cellStyle name="Standaard 3 8 3 3" xfId="35427"/>
    <cellStyle name="Standaard 3 8 4" xfId="35428"/>
    <cellStyle name="Standaard 3 8 4 2" xfId="35429"/>
    <cellStyle name="Standaard 3 8 5" xfId="35430"/>
    <cellStyle name="Standaard 3 8 6" xfId="35431"/>
    <cellStyle name="Standaard 3 9" xfId="35432"/>
    <cellStyle name="Standaard 3 9 2" xfId="35433"/>
    <cellStyle name="Standaard 3 9 2 2" xfId="35434"/>
    <cellStyle name="Standaard 3 9 2 2 2" xfId="35435"/>
    <cellStyle name="Standaard 3 9 2 3" xfId="35436"/>
    <cellStyle name="Standaard 3 9 3" xfId="35437"/>
    <cellStyle name="Standaard 3 9 3 2" xfId="35438"/>
    <cellStyle name="Standaard 3 9 4" xfId="35439"/>
    <cellStyle name="Standaard 30" xfId="35440"/>
    <cellStyle name="Standaard 30 2" xfId="35441"/>
    <cellStyle name="Standaard 31" xfId="35442"/>
    <cellStyle name="Standaard 31 2" xfId="35443"/>
    <cellStyle name="Standaard 31 2 2" xfId="35444"/>
    <cellStyle name="Standaard 31 2 2 2" xfId="35445"/>
    <cellStyle name="Standaard 31 2 2 2 2" xfId="35446"/>
    <cellStyle name="Standaard 31 2 2 2 2 2" xfId="35447"/>
    <cellStyle name="Standaard 31 2 2 2 2 2 2" xfId="35448"/>
    <cellStyle name="Standaard 31 2 2 2 2 3" xfId="35449"/>
    <cellStyle name="Standaard 31 2 2 2 3" xfId="35450"/>
    <cellStyle name="Standaard 31 2 2 2 3 2" xfId="35451"/>
    <cellStyle name="Standaard 31 2 2 2 4" xfId="35452"/>
    <cellStyle name="Standaard 31 2 2 3" xfId="35453"/>
    <cellStyle name="Standaard 31 2 2 3 2" xfId="35454"/>
    <cellStyle name="Standaard 31 2 2 3 2 2" xfId="35455"/>
    <cellStyle name="Standaard 31 2 2 3 3" xfId="35456"/>
    <cellStyle name="Standaard 31 2 2 4" xfId="35457"/>
    <cellStyle name="Standaard 31 2 2 4 2" xfId="35458"/>
    <cellStyle name="Standaard 31 2 2 5" xfId="35459"/>
    <cellStyle name="Standaard 31 2 2 6" xfId="35460"/>
    <cellStyle name="Standaard 31 2 3" xfId="35461"/>
    <cellStyle name="Standaard 31 2 3 2" xfId="35462"/>
    <cellStyle name="Standaard 31 2 3 2 2" xfId="35463"/>
    <cellStyle name="Standaard 31 2 3 2 2 2" xfId="35464"/>
    <cellStyle name="Standaard 31 2 3 2 3" xfId="35465"/>
    <cellStyle name="Standaard 31 2 3 3" xfId="35466"/>
    <cellStyle name="Standaard 31 2 3 3 2" xfId="35467"/>
    <cellStyle name="Standaard 31 2 3 4" xfId="35468"/>
    <cellStyle name="Standaard 31 2 4" xfId="35469"/>
    <cellStyle name="Standaard 31 2 4 2" xfId="35470"/>
    <cellStyle name="Standaard 31 2 4 2 2" xfId="35471"/>
    <cellStyle name="Standaard 31 2 4 3" xfId="35472"/>
    <cellStyle name="Standaard 31 2 5" xfId="35473"/>
    <cellStyle name="Standaard 31 2 5 2" xfId="35474"/>
    <cellStyle name="Standaard 31 2 6" xfId="35475"/>
    <cellStyle name="Standaard 31 2 7" xfId="35476"/>
    <cellStyle name="Standaard 31 3" xfId="35477"/>
    <cellStyle name="Standaard 31 3 2" xfId="35478"/>
    <cellStyle name="Standaard 31 3 2 2" xfId="35479"/>
    <cellStyle name="Standaard 31 3 2 2 2" xfId="35480"/>
    <cellStyle name="Standaard 31 3 2 2 2 2" xfId="35481"/>
    <cellStyle name="Standaard 31 3 2 2 3" xfId="35482"/>
    <cellStyle name="Standaard 31 3 2 3" xfId="35483"/>
    <cellStyle name="Standaard 31 3 2 3 2" xfId="35484"/>
    <cellStyle name="Standaard 31 3 2 4" xfId="35485"/>
    <cellStyle name="Standaard 31 3 3" xfId="35486"/>
    <cellStyle name="Standaard 31 3 3 2" xfId="35487"/>
    <cellStyle name="Standaard 31 3 3 2 2" xfId="35488"/>
    <cellStyle name="Standaard 31 3 3 3" xfId="35489"/>
    <cellStyle name="Standaard 31 3 4" xfId="35490"/>
    <cellStyle name="Standaard 31 3 4 2" xfId="35491"/>
    <cellStyle name="Standaard 31 3 5" xfId="35492"/>
    <cellStyle name="Standaard 31 3 6" xfId="35493"/>
    <cellStyle name="Standaard 31 4" xfId="35494"/>
    <cellStyle name="Standaard 31 4 2" xfId="35495"/>
    <cellStyle name="Standaard 31 4 2 2" xfId="35496"/>
    <cellStyle name="Standaard 31 4 2 2 2" xfId="35497"/>
    <cellStyle name="Standaard 31 4 2 3" xfId="35498"/>
    <cellStyle name="Standaard 31 4 3" xfId="35499"/>
    <cellStyle name="Standaard 31 4 3 2" xfId="35500"/>
    <cellStyle name="Standaard 31 4 4" xfId="35501"/>
    <cellStyle name="Standaard 31 5" xfId="35502"/>
    <cellStyle name="Standaard 31 5 2" xfId="35503"/>
    <cellStyle name="Standaard 31 5 2 2" xfId="35504"/>
    <cellStyle name="Standaard 31 5 3" xfId="35505"/>
    <cellStyle name="Standaard 31 6" xfId="35506"/>
    <cellStyle name="Standaard 31 6 2" xfId="35507"/>
    <cellStyle name="Standaard 31 7" xfId="35508"/>
    <cellStyle name="Standaard 31 8" xfId="35509"/>
    <cellStyle name="Standaard 32" xfId="35510"/>
    <cellStyle name="Standaard 32 2" xfId="35511"/>
    <cellStyle name="Standaard 33" xfId="35512"/>
    <cellStyle name="Standaard 33 2" xfId="35513"/>
    <cellStyle name="Standaard 34" xfId="35514"/>
    <cellStyle name="Standaard 34 2" xfId="35515"/>
    <cellStyle name="Standaard 34 2 2" xfId="35516"/>
    <cellStyle name="Standaard 34 2 2 2" xfId="35517"/>
    <cellStyle name="Standaard 34 2 2 2 2" xfId="35518"/>
    <cellStyle name="Standaard 34 2 2 2 2 2" xfId="35519"/>
    <cellStyle name="Standaard 34 2 2 2 3" xfId="35520"/>
    <cellStyle name="Standaard 34 2 2 3" xfId="35521"/>
    <cellStyle name="Standaard 34 2 2 3 2" xfId="35522"/>
    <cellStyle name="Standaard 34 2 2 4" xfId="35523"/>
    <cellStyle name="Standaard 34 2 3" xfId="35524"/>
    <cellStyle name="Standaard 34 2 3 2" xfId="35525"/>
    <cellStyle name="Standaard 34 2 3 2 2" xfId="35526"/>
    <cellStyle name="Standaard 34 2 3 3" xfId="35527"/>
    <cellStyle name="Standaard 34 2 4" xfId="35528"/>
    <cellStyle name="Standaard 34 2 4 2" xfId="35529"/>
    <cellStyle name="Standaard 34 2 5" xfId="35530"/>
    <cellStyle name="Standaard 34 2 6" xfId="35531"/>
    <cellStyle name="Standaard 34 3" xfId="35532"/>
    <cellStyle name="Standaard 34 3 2" xfId="35533"/>
    <cellStyle name="Standaard 34 3 2 2" xfId="35534"/>
    <cellStyle name="Standaard 34 3 2 2 2" xfId="35535"/>
    <cellStyle name="Standaard 34 3 2 3" xfId="35536"/>
    <cellStyle name="Standaard 34 3 3" xfId="35537"/>
    <cellStyle name="Standaard 34 3 3 2" xfId="35538"/>
    <cellStyle name="Standaard 34 3 4" xfId="35539"/>
    <cellStyle name="Standaard 34 4" xfId="35540"/>
    <cellStyle name="Standaard 34 4 2" xfId="35541"/>
    <cellStyle name="Standaard 34 4 2 2" xfId="35542"/>
    <cellStyle name="Standaard 34 4 3" xfId="35543"/>
    <cellStyle name="Standaard 34 5" xfId="35544"/>
    <cellStyle name="Standaard 34 5 2" xfId="35545"/>
    <cellStyle name="Standaard 34 6" xfId="35546"/>
    <cellStyle name="Standaard 34 7" xfId="35547"/>
    <cellStyle name="Standaard 35" xfId="35548"/>
    <cellStyle name="Standaard 35 2" xfId="35549"/>
    <cellStyle name="Standaard 35 2 2" xfId="35550"/>
    <cellStyle name="Standaard 35 2 2 2" xfId="35551"/>
    <cellStyle name="Standaard 35 2 2 2 2" xfId="35552"/>
    <cellStyle name="Standaard 35 2 2 3" xfId="35553"/>
    <cellStyle name="Standaard 35 2 3" xfId="35554"/>
    <cellStyle name="Standaard 35 2 3 2" xfId="35555"/>
    <cellStyle name="Standaard 35 2 4" xfId="35556"/>
    <cellStyle name="Standaard 35 3" xfId="35557"/>
    <cellStyle name="Standaard 35 3 2" xfId="35558"/>
    <cellStyle name="Standaard 35 3 2 2" xfId="35559"/>
    <cellStyle name="Standaard 35 3 3" xfId="35560"/>
    <cellStyle name="Standaard 35 4" xfId="35561"/>
    <cellStyle name="Standaard 35 4 2" xfId="35562"/>
    <cellStyle name="Standaard 35 5" xfId="35563"/>
    <cellStyle name="Standaard 35 6" xfId="35564"/>
    <cellStyle name="Standaard 36" xfId="35565"/>
    <cellStyle name="Standaard 37" xfId="35566"/>
    <cellStyle name="Standaard 37 2" xfId="35567"/>
    <cellStyle name="Standaard 37 2 2" xfId="35568"/>
    <cellStyle name="Standaard 37 2 2 2" xfId="35569"/>
    <cellStyle name="Standaard 37 2 3" xfId="35570"/>
    <cellStyle name="Standaard 37 3" xfId="35571"/>
    <cellStyle name="Standaard 37 3 2" xfId="35572"/>
    <cellStyle name="Standaard 37 4" xfId="35573"/>
    <cellStyle name="Standaard 38" xfId="35574"/>
    <cellStyle name="Standaard 38 2" xfId="35575"/>
    <cellStyle name="Standaard 38 2 2" xfId="35576"/>
    <cellStyle name="Standaard 38 3" xfId="35577"/>
    <cellStyle name="Standaard 39" xfId="35578"/>
    <cellStyle name="Standaard 39 2" xfId="35579"/>
    <cellStyle name="Standaard 4" xfId="35580"/>
    <cellStyle name="Standaard 4 10" xfId="35581"/>
    <cellStyle name="Standaard 4 10 2" xfId="35582"/>
    <cellStyle name="Standaard 4 10 2 2" xfId="35583"/>
    <cellStyle name="Standaard 4 10 3" xfId="35584"/>
    <cellStyle name="Standaard 4 11" xfId="35585"/>
    <cellStyle name="Standaard 4 11 2" xfId="35586"/>
    <cellStyle name="Standaard 4 12" xfId="35587"/>
    <cellStyle name="Standaard 4 13" xfId="35588"/>
    <cellStyle name="Standaard 4 2" xfId="35589"/>
    <cellStyle name="Standaard 4 2 10" xfId="35590"/>
    <cellStyle name="Standaard 4 2 10 2" xfId="35591"/>
    <cellStyle name="Standaard 4 2 11" xfId="35592"/>
    <cellStyle name="Standaard 4 2 12" xfId="35593"/>
    <cellStyle name="Standaard 4 2 2" xfId="35594"/>
    <cellStyle name="Standaard 4 2 2 10" xfId="35595"/>
    <cellStyle name="Standaard 4 2 2 11" xfId="35596"/>
    <cellStyle name="Standaard 4 2 2 2" xfId="35597"/>
    <cellStyle name="Standaard 4 2 2 2 2" xfId="35598"/>
    <cellStyle name="Standaard 4 2 2 2 2 2" xfId="35599"/>
    <cellStyle name="Standaard 4 2 2 2 2 2 2" xfId="35600"/>
    <cellStyle name="Standaard 4 2 2 2 2 2 2 2" xfId="35601"/>
    <cellStyle name="Standaard 4 2 2 2 2 2 2 2 2" xfId="35602"/>
    <cellStyle name="Standaard 4 2 2 2 2 2 2 2 2 2" xfId="35603"/>
    <cellStyle name="Standaard 4 2 2 2 2 2 2 2 2 2 2" xfId="35604"/>
    <cellStyle name="Standaard 4 2 2 2 2 2 2 2 2 3" xfId="35605"/>
    <cellStyle name="Standaard 4 2 2 2 2 2 2 2 3" xfId="35606"/>
    <cellStyle name="Standaard 4 2 2 2 2 2 2 2 3 2" xfId="35607"/>
    <cellStyle name="Standaard 4 2 2 2 2 2 2 2 4" xfId="35608"/>
    <cellStyle name="Standaard 4 2 2 2 2 2 2 3" xfId="35609"/>
    <cellStyle name="Standaard 4 2 2 2 2 2 2 3 2" xfId="35610"/>
    <cellStyle name="Standaard 4 2 2 2 2 2 2 3 2 2" xfId="35611"/>
    <cellStyle name="Standaard 4 2 2 2 2 2 2 3 3" xfId="35612"/>
    <cellStyle name="Standaard 4 2 2 2 2 2 2 4" xfId="35613"/>
    <cellStyle name="Standaard 4 2 2 2 2 2 2 4 2" xfId="35614"/>
    <cellStyle name="Standaard 4 2 2 2 2 2 2 5" xfId="35615"/>
    <cellStyle name="Standaard 4 2 2 2 2 2 2 6" xfId="35616"/>
    <cellStyle name="Standaard 4 2 2 2 2 2 3" xfId="35617"/>
    <cellStyle name="Standaard 4 2 2 2 2 2 3 2" xfId="35618"/>
    <cellStyle name="Standaard 4 2 2 2 2 2 3 2 2" xfId="35619"/>
    <cellStyle name="Standaard 4 2 2 2 2 2 3 2 2 2" xfId="35620"/>
    <cellStyle name="Standaard 4 2 2 2 2 2 3 2 3" xfId="35621"/>
    <cellStyle name="Standaard 4 2 2 2 2 2 3 3" xfId="35622"/>
    <cellStyle name="Standaard 4 2 2 2 2 2 3 3 2" xfId="35623"/>
    <cellStyle name="Standaard 4 2 2 2 2 2 3 4" xfId="35624"/>
    <cellStyle name="Standaard 4 2 2 2 2 2 4" xfId="35625"/>
    <cellStyle name="Standaard 4 2 2 2 2 2 4 2" xfId="35626"/>
    <cellStyle name="Standaard 4 2 2 2 2 2 4 2 2" xfId="35627"/>
    <cellStyle name="Standaard 4 2 2 2 2 2 4 3" xfId="35628"/>
    <cellStyle name="Standaard 4 2 2 2 2 2 5" xfId="35629"/>
    <cellStyle name="Standaard 4 2 2 2 2 2 5 2" xfId="35630"/>
    <cellStyle name="Standaard 4 2 2 2 2 2 6" xfId="35631"/>
    <cellStyle name="Standaard 4 2 2 2 2 2 7" xfId="35632"/>
    <cellStyle name="Standaard 4 2 2 2 2 3" xfId="35633"/>
    <cellStyle name="Standaard 4 2 2 2 2 3 2" xfId="35634"/>
    <cellStyle name="Standaard 4 2 2 2 2 3 2 2" xfId="35635"/>
    <cellStyle name="Standaard 4 2 2 2 2 3 2 2 2" xfId="35636"/>
    <cellStyle name="Standaard 4 2 2 2 2 3 2 2 2 2" xfId="35637"/>
    <cellStyle name="Standaard 4 2 2 2 2 3 2 2 3" xfId="35638"/>
    <cellStyle name="Standaard 4 2 2 2 2 3 2 3" xfId="35639"/>
    <cellStyle name="Standaard 4 2 2 2 2 3 2 3 2" xfId="35640"/>
    <cellStyle name="Standaard 4 2 2 2 2 3 2 4" xfId="35641"/>
    <cellStyle name="Standaard 4 2 2 2 2 3 3" xfId="35642"/>
    <cellStyle name="Standaard 4 2 2 2 2 3 3 2" xfId="35643"/>
    <cellStyle name="Standaard 4 2 2 2 2 3 3 2 2" xfId="35644"/>
    <cellStyle name="Standaard 4 2 2 2 2 3 3 3" xfId="35645"/>
    <cellStyle name="Standaard 4 2 2 2 2 3 4" xfId="35646"/>
    <cellStyle name="Standaard 4 2 2 2 2 3 4 2" xfId="35647"/>
    <cellStyle name="Standaard 4 2 2 2 2 3 5" xfId="35648"/>
    <cellStyle name="Standaard 4 2 2 2 2 3 6" xfId="35649"/>
    <cellStyle name="Standaard 4 2 2 2 2 4" xfId="35650"/>
    <cellStyle name="Standaard 4 2 2 2 2 4 2" xfId="35651"/>
    <cellStyle name="Standaard 4 2 2 2 2 4 2 2" xfId="35652"/>
    <cellStyle name="Standaard 4 2 2 2 2 4 2 2 2" xfId="35653"/>
    <cellStyle name="Standaard 4 2 2 2 2 4 2 3" xfId="35654"/>
    <cellStyle name="Standaard 4 2 2 2 2 4 3" xfId="35655"/>
    <cellStyle name="Standaard 4 2 2 2 2 4 3 2" xfId="35656"/>
    <cellStyle name="Standaard 4 2 2 2 2 4 4" xfId="35657"/>
    <cellStyle name="Standaard 4 2 2 2 2 5" xfId="35658"/>
    <cellStyle name="Standaard 4 2 2 2 2 5 2" xfId="35659"/>
    <cellStyle name="Standaard 4 2 2 2 2 5 2 2" xfId="35660"/>
    <cellStyle name="Standaard 4 2 2 2 2 5 3" xfId="35661"/>
    <cellStyle name="Standaard 4 2 2 2 2 6" xfId="35662"/>
    <cellStyle name="Standaard 4 2 2 2 2 6 2" xfId="35663"/>
    <cellStyle name="Standaard 4 2 2 2 2 7" xfId="35664"/>
    <cellStyle name="Standaard 4 2 2 2 2 8" xfId="35665"/>
    <cellStyle name="Standaard 4 2 2 2 3" xfId="35666"/>
    <cellStyle name="Standaard 4 2 2 2 3 2" xfId="35667"/>
    <cellStyle name="Standaard 4 2 2 2 3 2 2" xfId="35668"/>
    <cellStyle name="Standaard 4 2 2 2 3 2 2 2" xfId="35669"/>
    <cellStyle name="Standaard 4 2 2 2 3 2 2 2 2" xfId="35670"/>
    <cellStyle name="Standaard 4 2 2 2 3 2 2 2 2 2" xfId="35671"/>
    <cellStyle name="Standaard 4 2 2 2 3 2 2 2 3" xfId="35672"/>
    <cellStyle name="Standaard 4 2 2 2 3 2 2 3" xfId="35673"/>
    <cellStyle name="Standaard 4 2 2 2 3 2 2 3 2" xfId="35674"/>
    <cellStyle name="Standaard 4 2 2 2 3 2 2 4" xfId="35675"/>
    <cellStyle name="Standaard 4 2 2 2 3 2 3" xfId="35676"/>
    <cellStyle name="Standaard 4 2 2 2 3 2 3 2" xfId="35677"/>
    <cellStyle name="Standaard 4 2 2 2 3 2 3 2 2" xfId="35678"/>
    <cellStyle name="Standaard 4 2 2 2 3 2 3 3" xfId="35679"/>
    <cellStyle name="Standaard 4 2 2 2 3 2 4" xfId="35680"/>
    <cellStyle name="Standaard 4 2 2 2 3 2 4 2" xfId="35681"/>
    <cellStyle name="Standaard 4 2 2 2 3 2 5" xfId="35682"/>
    <cellStyle name="Standaard 4 2 2 2 3 2 6" xfId="35683"/>
    <cellStyle name="Standaard 4 2 2 2 3 3" xfId="35684"/>
    <cellStyle name="Standaard 4 2 2 2 3 3 2" xfId="35685"/>
    <cellStyle name="Standaard 4 2 2 2 3 3 2 2" xfId="35686"/>
    <cellStyle name="Standaard 4 2 2 2 3 3 2 2 2" xfId="35687"/>
    <cellStyle name="Standaard 4 2 2 2 3 3 2 3" xfId="35688"/>
    <cellStyle name="Standaard 4 2 2 2 3 3 3" xfId="35689"/>
    <cellStyle name="Standaard 4 2 2 2 3 3 3 2" xfId="35690"/>
    <cellStyle name="Standaard 4 2 2 2 3 3 4" xfId="35691"/>
    <cellStyle name="Standaard 4 2 2 2 3 4" xfId="35692"/>
    <cellStyle name="Standaard 4 2 2 2 3 4 2" xfId="35693"/>
    <cellStyle name="Standaard 4 2 2 2 3 4 2 2" xfId="35694"/>
    <cellStyle name="Standaard 4 2 2 2 3 4 3" xfId="35695"/>
    <cellStyle name="Standaard 4 2 2 2 3 5" xfId="35696"/>
    <cellStyle name="Standaard 4 2 2 2 3 5 2" xfId="35697"/>
    <cellStyle name="Standaard 4 2 2 2 3 6" xfId="35698"/>
    <cellStyle name="Standaard 4 2 2 2 3 7" xfId="35699"/>
    <cellStyle name="Standaard 4 2 2 2 4" xfId="35700"/>
    <cellStyle name="Standaard 4 2 2 2 4 2" xfId="35701"/>
    <cellStyle name="Standaard 4 2 2 2 4 2 2" xfId="35702"/>
    <cellStyle name="Standaard 4 2 2 2 4 2 2 2" xfId="35703"/>
    <cellStyle name="Standaard 4 2 2 2 4 2 2 2 2" xfId="35704"/>
    <cellStyle name="Standaard 4 2 2 2 4 2 2 3" xfId="35705"/>
    <cellStyle name="Standaard 4 2 2 2 4 2 3" xfId="35706"/>
    <cellStyle name="Standaard 4 2 2 2 4 2 3 2" xfId="35707"/>
    <cellStyle name="Standaard 4 2 2 2 4 2 4" xfId="35708"/>
    <cellStyle name="Standaard 4 2 2 2 4 3" xfId="35709"/>
    <cellStyle name="Standaard 4 2 2 2 4 3 2" xfId="35710"/>
    <cellStyle name="Standaard 4 2 2 2 4 3 2 2" xfId="35711"/>
    <cellStyle name="Standaard 4 2 2 2 4 3 3" xfId="35712"/>
    <cellStyle name="Standaard 4 2 2 2 4 4" xfId="35713"/>
    <cellStyle name="Standaard 4 2 2 2 4 4 2" xfId="35714"/>
    <cellStyle name="Standaard 4 2 2 2 4 5" xfId="35715"/>
    <cellStyle name="Standaard 4 2 2 2 4 6" xfId="35716"/>
    <cellStyle name="Standaard 4 2 2 2 5" xfId="35717"/>
    <cellStyle name="Standaard 4 2 2 2 5 2" xfId="35718"/>
    <cellStyle name="Standaard 4 2 2 2 5 2 2" xfId="35719"/>
    <cellStyle name="Standaard 4 2 2 2 5 2 2 2" xfId="35720"/>
    <cellStyle name="Standaard 4 2 2 2 5 2 3" xfId="35721"/>
    <cellStyle name="Standaard 4 2 2 2 5 3" xfId="35722"/>
    <cellStyle name="Standaard 4 2 2 2 5 3 2" xfId="35723"/>
    <cellStyle name="Standaard 4 2 2 2 5 4" xfId="35724"/>
    <cellStyle name="Standaard 4 2 2 2 6" xfId="35725"/>
    <cellStyle name="Standaard 4 2 2 2 6 2" xfId="35726"/>
    <cellStyle name="Standaard 4 2 2 2 6 2 2" xfId="35727"/>
    <cellStyle name="Standaard 4 2 2 2 6 3" xfId="35728"/>
    <cellStyle name="Standaard 4 2 2 2 7" xfId="35729"/>
    <cellStyle name="Standaard 4 2 2 2 7 2" xfId="35730"/>
    <cellStyle name="Standaard 4 2 2 2 8" xfId="35731"/>
    <cellStyle name="Standaard 4 2 2 2 9" xfId="35732"/>
    <cellStyle name="Standaard 4 2 2 3" xfId="35733"/>
    <cellStyle name="Standaard 4 2 2 3 2" xfId="35734"/>
    <cellStyle name="Standaard 4 2 2 3 2 2" xfId="35735"/>
    <cellStyle name="Standaard 4 2 2 3 2 2 2" xfId="35736"/>
    <cellStyle name="Standaard 4 2 2 3 2 2 2 2" xfId="35737"/>
    <cellStyle name="Standaard 4 2 2 3 2 2 2 2 2" xfId="35738"/>
    <cellStyle name="Standaard 4 2 2 3 2 2 2 2 2 2" xfId="35739"/>
    <cellStyle name="Standaard 4 2 2 3 2 2 2 2 3" xfId="35740"/>
    <cellStyle name="Standaard 4 2 2 3 2 2 2 3" xfId="35741"/>
    <cellStyle name="Standaard 4 2 2 3 2 2 2 3 2" xfId="35742"/>
    <cellStyle name="Standaard 4 2 2 3 2 2 2 4" xfId="35743"/>
    <cellStyle name="Standaard 4 2 2 3 2 2 3" xfId="35744"/>
    <cellStyle name="Standaard 4 2 2 3 2 2 3 2" xfId="35745"/>
    <cellStyle name="Standaard 4 2 2 3 2 2 3 2 2" xfId="35746"/>
    <cellStyle name="Standaard 4 2 2 3 2 2 3 3" xfId="35747"/>
    <cellStyle name="Standaard 4 2 2 3 2 2 4" xfId="35748"/>
    <cellStyle name="Standaard 4 2 2 3 2 2 4 2" xfId="35749"/>
    <cellStyle name="Standaard 4 2 2 3 2 2 5" xfId="35750"/>
    <cellStyle name="Standaard 4 2 2 3 2 2 6" xfId="35751"/>
    <cellStyle name="Standaard 4 2 2 3 2 3" xfId="35752"/>
    <cellStyle name="Standaard 4 2 2 3 2 3 2" xfId="35753"/>
    <cellStyle name="Standaard 4 2 2 3 2 3 2 2" xfId="35754"/>
    <cellStyle name="Standaard 4 2 2 3 2 3 2 2 2" xfId="35755"/>
    <cellStyle name="Standaard 4 2 2 3 2 3 2 3" xfId="35756"/>
    <cellStyle name="Standaard 4 2 2 3 2 3 3" xfId="35757"/>
    <cellStyle name="Standaard 4 2 2 3 2 3 3 2" xfId="35758"/>
    <cellStyle name="Standaard 4 2 2 3 2 3 4" xfId="35759"/>
    <cellStyle name="Standaard 4 2 2 3 2 4" xfId="35760"/>
    <cellStyle name="Standaard 4 2 2 3 2 4 2" xfId="35761"/>
    <cellStyle name="Standaard 4 2 2 3 2 4 2 2" xfId="35762"/>
    <cellStyle name="Standaard 4 2 2 3 2 4 3" xfId="35763"/>
    <cellStyle name="Standaard 4 2 2 3 2 5" xfId="35764"/>
    <cellStyle name="Standaard 4 2 2 3 2 5 2" xfId="35765"/>
    <cellStyle name="Standaard 4 2 2 3 2 6" xfId="35766"/>
    <cellStyle name="Standaard 4 2 2 3 2 7" xfId="35767"/>
    <cellStyle name="Standaard 4 2 2 3 3" xfId="35768"/>
    <cellStyle name="Standaard 4 2 2 3 3 2" xfId="35769"/>
    <cellStyle name="Standaard 4 2 2 3 3 2 2" xfId="35770"/>
    <cellStyle name="Standaard 4 2 2 3 3 2 2 2" xfId="35771"/>
    <cellStyle name="Standaard 4 2 2 3 3 2 2 2 2" xfId="35772"/>
    <cellStyle name="Standaard 4 2 2 3 3 2 2 3" xfId="35773"/>
    <cellStyle name="Standaard 4 2 2 3 3 2 3" xfId="35774"/>
    <cellStyle name="Standaard 4 2 2 3 3 2 3 2" xfId="35775"/>
    <cellStyle name="Standaard 4 2 2 3 3 2 4" xfId="35776"/>
    <cellStyle name="Standaard 4 2 2 3 3 3" xfId="35777"/>
    <cellStyle name="Standaard 4 2 2 3 3 3 2" xfId="35778"/>
    <cellStyle name="Standaard 4 2 2 3 3 3 2 2" xfId="35779"/>
    <cellStyle name="Standaard 4 2 2 3 3 3 3" xfId="35780"/>
    <cellStyle name="Standaard 4 2 2 3 3 4" xfId="35781"/>
    <cellStyle name="Standaard 4 2 2 3 3 4 2" xfId="35782"/>
    <cellStyle name="Standaard 4 2 2 3 3 5" xfId="35783"/>
    <cellStyle name="Standaard 4 2 2 3 3 6" xfId="35784"/>
    <cellStyle name="Standaard 4 2 2 3 4" xfId="35785"/>
    <cellStyle name="Standaard 4 2 2 3 4 2" xfId="35786"/>
    <cellStyle name="Standaard 4 2 2 3 4 2 2" xfId="35787"/>
    <cellStyle name="Standaard 4 2 2 3 4 2 2 2" xfId="35788"/>
    <cellStyle name="Standaard 4 2 2 3 4 2 3" xfId="35789"/>
    <cellStyle name="Standaard 4 2 2 3 4 3" xfId="35790"/>
    <cellStyle name="Standaard 4 2 2 3 4 3 2" xfId="35791"/>
    <cellStyle name="Standaard 4 2 2 3 4 4" xfId="35792"/>
    <cellStyle name="Standaard 4 2 2 3 5" xfId="35793"/>
    <cellStyle name="Standaard 4 2 2 3 5 2" xfId="35794"/>
    <cellStyle name="Standaard 4 2 2 3 5 2 2" xfId="35795"/>
    <cellStyle name="Standaard 4 2 2 3 5 3" xfId="35796"/>
    <cellStyle name="Standaard 4 2 2 3 6" xfId="35797"/>
    <cellStyle name="Standaard 4 2 2 3 6 2" xfId="35798"/>
    <cellStyle name="Standaard 4 2 2 3 7" xfId="35799"/>
    <cellStyle name="Standaard 4 2 2 3 8" xfId="35800"/>
    <cellStyle name="Standaard 4 2 2 4" xfId="35801"/>
    <cellStyle name="Standaard 4 2 2 4 2" xfId="35802"/>
    <cellStyle name="Standaard 4 2 2 4 2 2" xfId="35803"/>
    <cellStyle name="Standaard 4 2 2 4 2 2 2" xfId="35804"/>
    <cellStyle name="Standaard 4 2 2 4 2 2 2 2" xfId="35805"/>
    <cellStyle name="Standaard 4 2 2 4 2 2 2 2 2" xfId="35806"/>
    <cellStyle name="Standaard 4 2 2 4 2 2 2 2 2 2" xfId="35807"/>
    <cellStyle name="Standaard 4 2 2 4 2 2 2 2 3" xfId="35808"/>
    <cellStyle name="Standaard 4 2 2 4 2 2 2 3" xfId="35809"/>
    <cellStyle name="Standaard 4 2 2 4 2 2 2 3 2" xfId="35810"/>
    <cellStyle name="Standaard 4 2 2 4 2 2 2 4" xfId="35811"/>
    <cellStyle name="Standaard 4 2 2 4 2 2 3" xfId="35812"/>
    <cellStyle name="Standaard 4 2 2 4 2 2 3 2" xfId="35813"/>
    <cellStyle name="Standaard 4 2 2 4 2 2 3 2 2" xfId="35814"/>
    <cellStyle name="Standaard 4 2 2 4 2 2 3 3" xfId="35815"/>
    <cellStyle name="Standaard 4 2 2 4 2 2 4" xfId="35816"/>
    <cellStyle name="Standaard 4 2 2 4 2 2 4 2" xfId="35817"/>
    <cellStyle name="Standaard 4 2 2 4 2 2 5" xfId="35818"/>
    <cellStyle name="Standaard 4 2 2 4 2 2 6" xfId="35819"/>
    <cellStyle name="Standaard 4 2 2 4 2 3" xfId="35820"/>
    <cellStyle name="Standaard 4 2 2 4 2 3 2" xfId="35821"/>
    <cellStyle name="Standaard 4 2 2 4 2 3 2 2" xfId="35822"/>
    <cellStyle name="Standaard 4 2 2 4 2 3 2 2 2" xfId="35823"/>
    <cellStyle name="Standaard 4 2 2 4 2 3 2 3" xfId="35824"/>
    <cellStyle name="Standaard 4 2 2 4 2 3 3" xfId="35825"/>
    <cellStyle name="Standaard 4 2 2 4 2 3 3 2" xfId="35826"/>
    <cellStyle name="Standaard 4 2 2 4 2 3 4" xfId="35827"/>
    <cellStyle name="Standaard 4 2 2 4 2 4" xfId="35828"/>
    <cellStyle name="Standaard 4 2 2 4 2 4 2" xfId="35829"/>
    <cellStyle name="Standaard 4 2 2 4 2 4 2 2" xfId="35830"/>
    <cellStyle name="Standaard 4 2 2 4 2 4 3" xfId="35831"/>
    <cellStyle name="Standaard 4 2 2 4 2 5" xfId="35832"/>
    <cellStyle name="Standaard 4 2 2 4 2 5 2" xfId="35833"/>
    <cellStyle name="Standaard 4 2 2 4 2 6" xfId="35834"/>
    <cellStyle name="Standaard 4 2 2 4 2 7" xfId="35835"/>
    <cellStyle name="Standaard 4 2 2 4 3" xfId="35836"/>
    <cellStyle name="Standaard 4 2 2 4 3 2" xfId="35837"/>
    <cellStyle name="Standaard 4 2 2 4 3 2 2" xfId="35838"/>
    <cellStyle name="Standaard 4 2 2 4 3 2 2 2" xfId="35839"/>
    <cellStyle name="Standaard 4 2 2 4 3 2 2 2 2" xfId="35840"/>
    <cellStyle name="Standaard 4 2 2 4 3 2 2 3" xfId="35841"/>
    <cellStyle name="Standaard 4 2 2 4 3 2 3" xfId="35842"/>
    <cellStyle name="Standaard 4 2 2 4 3 2 3 2" xfId="35843"/>
    <cellStyle name="Standaard 4 2 2 4 3 2 4" xfId="35844"/>
    <cellStyle name="Standaard 4 2 2 4 3 3" xfId="35845"/>
    <cellStyle name="Standaard 4 2 2 4 3 3 2" xfId="35846"/>
    <cellStyle name="Standaard 4 2 2 4 3 3 2 2" xfId="35847"/>
    <cellStyle name="Standaard 4 2 2 4 3 3 3" xfId="35848"/>
    <cellStyle name="Standaard 4 2 2 4 3 4" xfId="35849"/>
    <cellStyle name="Standaard 4 2 2 4 3 4 2" xfId="35850"/>
    <cellStyle name="Standaard 4 2 2 4 3 5" xfId="35851"/>
    <cellStyle name="Standaard 4 2 2 4 3 6" xfId="35852"/>
    <cellStyle name="Standaard 4 2 2 4 4" xfId="35853"/>
    <cellStyle name="Standaard 4 2 2 4 4 2" xfId="35854"/>
    <cellStyle name="Standaard 4 2 2 4 4 2 2" xfId="35855"/>
    <cellStyle name="Standaard 4 2 2 4 4 2 2 2" xfId="35856"/>
    <cellStyle name="Standaard 4 2 2 4 4 2 3" xfId="35857"/>
    <cellStyle name="Standaard 4 2 2 4 4 3" xfId="35858"/>
    <cellStyle name="Standaard 4 2 2 4 4 3 2" xfId="35859"/>
    <cellStyle name="Standaard 4 2 2 4 4 4" xfId="35860"/>
    <cellStyle name="Standaard 4 2 2 4 5" xfId="35861"/>
    <cellStyle name="Standaard 4 2 2 4 5 2" xfId="35862"/>
    <cellStyle name="Standaard 4 2 2 4 5 2 2" xfId="35863"/>
    <cellStyle name="Standaard 4 2 2 4 5 3" xfId="35864"/>
    <cellStyle name="Standaard 4 2 2 4 6" xfId="35865"/>
    <cellStyle name="Standaard 4 2 2 4 6 2" xfId="35866"/>
    <cellStyle name="Standaard 4 2 2 4 7" xfId="35867"/>
    <cellStyle name="Standaard 4 2 2 4 8" xfId="35868"/>
    <cellStyle name="Standaard 4 2 2 5" xfId="35869"/>
    <cellStyle name="Standaard 4 2 2 5 2" xfId="35870"/>
    <cellStyle name="Standaard 4 2 2 5 2 2" xfId="35871"/>
    <cellStyle name="Standaard 4 2 2 5 2 2 2" xfId="35872"/>
    <cellStyle name="Standaard 4 2 2 5 2 2 2 2" xfId="35873"/>
    <cellStyle name="Standaard 4 2 2 5 2 2 2 2 2" xfId="35874"/>
    <cellStyle name="Standaard 4 2 2 5 2 2 2 3" xfId="35875"/>
    <cellStyle name="Standaard 4 2 2 5 2 2 3" xfId="35876"/>
    <cellStyle name="Standaard 4 2 2 5 2 2 3 2" xfId="35877"/>
    <cellStyle name="Standaard 4 2 2 5 2 2 4" xfId="35878"/>
    <cellStyle name="Standaard 4 2 2 5 2 3" xfId="35879"/>
    <cellStyle name="Standaard 4 2 2 5 2 3 2" xfId="35880"/>
    <cellStyle name="Standaard 4 2 2 5 2 3 2 2" xfId="35881"/>
    <cellStyle name="Standaard 4 2 2 5 2 3 3" xfId="35882"/>
    <cellStyle name="Standaard 4 2 2 5 2 4" xfId="35883"/>
    <cellStyle name="Standaard 4 2 2 5 2 4 2" xfId="35884"/>
    <cellStyle name="Standaard 4 2 2 5 2 5" xfId="35885"/>
    <cellStyle name="Standaard 4 2 2 5 2 6" xfId="35886"/>
    <cellStyle name="Standaard 4 2 2 5 3" xfId="35887"/>
    <cellStyle name="Standaard 4 2 2 5 3 2" xfId="35888"/>
    <cellStyle name="Standaard 4 2 2 5 3 2 2" xfId="35889"/>
    <cellStyle name="Standaard 4 2 2 5 3 2 2 2" xfId="35890"/>
    <cellStyle name="Standaard 4 2 2 5 3 2 3" xfId="35891"/>
    <cellStyle name="Standaard 4 2 2 5 3 3" xfId="35892"/>
    <cellStyle name="Standaard 4 2 2 5 3 3 2" xfId="35893"/>
    <cellStyle name="Standaard 4 2 2 5 3 4" xfId="35894"/>
    <cellStyle name="Standaard 4 2 2 5 4" xfId="35895"/>
    <cellStyle name="Standaard 4 2 2 5 4 2" xfId="35896"/>
    <cellStyle name="Standaard 4 2 2 5 4 2 2" xfId="35897"/>
    <cellStyle name="Standaard 4 2 2 5 4 3" xfId="35898"/>
    <cellStyle name="Standaard 4 2 2 5 5" xfId="35899"/>
    <cellStyle name="Standaard 4 2 2 5 5 2" xfId="35900"/>
    <cellStyle name="Standaard 4 2 2 5 6" xfId="35901"/>
    <cellStyle name="Standaard 4 2 2 5 7" xfId="35902"/>
    <cellStyle name="Standaard 4 2 2 6" xfId="35903"/>
    <cellStyle name="Standaard 4 2 2 6 2" xfId="35904"/>
    <cellStyle name="Standaard 4 2 2 6 2 2" xfId="35905"/>
    <cellStyle name="Standaard 4 2 2 6 2 2 2" xfId="35906"/>
    <cellStyle name="Standaard 4 2 2 6 2 2 2 2" xfId="35907"/>
    <cellStyle name="Standaard 4 2 2 6 2 2 3" xfId="35908"/>
    <cellStyle name="Standaard 4 2 2 6 2 3" xfId="35909"/>
    <cellStyle name="Standaard 4 2 2 6 2 3 2" xfId="35910"/>
    <cellStyle name="Standaard 4 2 2 6 2 4" xfId="35911"/>
    <cellStyle name="Standaard 4 2 2 6 3" xfId="35912"/>
    <cellStyle name="Standaard 4 2 2 6 3 2" xfId="35913"/>
    <cellStyle name="Standaard 4 2 2 6 3 2 2" xfId="35914"/>
    <cellStyle name="Standaard 4 2 2 6 3 3" xfId="35915"/>
    <cellStyle name="Standaard 4 2 2 6 4" xfId="35916"/>
    <cellStyle name="Standaard 4 2 2 6 4 2" xfId="35917"/>
    <cellStyle name="Standaard 4 2 2 6 5" xfId="35918"/>
    <cellStyle name="Standaard 4 2 2 6 6" xfId="35919"/>
    <cellStyle name="Standaard 4 2 2 7" xfId="35920"/>
    <cellStyle name="Standaard 4 2 2 7 2" xfId="35921"/>
    <cellStyle name="Standaard 4 2 2 7 2 2" xfId="35922"/>
    <cellStyle name="Standaard 4 2 2 7 2 2 2" xfId="35923"/>
    <cellStyle name="Standaard 4 2 2 7 2 3" xfId="35924"/>
    <cellStyle name="Standaard 4 2 2 7 3" xfId="35925"/>
    <cellStyle name="Standaard 4 2 2 7 3 2" xfId="35926"/>
    <cellStyle name="Standaard 4 2 2 7 4" xfId="35927"/>
    <cellStyle name="Standaard 4 2 2 8" xfId="35928"/>
    <cellStyle name="Standaard 4 2 2 8 2" xfId="35929"/>
    <cellStyle name="Standaard 4 2 2 8 2 2" xfId="35930"/>
    <cellStyle name="Standaard 4 2 2 8 3" xfId="35931"/>
    <cellStyle name="Standaard 4 2 2 9" xfId="35932"/>
    <cellStyle name="Standaard 4 2 2 9 2" xfId="35933"/>
    <cellStyle name="Standaard 4 2 3" xfId="35934"/>
    <cellStyle name="Standaard 4 2 3 2" xfId="35935"/>
    <cellStyle name="Standaard 4 2 3 2 2" xfId="35936"/>
    <cellStyle name="Standaard 4 2 3 2 2 2" xfId="35937"/>
    <cellStyle name="Standaard 4 2 3 2 2 2 2" xfId="35938"/>
    <cellStyle name="Standaard 4 2 3 2 2 2 2 2" xfId="35939"/>
    <cellStyle name="Standaard 4 2 3 2 2 2 2 2 2" xfId="35940"/>
    <cellStyle name="Standaard 4 2 3 2 2 2 2 2 2 2" xfId="35941"/>
    <cellStyle name="Standaard 4 2 3 2 2 2 2 2 3" xfId="35942"/>
    <cellStyle name="Standaard 4 2 3 2 2 2 2 3" xfId="35943"/>
    <cellStyle name="Standaard 4 2 3 2 2 2 2 3 2" xfId="35944"/>
    <cellStyle name="Standaard 4 2 3 2 2 2 2 4" xfId="35945"/>
    <cellStyle name="Standaard 4 2 3 2 2 2 3" xfId="35946"/>
    <cellStyle name="Standaard 4 2 3 2 2 2 3 2" xfId="35947"/>
    <cellStyle name="Standaard 4 2 3 2 2 2 3 2 2" xfId="35948"/>
    <cellStyle name="Standaard 4 2 3 2 2 2 3 3" xfId="35949"/>
    <cellStyle name="Standaard 4 2 3 2 2 2 4" xfId="35950"/>
    <cellStyle name="Standaard 4 2 3 2 2 2 4 2" xfId="35951"/>
    <cellStyle name="Standaard 4 2 3 2 2 2 5" xfId="35952"/>
    <cellStyle name="Standaard 4 2 3 2 2 2 6" xfId="35953"/>
    <cellStyle name="Standaard 4 2 3 2 2 3" xfId="35954"/>
    <cellStyle name="Standaard 4 2 3 2 2 3 2" xfId="35955"/>
    <cellStyle name="Standaard 4 2 3 2 2 3 2 2" xfId="35956"/>
    <cellStyle name="Standaard 4 2 3 2 2 3 2 2 2" xfId="35957"/>
    <cellStyle name="Standaard 4 2 3 2 2 3 2 3" xfId="35958"/>
    <cellStyle name="Standaard 4 2 3 2 2 3 3" xfId="35959"/>
    <cellStyle name="Standaard 4 2 3 2 2 3 3 2" xfId="35960"/>
    <cellStyle name="Standaard 4 2 3 2 2 3 4" xfId="35961"/>
    <cellStyle name="Standaard 4 2 3 2 2 4" xfId="35962"/>
    <cellStyle name="Standaard 4 2 3 2 2 4 2" xfId="35963"/>
    <cellStyle name="Standaard 4 2 3 2 2 4 2 2" xfId="35964"/>
    <cellStyle name="Standaard 4 2 3 2 2 4 3" xfId="35965"/>
    <cellStyle name="Standaard 4 2 3 2 2 5" xfId="35966"/>
    <cellStyle name="Standaard 4 2 3 2 2 5 2" xfId="35967"/>
    <cellStyle name="Standaard 4 2 3 2 2 6" xfId="35968"/>
    <cellStyle name="Standaard 4 2 3 2 2 7" xfId="35969"/>
    <cellStyle name="Standaard 4 2 3 2 3" xfId="35970"/>
    <cellStyle name="Standaard 4 2 3 2 3 2" xfId="35971"/>
    <cellStyle name="Standaard 4 2 3 2 3 2 2" xfId="35972"/>
    <cellStyle name="Standaard 4 2 3 2 3 2 2 2" xfId="35973"/>
    <cellStyle name="Standaard 4 2 3 2 3 2 2 2 2" xfId="35974"/>
    <cellStyle name="Standaard 4 2 3 2 3 2 2 3" xfId="35975"/>
    <cellStyle name="Standaard 4 2 3 2 3 2 3" xfId="35976"/>
    <cellStyle name="Standaard 4 2 3 2 3 2 3 2" xfId="35977"/>
    <cellStyle name="Standaard 4 2 3 2 3 2 4" xfId="35978"/>
    <cellStyle name="Standaard 4 2 3 2 3 3" xfId="35979"/>
    <cellStyle name="Standaard 4 2 3 2 3 3 2" xfId="35980"/>
    <cellStyle name="Standaard 4 2 3 2 3 3 2 2" xfId="35981"/>
    <cellStyle name="Standaard 4 2 3 2 3 3 3" xfId="35982"/>
    <cellStyle name="Standaard 4 2 3 2 3 4" xfId="35983"/>
    <cellStyle name="Standaard 4 2 3 2 3 4 2" xfId="35984"/>
    <cellStyle name="Standaard 4 2 3 2 3 5" xfId="35985"/>
    <cellStyle name="Standaard 4 2 3 2 3 6" xfId="35986"/>
    <cellStyle name="Standaard 4 2 3 2 4" xfId="35987"/>
    <cellStyle name="Standaard 4 2 3 2 4 2" xfId="35988"/>
    <cellStyle name="Standaard 4 2 3 2 4 2 2" xfId="35989"/>
    <cellStyle name="Standaard 4 2 3 2 4 2 2 2" xfId="35990"/>
    <cellStyle name="Standaard 4 2 3 2 4 2 3" xfId="35991"/>
    <cellStyle name="Standaard 4 2 3 2 4 3" xfId="35992"/>
    <cellStyle name="Standaard 4 2 3 2 4 3 2" xfId="35993"/>
    <cellStyle name="Standaard 4 2 3 2 4 4" xfId="35994"/>
    <cellStyle name="Standaard 4 2 3 2 5" xfId="35995"/>
    <cellStyle name="Standaard 4 2 3 2 5 2" xfId="35996"/>
    <cellStyle name="Standaard 4 2 3 2 5 2 2" xfId="35997"/>
    <cellStyle name="Standaard 4 2 3 2 5 3" xfId="35998"/>
    <cellStyle name="Standaard 4 2 3 2 6" xfId="35999"/>
    <cellStyle name="Standaard 4 2 3 2 6 2" xfId="36000"/>
    <cellStyle name="Standaard 4 2 3 2 7" xfId="36001"/>
    <cellStyle name="Standaard 4 2 3 2 8" xfId="36002"/>
    <cellStyle name="Standaard 4 2 3 3" xfId="36003"/>
    <cellStyle name="Standaard 4 2 3 3 2" xfId="36004"/>
    <cellStyle name="Standaard 4 2 3 3 2 2" xfId="36005"/>
    <cellStyle name="Standaard 4 2 3 3 2 2 2" xfId="36006"/>
    <cellStyle name="Standaard 4 2 3 3 2 2 2 2" xfId="36007"/>
    <cellStyle name="Standaard 4 2 3 3 2 2 2 2 2" xfId="36008"/>
    <cellStyle name="Standaard 4 2 3 3 2 2 2 3" xfId="36009"/>
    <cellStyle name="Standaard 4 2 3 3 2 2 3" xfId="36010"/>
    <cellStyle name="Standaard 4 2 3 3 2 2 3 2" xfId="36011"/>
    <cellStyle name="Standaard 4 2 3 3 2 2 4" xfId="36012"/>
    <cellStyle name="Standaard 4 2 3 3 2 3" xfId="36013"/>
    <cellStyle name="Standaard 4 2 3 3 2 3 2" xfId="36014"/>
    <cellStyle name="Standaard 4 2 3 3 2 3 2 2" xfId="36015"/>
    <cellStyle name="Standaard 4 2 3 3 2 3 3" xfId="36016"/>
    <cellStyle name="Standaard 4 2 3 3 2 4" xfId="36017"/>
    <cellStyle name="Standaard 4 2 3 3 2 4 2" xfId="36018"/>
    <cellStyle name="Standaard 4 2 3 3 2 5" xfId="36019"/>
    <cellStyle name="Standaard 4 2 3 3 2 6" xfId="36020"/>
    <cellStyle name="Standaard 4 2 3 3 3" xfId="36021"/>
    <cellStyle name="Standaard 4 2 3 3 3 2" xfId="36022"/>
    <cellStyle name="Standaard 4 2 3 3 3 2 2" xfId="36023"/>
    <cellStyle name="Standaard 4 2 3 3 3 2 2 2" xfId="36024"/>
    <cellStyle name="Standaard 4 2 3 3 3 2 3" xfId="36025"/>
    <cellStyle name="Standaard 4 2 3 3 3 3" xfId="36026"/>
    <cellStyle name="Standaard 4 2 3 3 3 3 2" xfId="36027"/>
    <cellStyle name="Standaard 4 2 3 3 3 4" xfId="36028"/>
    <cellStyle name="Standaard 4 2 3 3 4" xfId="36029"/>
    <cellStyle name="Standaard 4 2 3 3 4 2" xfId="36030"/>
    <cellStyle name="Standaard 4 2 3 3 4 2 2" xfId="36031"/>
    <cellStyle name="Standaard 4 2 3 3 4 3" xfId="36032"/>
    <cellStyle name="Standaard 4 2 3 3 5" xfId="36033"/>
    <cellStyle name="Standaard 4 2 3 3 5 2" xfId="36034"/>
    <cellStyle name="Standaard 4 2 3 3 6" xfId="36035"/>
    <cellStyle name="Standaard 4 2 3 3 7" xfId="36036"/>
    <cellStyle name="Standaard 4 2 3 4" xfId="36037"/>
    <cellStyle name="Standaard 4 2 3 4 2" xfId="36038"/>
    <cellStyle name="Standaard 4 2 3 4 2 2" xfId="36039"/>
    <cellStyle name="Standaard 4 2 3 4 2 2 2" xfId="36040"/>
    <cellStyle name="Standaard 4 2 3 4 2 2 2 2" xfId="36041"/>
    <cellStyle name="Standaard 4 2 3 4 2 2 3" xfId="36042"/>
    <cellStyle name="Standaard 4 2 3 4 2 3" xfId="36043"/>
    <cellStyle name="Standaard 4 2 3 4 2 3 2" xfId="36044"/>
    <cellStyle name="Standaard 4 2 3 4 2 4" xfId="36045"/>
    <cellStyle name="Standaard 4 2 3 4 3" xfId="36046"/>
    <cellStyle name="Standaard 4 2 3 4 3 2" xfId="36047"/>
    <cellStyle name="Standaard 4 2 3 4 3 2 2" xfId="36048"/>
    <cellStyle name="Standaard 4 2 3 4 3 3" xfId="36049"/>
    <cellStyle name="Standaard 4 2 3 4 4" xfId="36050"/>
    <cellStyle name="Standaard 4 2 3 4 4 2" xfId="36051"/>
    <cellStyle name="Standaard 4 2 3 4 5" xfId="36052"/>
    <cellStyle name="Standaard 4 2 3 4 6" xfId="36053"/>
    <cellStyle name="Standaard 4 2 3 5" xfId="36054"/>
    <cellStyle name="Standaard 4 2 3 5 2" xfId="36055"/>
    <cellStyle name="Standaard 4 2 3 5 2 2" xfId="36056"/>
    <cellStyle name="Standaard 4 2 3 5 2 2 2" xfId="36057"/>
    <cellStyle name="Standaard 4 2 3 5 2 3" xfId="36058"/>
    <cellStyle name="Standaard 4 2 3 5 3" xfId="36059"/>
    <cellStyle name="Standaard 4 2 3 5 3 2" xfId="36060"/>
    <cellStyle name="Standaard 4 2 3 5 4" xfId="36061"/>
    <cellStyle name="Standaard 4 2 3 6" xfId="36062"/>
    <cellStyle name="Standaard 4 2 3 6 2" xfId="36063"/>
    <cellStyle name="Standaard 4 2 3 6 2 2" xfId="36064"/>
    <cellStyle name="Standaard 4 2 3 6 3" xfId="36065"/>
    <cellStyle name="Standaard 4 2 3 7" xfId="36066"/>
    <cellStyle name="Standaard 4 2 3 7 2" xfId="36067"/>
    <cellStyle name="Standaard 4 2 3 8" xfId="36068"/>
    <cellStyle name="Standaard 4 2 3 9" xfId="36069"/>
    <cellStyle name="Standaard 4 2 4" xfId="36070"/>
    <cellStyle name="Standaard 4 2 4 2" xfId="36071"/>
    <cellStyle name="Standaard 4 2 4 2 2" xfId="36072"/>
    <cellStyle name="Standaard 4 2 4 2 2 2" xfId="36073"/>
    <cellStyle name="Standaard 4 2 4 2 2 2 2" xfId="36074"/>
    <cellStyle name="Standaard 4 2 4 2 2 2 2 2" xfId="36075"/>
    <cellStyle name="Standaard 4 2 4 2 2 2 2 2 2" xfId="36076"/>
    <cellStyle name="Standaard 4 2 4 2 2 2 2 3" xfId="36077"/>
    <cellStyle name="Standaard 4 2 4 2 2 2 3" xfId="36078"/>
    <cellStyle name="Standaard 4 2 4 2 2 2 3 2" xfId="36079"/>
    <cellStyle name="Standaard 4 2 4 2 2 2 4" xfId="36080"/>
    <cellStyle name="Standaard 4 2 4 2 2 3" xfId="36081"/>
    <cellStyle name="Standaard 4 2 4 2 2 3 2" xfId="36082"/>
    <cellStyle name="Standaard 4 2 4 2 2 3 2 2" xfId="36083"/>
    <cellStyle name="Standaard 4 2 4 2 2 3 3" xfId="36084"/>
    <cellStyle name="Standaard 4 2 4 2 2 4" xfId="36085"/>
    <cellStyle name="Standaard 4 2 4 2 2 4 2" xfId="36086"/>
    <cellStyle name="Standaard 4 2 4 2 2 5" xfId="36087"/>
    <cellStyle name="Standaard 4 2 4 2 2 6" xfId="36088"/>
    <cellStyle name="Standaard 4 2 4 2 3" xfId="36089"/>
    <cellStyle name="Standaard 4 2 4 2 3 2" xfId="36090"/>
    <cellStyle name="Standaard 4 2 4 2 3 2 2" xfId="36091"/>
    <cellStyle name="Standaard 4 2 4 2 3 2 2 2" xfId="36092"/>
    <cellStyle name="Standaard 4 2 4 2 3 2 3" xfId="36093"/>
    <cellStyle name="Standaard 4 2 4 2 3 3" xfId="36094"/>
    <cellStyle name="Standaard 4 2 4 2 3 3 2" xfId="36095"/>
    <cellStyle name="Standaard 4 2 4 2 3 4" xfId="36096"/>
    <cellStyle name="Standaard 4 2 4 2 4" xfId="36097"/>
    <cellStyle name="Standaard 4 2 4 2 4 2" xfId="36098"/>
    <cellStyle name="Standaard 4 2 4 2 4 2 2" xfId="36099"/>
    <cellStyle name="Standaard 4 2 4 2 4 3" xfId="36100"/>
    <cellStyle name="Standaard 4 2 4 2 5" xfId="36101"/>
    <cellStyle name="Standaard 4 2 4 2 5 2" xfId="36102"/>
    <cellStyle name="Standaard 4 2 4 2 6" xfId="36103"/>
    <cellStyle name="Standaard 4 2 4 2 7" xfId="36104"/>
    <cellStyle name="Standaard 4 2 4 3" xfId="36105"/>
    <cellStyle name="Standaard 4 2 4 3 2" xfId="36106"/>
    <cellStyle name="Standaard 4 2 4 3 2 2" xfId="36107"/>
    <cellStyle name="Standaard 4 2 4 3 2 2 2" xfId="36108"/>
    <cellStyle name="Standaard 4 2 4 3 2 2 2 2" xfId="36109"/>
    <cellStyle name="Standaard 4 2 4 3 2 2 3" xfId="36110"/>
    <cellStyle name="Standaard 4 2 4 3 2 3" xfId="36111"/>
    <cellStyle name="Standaard 4 2 4 3 2 3 2" xfId="36112"/>
    <cellStyle name="Standaard 4 2 4 3 2 4" xfId="36113"/>
    <cellStyle name="Standaard 4 2 4 3 3" xfId="36114"/>
    <cellStyle name="Standaard 4 2 4 3 3 2" xfId="36115"/>
    <cellStyle name="Standaard 4 2 4 3 3 2 2" xfId="36116"/>
    <cellStyle name="Standaard 4 2 4 3 3 3" xfId="36117"/>
    <cellStyle name="Standaard 4 2 4 3 4" xfId="36118"/>
    <cellStyle name="Standaard 4 2 4 3 4 2" xfId="36119"/>
    <cellStyle name="Standaard 4 2 4 3 5" xfId="36120"/>
    <cellStyle name="Standaard 4 2 4 3 6" xfId="36121"/>
    <cellStyle name="Standaard 4 2 4 4" xfId="36122"/>
    <cellStyle name="Standaard 4 2 4 4 2" xfId="36123"/>
    <cellStyle name="Standaard 4 2 4 4 2 2" xfId="36124"/>
    <cellStyle name="Standaard 4 2 4 4 2 2 2" xfId="36125"/>
    <cellStyle name="Standaard 4 2 4 4 2 3" xfId="36126"/>
    <cellStyle name="Standaard 4 2 4 4 3" xfId="36127"/>
    <cellStyle name="Standaard 4 2 4 4 3 2" xfId="36128"/>
    <cellStyle name="Standaard 4 2 4 4 4" xfId="36129"/>
    <cellStyle name="Standaard 4 2 4 5" xfId="36130"/>
    <cellStyle name="Standaard 4 2 4 5 2" xfId="36131"/>
    <cellStyle name="Standaard 4 2 4 5 2 2" xfId="36132"/>
    <cellStyle name="Standaard 4 2 4 5 3" xfId="36133"/>
    <cellStyle name="Standaard 4 2 4 6" xfId="36134"/>
    <cellStyle name="Standaard 4 2 4 6 2" xfId="36135"/>
    <cellStyle name="Standaard 4 2 4 7" xfId="36136"/>
    <cellStyle name="Standaard 4 2 4 8" xfId="36137"/>
    <cellStyle name="Standaard 4 2 5" xfId="36138"/>
    <cellStyle name="Standaard 4 2 5 2" xfId="36139"/>
    <cellStyle name="Standaard 4 2 5 2 2" xfId="36140"/>
    <cellStyle name="Standaard 4 2 5 2 2 2" xfId="36141"/>
    <cellStyle name="Standaard 4 2 5 2 2 2 2" xfId="36142"/>
    <cellStyle name="Standaard 4 2 5 2 2 2 2 2" xfId="36143"/>
    <cellStyle name="Standaard 4 2 5 2 2 2 2 2 2" xfId="36144"/>
    <cellStyle name="Standaard 4 2 5 2 2 2 2 3" xfId="36145"/>
    <cellStyle name="Standaard 4 2 5 2 2 2 3" xfId="36146"/>
    <cellStyle name="Standaard 4 2 5 2 2 2 3 2" xfId="36147"/>
    <cellStyle name="Standaard 4 2 5 2 2 2 4" xfId="36148"/>
    <cellStyle name="Standaard 4 2 5 2 2 3" xfId="36149"/>
    <cellStyle name="Standaard 4 2 5 2 2 3 2" xfId="36150"/>
    <cellStyle name="Standaard 4 2 5 2 2 3 2 2" xfId="36151"/>
    <cellStyle name="Standaard 4 2 5 2 2 3 3" xfId="36152"/>
    <cellStyle name="Standaard 4 2 5 2 2 4" xfId="36153"/>
    <cellStyle name="Standaard 4 2 5 2 2 4 2" xfId="36154"/>
    <cellStyle name="Standaard 4 2 5 2 2 5" xfId="36155"/>
    <cellStyle name="Standaard 4 2 5 2 2 6" xfId="36156"/>
    <cellStyle name="Standaard 4 2 5 2 3" xfId="36157"/>
    <cellStyle name="Standaard 4 2 5 2 3 2" xfId="36158"/>
    <cellStyle name="Standaard 4 2 5 2 3 2 2" xfId="36159"/>
    <cellStyle name="Standaard 4 2 5 2 3 2 2 2" xfId="36160"/>
    <cellStyle name="Standaard 4 2 5 2 3 2 3" xfId="36161"/>
    <cellStyle name="Standaard 4 2 5 2 3 3" xfId="36162"/>
    <cellStyle name="Standaard 4 2 5 2 3 3 2" xfId="36163"/>
    <cellStyle name="Standaard 4 2 5 2 3 4" xfId="36164"/>
    <cellStyle name="Standaard 4 2 5 2 4" xfId="36165"/>
    <cellStyle name="Standaard 4 2 5 2 4 2" xfId="36166"/>
    <cellStyle name="Standaard 4 2 5 2 4 2 2" xfId="36167"/>
    <cellStyle name="Standaard 4 2 5 2 4 3" xfId="36168"/>
    <cellStyle name="Standaard 4 2 5 2 5" xfId="36169"/>
    <cellStyle name="Standaard 4 2 5 2 5 2" xfId="36170"/>
    <cellStyle name="Standaard 4 2 5 2 6" xfId="36171"/>
    <cellStyle name="Standaard 4 2 5 2 7" xfId="36172"/>
    <cellStyle name="Standaard 4 2 5 3" xfId="36173"/>
    <cellStyle name="Standaard 4 2 5 3 2" xfId="36174"/>
    <cellStyle name="Standaard 4 2 5 3 2 2" xfId="36175"/>
    <cellStyle name="Standaard 4 2 5 3 2 2 2" xfId="36176"/>
    <cellStyle name="Standaard 4 2 5 3 2 2 2 2" xfId="36177"/>
    <cellStyle name="Standaard 4 2 5 3 2 2 3" xfId="36178"/>
    <cellStyle name="Standaard 4 2 5 3 2 3" xfId="36179"/>
    <cellStyle name="Standaard 4 2 5 3 2 3 2" xfId="36180"/>
    <cellStyle name="Standaard 4 2 5 3 2 4" xfId="36181"/>
    <cellStyle name="Standaard 4 2 5 3 3" xfId="36182"/>
    <cellStyle name="Standaard 4 2 5 3 3 2" xfId="36183"/>
    <cellStyle name="Standaard 4 2 5 3 3 2 2" xfId="36184"/>
    <cellStyle name="Standaard 4 2 5 3 3 3" xfId="36185"/>
    <cellStyle name="Standaard 4 2 5 3 4" xfId="36186"/>
    <cellStyle name="Standaard 4 2 5 3 4 2" xfId="36187"/>
    <cellStyle name="Standaard 4 2 5 3 5" xfId="36188"/>
    <cellStyle name="Standaard 4 2 5 3 6" xfId="36189"/>
    <cellStyle name="Standaard 4 2 5 4" xfId="36190"/>
    <cellStyle name="Standaard 4 2 5 4 2" xfId="36191"/>
    <cellStyle name="Standaard 4 2 5 4 2 2" xfId="36192"/>
    <cellStyle name="Standaard 4 2 5 4 2 2 2" xfId="36193"/>
    <cellStyle name="Standaard 4 2 5 4 2 3" xfId="36194"/>
    <cellStyle name="Standaard 4 2 5 4 3" xfId="36195"/>
    <cellStyle name="Standaard 4 2 5 4 3 2" xfId="36196"/>
    <cellStyle name="Standaard 4 2 5 4 4" xfId="36197"/>
    <cellStyle name="Standaard 4 2 5 5" xfId="36198"/>
    <cellStyle name="Standaard 4 2 5 5 2" xfId="36199"/>
    <cellStyle name="Standaard 4 2 5 5 2 2" xfId="36200"/>
    <cellStyle name="Standaard 4 2 5 5 3" xfId="36201"/>
    <cellStyle name="Standaard 4 2 5 6" xfId="36202"/>
    <cellStyle name="Standaard 4 2 5 6 2" xfId="36203"/>
    <cellStyle name="Standaard 4 2 5 7" xfId="36204"/>
    <cellStyle name="Standaard 4 2 5 8" xfId="36205"/>
    <cellStyle name="Standaard 4 2 6" xfId="36206"/>
    <cellStyle name="Standaard 4 2 6 2" xfId="36207"/>
    <cellStyle name="Standaard 4 2 6 2 2" xfId="36208"/>
    <cellStyle name="Standaard 4 2 6 2 2 2" xfId="36209"/>
    <cellStyle name="Standaard 4 2 6 2 2 2 2" xfId="36210"/>
    <cellStyle name="Standaard 4 2 6 2 2 2 2 2" xfId="36211"/>
    <cellStyle name="Standaard 4 2 6 2 2 2 3" xfId="36212"/>
    <cellStyle name="Standaard 4 2 6 2 2 3" xfId="36213"/>
    <cellStyle name="Standaard 4 2 6 2 2 3 2" xfId="36214"/>
    <cellStyle name="Standaard 4 2 6 2 2 4" xfId="36215"/>
    <cellStyle name="Standaard 4 2 6 2 3" xfId="36216"/>
    <cellStyle name="Standaard 4 2 6 2 3 2" xfId="36217"/>
    <cellStyle name="Standaard 4 2 6 2 3 2 2" xfId="36218"/>
    <cellStyle name="Standaard 4 2 6 2 3 3" xfId="36219"/>
    <cellStyle name="Standaard 4 2 6 2 4" xfId="36220"/>
    <cellStyle name="Standaard 4 2 6 2 4 2" xfId="36221"/>
    <cellStyle name="Standaard 4 2 6 2 5" xfId="36222"/>
    <cellStyle name="Standaard 4 2 6 2 6" xfId="36223"/>
    <cellStyle name="Standaard 4 2 6 3" xfId="36224"/>
    <cellStyle name="Standaard 4 2 6 3 2" xfId="36225"/>
    <cellStyle name="Standaard 4 2 6 3 2 2" xfId="36226"/>
    <cellStyle name="Standaard 4 2 6 3 2 2 2" xfId="36227"/>
    <cellStyle name="Standaard 4 2 6 3 2 3" xfId="36228"/>
    <cellStyle name="Standaard 4 2 6 3 3" xfId="36229"/>
    <cellStyle name="Standaard 4 2 6 3 3 2" xfId="36230"/>
    <cellStyle name="Standaard 4 2 6 3 4" xfId="36231"/>
    <cellStyle name="Standaard 4 2 6 4" xfId="36232"/>
    <cellStyle name="Standaard 4 2 6 4 2" xfId="36233"/>
    <cellStyle name="Standaard 4 2 6 4 2 2" xfId="36234"/>
    <cellStyle name="Standaard 4 2 6 4 3" xfId="36235"/>
    <cellStyle name="Standaard 4 2 6 5" xfId="36236"/>
    <cellStyle name="Standaard 4 2 6 5 2" xfId="36237"/>
    <cellStyle name="Standaard 4 2 6 6" xfId="36238"/>
    <cellStyle name="Standaard 4 2 6 7" xfId="36239"/>
    <cellStyle name="Standaard 4 2 7" xfId="36240"/>
    <cellStyle name="Standaard 4 2 7 2" xfId="36241"/>
    <cellStyle name="Standaard 4 2 7 2 2" xfId="36242"/>
    <cellStyle name="Standaard 4 2 7 2 2 2" xfId="36243"/>
    <cellStyle name="Standaard 4 2 7 2 2 2 2" xfId="36244"/>
    <cellStyle name="Standaard 4 2 7 2 2 3" xfId="36245"/>
    <cellStyle name="Standaard 4 2 7 2 3" xfId="36246"/>
    <cellStyle name="Standaard 4 2 7 2 3 2" xfId="36247"/>
    <cellStyle name="Standaard 4 2 7 2 4" xfId="36248"/>
    <cellStyle name="Standaard 4 2 7 3" xfId="36249"/>
    <cellStyle name="Standaard 4 2 7 3 2" xfId="36250"/>
    <cellStyle name="Standaard 4 2 7 3 2 2" xfId="36251"/>
    <cellStyle name="Standaard 4 2 7 3 3" xfId="36252"/>
    <cellStyle name="Standaard 4 2 7 4" xfId="36253"/>
    <cellStyle name="Standaard 4 2 7 4 2" xfId="36254"/>
    <cellStyle name="Standaard 4 2 7 5" xfId="36255"/>
    <cellStyle name="Standaard 4 2 7 6" xfId="36256"/>
    <cellStyle name="Standaard 4 2 8" xfId="36257"/>
    <cellStyle name="Standaard 4 2 8 2" xfId="36258"/>
    <cellStyle name="Standaard 4 2 8 2 2" xfId="36259"/>
    <cellStyle name="Standaard 4 2 8 2 2 2" xfId="36260"/>
    <cellStyle name="Standaard 4 2 8 2 3" xfId="36261"/>
    <cellStyle name="Standaard 4 2 8 3" xfId="36262"/>
    <cellStyle name="Standaard 4 2 8 3 2" xfId="36263"/>
    <cellStyle name="Standaard 4 2 8 4" xfId="36264"/>
    <cellStyle name="Standaard 4 2 9" xfId="36265"/>
    <cellStyle name="Standaard 4 2 9 2" xfId="36266"/>
    <cellStyle name="Standaard 4 2 9 2 2" xfId="36267"/>
    <cellStyle name="Standaard 4 2 9 3" xfId="36268"/>
    <cellStyle name="Standaard 4 3" xfId="36269"/>
    <cellStyle name="Standaard 4 3 10" xfId="36270"/>
    <cellStyle name="Standaard 4 3 11" xfId="36271"/>
    <cellStyle name="Standaard 4 3 2" xfId="36272"/>
    <cellStyle name="Standaard 4 3 2 2" xfId="36273"/>
    <cellStyle name="Standaard 4 3 2 2 2" xfId="36274"/>
    <cellStyle name="Standaard 4 3 2 2 2 2" xfId="36275"/>
    <cellStyle name="Standaard 4 3 2 2 2 2 2" xfId="36276"/>
    <cellStyle name="Standaard 4 3 2 2 2 2 2 2" xfId="36277"/>
    <cellStyle name="Standaard 4 3 2 2 2 2 2 2 2" xfId="36278"/>
    <cellStyle name="Standaard 4 3 2 2 2 2 2 2 2 2" xfId="36279"/>
    <cellStyle name="Standaard 4 3 2 2 2 2 2 2 3" xfId="36280"/>
    <cellStyle name="Standaard 4 3 2 2 2 2 2 3" xfId="36281"/>
    <cellStyle name="Standaard 4 3 2 2 2 2 2 3 2" xfId="36282"/>
    <cellStyle name="Standaard 4 3 2 2 2 2 2 4" xfId="36283"/>
    <cellStyle name="Standaard 4 3 2 2 2 2 3" xfId="36284"/>
    <cellStyle name="Standaard 4 3 2 2 2 2 3 2" xfId="36285"/>
    <cellStyle name="Standaard 4 3 2 2 2 2 3 2 2" xfId="36286"/>
    <cellStyle name="Standaard 4 3 2 2 2 2 3 3" xfId="36287"/>
    <cellStyle name="Standaard 4 3 2 2 2 2 4" xfId="36288"/>
    <cellStyle name="Standaard 4 3 2 2 2 2 4 2" xfId="36289"/>
    <cellStyle name="Standaard 4 3 2 2 2 2 5" xfId="36290"/>
    <cellStyle name="Standaard 4 3 2 2 2 2 6" xfId="36291"/>
    <cellStyle name="Standaard 4 3 2 2 2 3" xfId="36292"/>
    <cellStyle name="Standaard 4 3 2 2 2 3 2" xfId="36293"/>
    <cellStyle name="Standaard 4 3 2 2 2 3 2 2" xfId="36294"/>
    <cellStyle name="Standaard 4 3 2 2 2 3 2 2 2" xfId="36295"/>
    <cellStyle name="Standaard 4 3 2 2 2 3 2 3" xfId="36296"/>
    <cellStyle name="Standaard 4 3 2 2 2 3 3" xfId="36297"/>
    <cellStyle name="Standaard 4 3 2 2 2 3 3 2" xfId="36298"/>
    <cellStyle name="Standaard 4 3 2 2 2 3 4" xfId="36299"/>
    <cellStyle name="Standaard 4 3 2 2 2 4" xfId="36300"/>
    <cellStyle name="Standaard 4 3 2 2 2 4 2" xfId="36301"/>
    <cellStyle name="Standaard 4 3 2 2 2 4 2 2" xfId="36302"/>
    <cellStyle name="Standaard 4 3 2 2 2 4 3" xfId="36303"/>
    <cellStyle name="Standaard 4 3 2 2 2 5" xfId="36304"/>
    <cellStyle name="Standaard 4 3 2 2 2 5 2" xfId="36305"/>
    <cellStyle name="Standaard 4 3 2 2 2 6" xfId="36306"/>
    <cellStyle name="Standaard 4 3 2 2 2 7" xfId="36307"/>
    <cellStyle name="Standaard 4 3 2 2 3" xfId="36308"/>
    <cellStyle name="Standaard 4 3 2 2 3 2" xfId="36309"/>
    <cellStyle name="Standaard 4 3 2 2 3 2 2" xfId="36310"/>
    <cellStyle name="Standaard 4 3 2 2 3 2 2 2" xfId="36311"/>
    <cellStyle name="Standaard 4 3 2 2 3 2 2 2 2" xfId="36312"/>
    <cellStyle name="Standaard 4 3 2 2 3 2 2 3" xfId="36313"/>
    <cellStyle name="Standaard 4 3 2 2 3 2 3" xfId="36314"/>
    <cellStyle name="Standaard 4 3 2 2 3 2 3 2" xfId="36315"/>
    <cellStyle name="Standaard 4 3 2 2 3 2 4" xfId="36316"/>
    <cellStyle name="Standaard 4 3 2 2 3 3" xfId="36317"/>
    <cellStyle name="Standaard 4 3 2 2 3 3 2" xfId="36318"/>
    <cellStyle name="Standaard 4 3 2 2 3 3 2 2" xfId="36319"/>
    <cellStyle name="Standaard 4 3 2 2 3 3 3" xfId="36320"/>
    <cellStyle name="Standaard 4 3 2 2 3 4" xfId="36321"/>
    <cellStyle name="Standaard 4 3 2 2 3 4 2" xfId="36322"/>
    <cellStyle name="Standaard 4 3 2 2 3 5" xfId="36323"/>
    <cellStyle name="Standaard 4 3 2 2 3 6" xfId="36324"/>
    <cellStyle name="Standaard 4 3 2 2 4" xfId="36325"/>
    <cellStyle name="Standaard 4 3 2 2 4 2" xfId="36326"/>
    <cellStyle name="Standaard 4 3 2 2 4 2 2" xfId="36327"/>
    <cellStyle name="Standaard 4 3 2 2 4 2 2 2" xfId="36328"/>
    <cellStyle name="Standaard 4 3 2 2 4 2 3" xfId="36329"/>
    <cellStyle name="Standaard 4 3 2 2 4 3" xfId="36330"/>
    <cellStyle name="Standaard 4 3 2 2 4 3 2" xfId="36331"/>
    <cellStyle name="Standaard 4 3 2 2 4 4" xfId="36332"/>
    <cellStyle name="Standaard 4 3 2 2 5" xfId="36333"/>
    <cellStyle name="Standaard 4 3 2 2 5 2" xfId="36334"/>
    <cellStyle name="Standaard 4 3 2 2 5 2 2" xfId="36335"/>
    <cellStyle name="Standaard 4 3 2 2 5 3" xfId="36336"/>
    <cellStyle name="Standaard 4 3 2 2 6" xfId="36337"/>
    <cellStyle name="Standaard 4 3 2 2 6 2" xfId="36338"/>
    <cellStyle name="Standaard 4 3 2 2 7" xfId="36339"/>
    <cellStyle name="Standaard 4 3 2 2 8" xfId="36340"/>
    <cellStyle name="Standaard 4 3 2 3" xfId="36341"/>
    <cellStyle name="Standaard 4 3 2 3 2" xfId="36342"/>
    <cellStyle name="Standaard 4 3 2 3 2 2" xfId="36343"/>
    <cellStyle name="Standaard 4 3 2 3 2 2 2" xfId="36344"/>
    <cellStyle name="Standaard 4 3 2 3 2 2 2 2" xfId="36345"/>
    <cellStyle name="Standaard 4 3 2 3 2 2 2 2 2" xfId="36346"/>
    <cellStyle name="Standaard 4 3 2 3 2 2 2 3" xfId="36347"/>
    <cellStyle name="Standaard 4 3 2 3 2 2 3" xfId="36348"/>
    <cellStyle name="Standaard 4 3 2 3 2 2 3 2" xfId="36349"/>
    <cellStyle name="Standaard 4 3 2 3 2 2 4" xfId="36350"/>
    <cellStyle name="Standaard 4 3 2 3 2 3" xfId="36351"/>
    <cellStyle name="Standaard 4 3 2 3 2 3 2" xfId="36352"/>
    <cellStyle name="Standaard 4 3 2 3 2 3 2 2" xfId="36353"/>
    <cellStyle name="Standaard 4 3 2 3 2 3 3" xfId="36354"/>
    <cellStyle name="Standaard 4 3 2 3 2 4" xfId="36355"/>
    <cellStyle name="Standaard 4 3 2 3 2 4 2" xfId="36356"/>
    <cellStyle name="Standaard 4 3 2 3 2 5" xfId="36357"/>
    <cellStyle name="Standaard 4 3 2 3 2 6" xfId="36358"/>
    <cellStyle name="Standaard 4 3 2 3 3" xfId="36359"/>
    <cellStyle name="Standaard 4 3 2 3 3 2" xfId="36360"/>
    <cellStyle name="Standaard 4 3 2 3 3 2 2" xfId="36361"/>
    <cellStyle name="Standaard 4 3 2 3 3 2 2 2" xfId="36362"/>
    <cellStyle name="Standaard 4 3 2 3 3 2 3" xfId="36363"/>
    <cellStyle name="Standaard 4 3 2 3 3 3" xfId="36364"/>
    <cellStyle name="Standaard 4 3 2 3 3 3 2" xfId="36365"/>
    <cellStyle name="Standaard 4 3 2 3 3 4" xfId="36366"/>
    <cellStyle name="Standaard 4 3 2 3 4" xfId="36367"/>
    <cellStyle name="Standaard 4 3 2 3 4 2" xfId="36368"/>
    <cellStyle name="Standaard 4 3 2 3 4 2 2" xfId="36369"/>
    <cellStyle name="Standaard 4 3 2 3 4 3" xfId="36370"/>
    <cellStyle name="Standaard 4 3 2 3 5" xfId="36371"/>
    <cellStyle name="Standaard 4 3 2 3 5 2" xfId="36372"/>
    <cellStyle name="Standaard 4 3 2 3 6" xfId="36373"/>
    <cellStyle name="Standaard 4 3 2 3 7" xfId="36374"/>
    <cellStyle name="Standaard 4 3 2 4" xfId="36375"/>
    <cellStyle name="Standaard 4 3 2 4 2" xfId="36376"/>
    <cellStyle name="Standaard 4 3 2 4 2 2" xfId="36377"/>
    <cellStyle name="Standaard 4 3 2 4 2 2 2" xfId="36378"/>
    <cellStyle name="Standaard 4 3 2 4 2 2 2 2" xfId="36379"/>
    <cellStyle name="Standaard 4 3 2 4 2 2 3" xfId="36380"/>
    <cellStyle name="Standaard 4 3 2 4 2 3" xfId="36381"/>
    <cellStyle name="Standaard 4 3 2 4 2 3 2" xfId="36382"/>
    <cellStyle name="Standaard 4 3 2 4 2 4" xfId="36383"/>
    <cellStyle name="Standaard 4 3 2 4 3" xfId="36384"/>
    <cellStyle name="Standaard 4 3 2 4 3 2" xfId="36385"/>
    <cellStyle name="Standaard 4 3 2 4 3 2 2" xfId="36386"/>
    <cellStyle name="Standaard 4 3 2 4 3 3" xfId="36387"/>
    <cellStyle name="Standaard 4 3 2 4 4" xfId="36388"/>
    <cellStyle name="Standaard 4 3 2 4 4 2" xfId="36389"/>
    <cellStyle name="Standaard 4 3 2 4 5" xfId="36390"/>
    <cellStyle name="Standaard 4 3 2 4 6" xfId="36391"/>
    <cellStyle name="Standaard 4 3 2 5" xfId="36392"/>
    <cellStyle name="Standaard 4 3 2 5 2" xfId="36393"/>
    <cellStyle name="Standaard 4 3 2 5 2 2" xfId="36394"/>
    <cellStyle name="Standaard 4 3 2 5 2 2 2" xfId="36395"/>
    <cellStyle name="Standaard 4 3 2 5 2 3" xfId="36396"/>
    <cellStyle name="Standaard 4 3 2 5 3" xfId="36397"/>
    <cellStyle name="Standaard 4 3 2 5 3 2" xfId="36398"/>
    <cellStyle name="Standaard 4 3 2 5 4" xfId="36399"/>
    <cellStyle name="Standaard 4 3 2 6" xfId="36400"/>
    <cellStyle name="Standaard 4 3 2 6 2" xfId="36401"/>
    <cellStyle name="Standaard 4 3 2 6 2 2" xfId="36402"/>
    <cellStyle name="Standaard 4 3 2 6 3" xfId="36403"/>
    <cellStyle name="Standaard 4 3 2 7" xfId="36404"/>
    <cellStyle name="Standaard 4 3 2 7 2" xfId="36405"/>
    <cellStyle name="Standaard 4 3 2 8" xfId="36406"/>
    <cellStyle name="Standaard 4 3 2 9" xfId="36407"/>
    <cellStyle name="Standaard 4 3 3" xfId="36408"/>
    <cellStyle name="Standaard 4 3 3 2" xfId="36409"/>
    <cellStyle name="Standaard 4 3 3 2 2" xfId="36410"/>
    <cellStyle name="Standaard 4 3 3 2 2 2" xfId="36411"/>
    <cellStyle name="Standaard 4 3 3 2 2 2 2" xfId="36412"/>
    <cellStyle name="Standaard 4 3 3 2 2 2 2 2" xfId="36413"/>
    <cellStyle name="Standaard 4 3 3 2 2 2 2 2 2" xfId="36414"/>
    <cellStyle name="Standaard 4 3 3 2 2 2 2 3" xfId="36415"/>
    <cellStyle name="Standaard 4 3 3 2 2 2 3" xfId="36416"/>
    <cellStyle name="Standaard 4 3 3 2 2 2 3 2" xfId="36417"/>
    <cellStyle name="Standaard 4 3 3 2 2 2 4" xfId="36418"/>
    <cellStyle name="Standaard 4 3 3 2 2 3" xfId="36419"/>
    <cellStyle name="Standaard 4 3 3 2 2 3 2" xfId="36420"/>
    <cellStyle name="Standaard 4 3 3 2 2 3 2 2" xfId="36421"/>
    <cellStyle name="Standaard 4 3 3 2 2 3 3" xfId="36422"/>
    <cellStyle name="Standaard 4 3 3 2 2 4" xfId="36423"/>
    <cellStyle name="Standaard 4 3 3 2 2 4 2" xfId="36424"/>
    <cellStyle name="Standaard 4 3 3 2 2 5" xfId="36425"/>
    <cellStyle name="Standaard 4 3 3 2 2 6" xfId="36426"/>
    <cellStyle name="Standaard 4 3 3 2 3" xfId="36427"/>
    <cellStyle name="Standaard 4 3 3 2 3 2" xfId="36428"/>
    <cellStyle name="Standaard 4 3 3 2 3 2 2" xfId="36429"/>
    <cellStyle name="Standaard 4 3 3 2 3 2 2 2" xfId="36430"/>
    <cellStyle name="Standaard 4 3 3 2 3 2 3" xfId="36431"/>
    <cellStyle name="Standaard 4 3 3 2 3 3" xfId="36432"/>
    <cellStyle name="Standaard 4 3 3 2 3 3 2" xfId="36433"/>
    <cellStyle name="Standaard 4 3 3 2 3 4" xfId="36434"/>
    <cellStyle name="Standaard 4 3 3 2 4" xfId="36435"/>
    <cellStyle name="Standaard 4 3 3 2 4 2" xfId="36436"/>
    <cellStyle name="Standaard 4 3 3 2 4 2 2" xfId="36437"/>
    <cellStyle name="Standaard 4 3 3 2 4 3" xfId="36438"/>
    <cellStyle name="Standaard 4 3 3 2 5" xfId="36439"/>
    <cellStyle name="Standaard 4 3 3 2 5 2" xfId="36440"/>
    <cellStyle name="Standaard 4 3 3 2 6" xfId="36441"/>
    <cellStyle name="Standaard 4 3 3 2 7" xfId="36442"/>
    <cellStyle name="Standaard 4 3 3 3" xfId="36443"/>
    <cellStyle name="Standaard 4 3 3 3 2" xfId="36444"/>
    <cellStyle name="Standaard 4 3 3 3 2 2" xfId="36445"/>
    <cellStyle name="Standaard 4 3 3 3 2 2 2" xfId="36446"/>
    <cellStyle name="Standaard 4 3 3 3 2 2 2 2" xfId="36447"/>
    <cellStyle name="Standaard 4 3 3 3 2 2 3" xfId="36448"/>
    <cellStyle name="Standaard 4 3 3 3 2 3" xfId="36449"/>
    <cellStyle name="Standaard 4 3 3 3 2 3 2" xfId="36450"/>
    <cellStyle name="Standaard 4 3 3 3 2 4" xfId="36451"/>
    <cellStyle name="Standaard 4 3 3 3 3" xfId="36452"/>
    <cellStyle name="Standaard 4 3 3 3 3 2" xfId="36453"/>
    <cellStyle name="Standaard 4 3 3 3 3 2 2" xfId="36454"/>
    <cellStyle name="Standaard 4 3 3 3 3 3" xfId="36455"/>
    <cellStyle name="Standaard 4 3 3 3 4" xfId="36456"/>
    <cellStyle name="Standaard 4 3 3 3 4 2" xfId="36457"/>
    <cellStyle name="Standaard 4 3 3 3 5" xfId="36458"/>
    <cellStyle name="Standaard 4 3 3 3 6" xfId="36459"/>
    <cellStyle name="Standaard 4 3 3 4" xfId="36460"/>
    <cellStyle name="Standaard 4 3 3 4 2" xfId="36461"/>
    <cellStyle name="Standaard 4 3 3 4 2 2" xfId="36462"/>
    <cellStyle name="Standaard 4 3 3 4 2 2 2" xfId="36463"/>
    <cellStyle name="Standaard 4 3 3 4 2 3" xfId="36464"/>
    <cellStyle name="Standaard 4 3 3 4 3" xfId="36465"/>
    <cellStyle name="Standaard 4 3 3 4 3 2" xfId="36466"/>
    <cellStyle name="Standaard 4 3 3 4 4" xfId="36467"/>
    <cellStyle name="Standaard 4 3 3 5" xfId="36468"/>
    <cellStyle name="Standaard 4 3 3 5 2" xfId="36469"/>
    <cellStyle name="Standaard 4 3 3 5 2 2" xfId="36470"/>
    <cellStyle name="Standaard 4 3 3 5 3" xfId="36471"/>
    <cellStyle name="Standaard 4 3 3 6" xfId="36472"/>
    <cellStyle name="Standaard 4 3 3 6 2" xfId="36473"/>
    <cellStyle name="Standaard 4 3 3 7" xfId="36474"/>
    <cellStyle name="Standaard 4 3 3 8" xfId="36475"/>
    <cellStyle name="Standaard 4 3 4" xfId="36476"/>
    <cellStyle name="Standaard 4 3 4 2" xfId="36477"/>
    <cellStyle name="Standaard 4 3 4 2 2" xfId="36478"/>
    <cellStyle name="Standaard 4 3 4 2 2 2" xfId="36479"/>
    <cellStyle name="Standaard 4 3 4 2 2 2 2" xfId="36480"/>
    <cellStyle name="Standaard 4 3 4 2 2 2 2 2" xfId="36481"/>
    <cellStyle name="Standaard 4 3 4 2 2 2 2 2 2" xfId="36482"/>
    <cellStyle name="Standaard 4 3 4 2 2 2 2 3" xfId="36483"/>
    <cellStyle name="Standaard 4 3 4 2 2 2 3" xfId="36484"/>
    <cellStyle name="Standaard 4 3 4 2 2 2 3 2" xfId="36485"/>
    <cellStyle name="Standaard 4 3 4 2 2 2 4" xfId="36486"/>
    <cellStyle name="Standaard 4 3 4 2 2 3" xfId="36487"/>
    <cellStyle name="Standaard 4 3 4 2 2 3 2" xfId="36488"/>
    <cellStyle name="Standaard 4 3 4 2 2 3 2 2" xfId="36489"/>
    <cellStyle name="Standaard 4 3 4 2 2 3 3" xfId="36490"/>
    <cellStyle name="Standaard 4 3 4 2 2 4" xfId="36491"/>
    <cellStyle name="Standaard 4 3 4 2 2 4 2" xfId="36492"/>
    <cellStyle name="Standaard 4 3 4 2 2 5" xfId="36493"/>
    <cellStyle name="Standaard 4 3 4 2 2 6" xfId="36494"/>
    <cellStyle name="Standaard 4 3 4 2 3" xfId="36495"/>
    <cellStyle name="Standaard 4 3 4 2 3 2" xfId="36496"/>
    <cellStyle name="Standaard 4 3 4 2 3 2 2" xfId="36497"/>
    <cellStyle name="Standaard 4 3 4 2 3 2 2 2" xfId="36498"/>
    <cellStyle name="Standaard 4 3 4 2 3 2 3" xfId="36499"/>
    <cellStyle name="Standaard 4 3 4 2 3 3" xfId="36500"/>
    <cellStyle name="Standaard 4 3 4 2 3 3 2" xfId="36501"/>
    <cellStyle name="Standaard 4 3 4 2 3 4" xfId="36502"/>
    <cellStyle name="Standaard 4 3 4 2 4" xfId="36503"/>
    <cellStyle name="Standaard 4 3 4 2 4 2" xfId="36504"/>
    <cellStyle name="Standaard 4 3 4 2 4 2 2" xfId="36505"/>
    <cellStyle name="Standaard 4 3 4 2 4 3" xfId="36506"/>
    <cellStyle name="Standaard 4 3 4 2 5" xfId="36507"/>
    <cellStyle name="Standaard 4 3 4 2 5 2" xfId="36508"/>
    <cellStyle name="Standaard 4 3 4 2 6" xfId="36509"/>
    <cellStyle name="Standaard 4 3 4 2 7" xfId="36510"/>
    <cellStyle name="Standaard 4 3 4 3" xfId="36511"/>
    <cellStyle name="Standaard 4 3 4 3 2" xfId="36512"/>
    <cellStyle name="Standaard 4 3 4 3 2 2" xfId="36513"/>
    <cellStyle name="Standaard 4 3 4 3 2 2 2" xfId="36514"/>
    <cellStyle name="Standaard 4 3 4 3 2 2 2 2" xfId="36515"/>
    <cellStyle name="Standaard 4 3 4 3 2 2 3" xfId="36516"/>
    <cellStyle name="Standaard 4 3 4 3 2 3" xfId="36517"/>
    <cellStyle name="Standaard 4 3 4 3 2 3 2" xfId="36518"/>
    <cellStyle name="Standaard 4 3 4 3 2 4" xfId="36519"/>
    <cellStyle name="Standaard 4 3 4 3 3" xfId="36520"/>
    <cellStyle name="Standaard 4 3 4 3 3 2" xfId="36521"/>
    <cellStyle name="Standaard 4 3 4 3 3 2 2" xfId="36522"/>
    <cellStyle name="Standaard 4 3 4 3 3 3" xfId="36523"/>
    <cellStyle name="Standaard 4 3 4 3 4" xfId="36524"/>
    <cellStyle name="Standaard 4 3 4 3 4 2" xfId="36525"/>
    <cellStyle name="Standaard 4 3 4 3 5" xfId="36526"/>
    <cellStyle name="Standaard 4 3 4 3 6" xfId="36527"/>
    <cellStyle name="Standaard 4 3 4 4" xfId="36528"/>
    <cellStyle name="Standaard 4 3 4 4 2" xfId="36529"/>
    <cellStyle name="Standaard 4 3 4 4 2 2" xfId="36530"/>
    <cellStyle name="Standaard 4 3 4 4 2 2 2" xfId="36531"/>
    <cellStyle name="Standaard 4 3 4 4 2 3" xfId="36532"/>
    <cellStyle name="Standaard 4 3 4 4 3" xfId="36533"/>
    <cellStyle name="Standaard 4 3 4 4 3 2" xfId="36534"/>
    <cellStyle name="Standaard 4 3 4 4 4" xfId="36535"/>
    <cellStyle name="Standaard 4 3 4 5" xfId="36536"/>
    <cellStyle name="Standaard 4 3 4 5 2" xfId="36537"/>
    <cellStyle name="Standaard 4 3 4 5 2 2" xfId="36538"/>
    <cellStyle name="Standaard 4 3 4 5 3" xfId="36539"/>
    <cellStyle name="Standaard 4 3 4 6" xfId="36540"/>
    <cellStyle name="Standaard 4 3 4 6 2" xfId="36541"/>
    <cellStyle name="Standaard 4 3 4 7" xfId="36542"/>
    <cellStyle name="Standaard 4 3 4 8" xfId="36543"/>
    <cellStyle name="Standaard 4 3 5" xfId="36544"/>
    <cellStyle name="Standaard 4 3 5 2" xfId="36545"/>
    <cellStyle name="Standaard 4 3 5 2 2" xfId="36546"/>
    <cellStyle name="Standaard 4 3 5 2 2 2" xfId="36547"/>
    <cellStyle name="Standaard 4 3 5 2 2 2 2" xfId="36548"/>
    <cellStyle name="Standaard 4 3 5 2 2 2 2 2" xfId="36549"/>
    <cellStyle name="Standaard 4 3 5 2 2 2 3" xfId="36550"/>
    <cellStyle name="Standaard 4 3 5 2 2 3" xfId="36551"/>
    <cellStyle name="Standaard 4 3 5 2 2 3 2" xfId="36552"/>
    <cellStyle name="Standaard 4 3 5 2 2 4" xfId="36553"/>
    <cellStyle name="Standaard 4 3 5 2 3" xfId="36554"/>
    <cellStyle name="Standaard 4 3 5 2 3 2" xfId="36555"/>
    <cellStyle name="Standaard 4 3 5 2 3 2 2" xfId="36556"/>
    <cellStyle name="Standaard 4 3 5 2 3 3" xfId="36557"/>
    <cellStyle name="Standaard 4 3 5 2 4" xfId="36558"/>
    <cellStyle name="Standaard 4 3 5 2 4 2" xfId="36559"/>
    <cellStyle name="Standaard 4 3 5 2 5" xfId="36560"/>
    <cellStyle name="Standaard 4 3 5 2 6" xfId="36561"/>
    <cellStyle name="Standaard 4 3 5 3" xfId="36562"/>
    <cellStyle name="Standaard 4 3 5 3 2" xfId="36563"/>
    <cellStyle name="Standaard 4 3 5 3 2 2" xfId="36564"/>
    <cellStyle name="Standaard 4 3 5 3 2 2 2" xfId="36565"/>
    <cellStyle name="Standaard 4 3 5 3 2 3" xfId="36566"/>
    <cellStyle name="Standaard 4 3 5 3 3" xfId="36567"/>
    <cellStyle name="Standaard 4 3 5 3 3 2" xfId="36568"/>
    <cellStyle name="Standaard 4 3 5 3 4" xfId="36569"/>
    <cellStyle name="Standaard 4 3 5 4" xfId="36570"/>
    <cellStyle name="Standaard 4 3 5 4 2" xfId="36571"/>
    <cellStyle name="Standaard 4 3 5 4 2 2" xfId="36572"/>
    <cellStyle name="Standaard 4 3 5 4 3" xfId="36573"/>
    <cellStyle name="Standaard 4 3 5 5" xfId="36574"/>
    <cellStyle name="Standaard 4 3 5 5 2" xfId="36575"/>
    <cellStyle name="Standaard 4 3 5 6" xfId="36576"/>
    <cellStyle name="Standaard 4 3 5 7" xfId="36577"/>
    <cellStyle name="Standaard 4 3 6" xfId="36578"/>
    <cellStyle name="Standaard 4 3 6 2" xfId="36579"/>
    <cellStyle name="Standaard 4 3 6 2 2" xfId="36580"/>
    <cellStyle name="Standaard 4 3 6 2 2 2" xfId="36581"/>
    <cellStyle name="Standaard 4 3 6 2 2 2 2" xfId="36582"/>
    <cellStyle name="Standaard 4 3 6 2 2 3" xfId="36583"/>
    <cellStyle name="Standaard 4 3 6 2 3" xfId="36584"/>
    <cellStyle name="Standaard 4 3 6 2 3 2" xfId="36585"/>
    <cellStyle name="Standaard 4 3 6 2 4" xfId="36586"/>
    <cellStyle name="Standaard 4 3 6 3" xfId="36587"/>
    <cellStyle name="Standaard 4 3 6 3 2" xfId="36588"/>
    <cellStyle name="Standaard 4 3 6 3 2 2" xfId="36589"/>
    <cellStyle name="Standaard 4 3 6 3 3" xfId="36590"/>
    <cellStyle name="Standaard 4 3 6 4" xfId="36591"/>
    <cellStyle name="Standaard 4 3 6 4 2" xfId="36592"/>
    <cellStyle name="Standaard 4 3 6 5" xfId="36593"/>
    <cellStyle name="Standaard 4 3 6 6" xfId="36594"/>
    <cellStyle name="Standaard 4 3 7" xfId="36595"/>
    <cellStyle name="Standaard 4 3 7 2" xfId="36596"/>
    <cellStyle name="Standaard 4 3 7 2 2" xfId="36597"/>
    <cellStyle name="Standaard 4 3 7 2 2 2" xfId="36598"/>
    <cellStyle name="Standaard 4 3 7 2 3" xfId="36599"/>
    <cellStyle name="Standaard 4 3 7 3" xfId="36600"/>
    <cellStyle name="Standaard 4 3 7 3 2" xfId="36601"/>
    <cellStyle name="Standaard 4 3 7 4" xfId="36602"/>
    <cellStyle name="Standaard 4 3 8" xfId="36603"/>
    <cellStyle name="Standaard 4 3 8 2" xfId="36604"/>
    <cellStyle name="Standaard 4 3 8 2 2" xfId="36605"/>
    <cellStyle name="Standaard 4 3 8 3" xfId="36606"/>
    <cellStyle name="Standaard 4 3 9" xfId="36607"/>
    <cellStyle name="Standaard 4 3 9 2" xfId="36608"/>
    <cellStyle name="Standaard 4 4" xfId="36609"/>
    <cellStyle name="Standaard 4 4 2" xfId="36610"/>
    <cellStyle name="Standaard 4 4 2 2" xfId="36611"/>
    <cellStyle name="Standaard 4 4 2 2 2" xfId="36612"/>
    <cellStyle name="Standaard 4 4 2 2 2 2" xfId="36613"/>
    <cellStyle name="Standaard 4 4 2 2 2 2 2" xfId="36614"/>
    <cellStyle name="Standaard 4 4 2 2 2 2 2 2" xfId="36615"/>
    <cellStyle name="Standaard 4 4 2 2 2 2 2 2 2" xfId="36616"/>
    <cellStyle name="Standaard 4 4 2 2 2 2 2 3" xfId="36617"/>
    <cellStyle name="Standaard 4 4 2 2 2 2 3" xfId="36618"/>
    <cellStyle name="Standaard 4 4 2 2 2 2 3 2" xfId="36619"/>
    <cellStyle name="Standaard 4 4 2 2 2 2 4" xfId="36620"/>
    <cellStyle name="Standaard 4 4 2 2 2 3" xfId="36621"/>
    <cellStyle name="Standaard 4 4 2 2 2 3 2" xfId="36622"/>
    <cellStyle name="Standaard 4 4 2 2 2 3 2 2" xfId="36623"/>
    <cellStyle name="Standaard 4 4 2 2 2 3 3" xfId="36624"/>
    <cellStyle name="Standaard 4 4 2 2 2 4" xfId="36625"/>
    <cellStyle name="Standaard 4 4 2 2 2 4 2" xfId="36626"/>
    <cellStyle name="Standaard 4 4 2 2 2 5" xfId="36627"/>
    <cellStyle name="Standaard 4 4 2 2 2 6" xfId="36628"/>
    <cellStyle name="Standaard 4 4 2 2 3" xfId="36629"/>
    <cellStyle name="Standaard 4 4 2 2 3 2" xfId="36630"/>
    <cellStyle name="Standaard 4 4 2 2 3 2 2" xfId="36631"/>
    <cellStyle name="Standaard 4 4 2 2 3 2 2 2" xfId="36632"/>
    <cellStyle name="Standaard 4 4 2 2 3 2 3" xfId="36633"/>
    <cellStyle name="Standaard 4 4 2 2 3 3" xfId="36634"/>
    <cellStyle name="Standaard 4 4 2 2 3 3 2" xfId="36635"/>
    <cellStyle name="Standaard 4 4 2 2 3 4" xfId="36636"/>
    <cellStyle name="Standaard 4 4 2 2 4" xfId="36637"/>
    <cellStyle name="Standaard 4 4 2 2 4 2" xfId="36638"/>
    <cellStyle name="Standaard 4 4 2 2 4 2 2" xfId="36639"/>
    <cellStyle name="Standaard 4 4 2 2 4 3" xfId="36640"/>
    <cellStyle name="Standaard 4 4 2 2 5" xfId="36641"/>
    <cellStyle name="Standaard 4 4 2 2 5 2" xfId="36642"/>
    <cellStyle name="Standaard 4 4 2 2 6" xfId="36643"/>
    <cellStyle name="Standaard 4 4 2 2 7" xfId="36644"/>
    <cellStyle name="Standaard 4 4 2 3" xfId="36645"/>
    <cellStyle name="Standaard 4 4 2 3 2" xfId="36646"/>
    <cellStyle name="Standaard 4 4 2 3 2 2" xfId="36647"/>
    <cellStyle name="Standaard 4 4 2 3 2 2 2" xfId="36648"/>
    <cellStyle name="Standaard 4 4 2 3 2 2 2 2" xfId="36649"/>
    <cellStyle name="Standaard 4 4 2 3 2 2 3" xfId="36650"/>
    <cellStyle name="Standaard 4 4 2 3 2 3" xfId="36651"/>
    <cellStyle name="Standaard 4 4 2 3 2 3 2" xfId="36652"/>
    <cellStyle name="Standaard 4 4 2 3 2 4" xfId="36653"/>
    <cellStyle name="Standaard 4 4 2 3 3" xfId="36654"/>
    <cellStyle name="Standaard 4 4 2 3 3 2" xfId="36655"/>
    <cellStyle name="Standaard 4 4 2 3 3 2 2" xfId="36656"/>
    <cellStyle name="Standaard 4 4 2 3 3 3" xfId="36657"/>
    <cellStyle name="Standaard 4 4 2 3 4" xfId="36658"/>
    <cellStyle name="Standaard 4 4 2 3 4 2" xfId="36659"/>
    <cellStyle name="Standaard 4 4 2 3 5" xfId="36660"/>
    <cellStyle name="Standaard 4 4 2 3 6" xfId="36661"/>
    <cellStyle name="Standaard 4 4 2 4" xfId="36662"/>
    <cellStyle name="Standaard 4 4 2 4 2" xfId="36663"/>
    <cellStyle name="Standaard 4 4 2 4 2 2" xfId="36664"/>
    <cellStyle name="Standaard 4 4 2 4 2 2 2" xfId="36665"/>
    <cellStyle name="Standaard 4 4 2 4 2 3" xfId="36666"/>
    <cellStyle name="Standaard 4 4 2 4 3" xfId="36667"/>
    <cellStyle name="Standaard 4 4 2 4 3 2" xfId="36668"/>
    <cellStyle name="Standaard 4 4 2 4 4" xfId="36669"/>
    <cellStyle name="Standaard 4 4 2 5" xfId="36670"/>
    <cellStyle name="Standaard 4 4 2 5 2" xfId="36671"/>
    <cellStyle name="Standaard 4 4 2 5 2 2" xfId="36672"/>
    <cellStyle name="Standaard 4 4 2 5 3" xfId="36673"/>
    <cellStyle name="Standaard 4 4 2 6" xfId="36674"/>
    <cellStyle name="Standaard 4 4 2 6 2" xfId="36675"/>
    <cellStyle name="Standaard 4 4 2 7" xfId="36676"/>
    <cellStyle name="Standaard 4 4 2 8" xfId="36677"/>
    <cellStyle name="Standaard 4 4 3" xfId="36678"/>
    <cellStyle name="Standaard 4 4 3 2" xfId="36679"/>
    <cellStyle name="Standaard 4 4 3 2 2" xfId="36680"/>
    <cellStyle name="Standaard 4 4 3 2 2 2" xfId="36681"/>
    <cellStyle name="Standaard 4 4 3 2 2 2 2" xfId="36682"/>
    <cellStyle name="Standaard 4 4 3 2 2 2 2 2" xfId="36683"/>
    <cellStyle name="Standaard 4 4 3 2 2 2 3" xfId="36684"/>
    <cellStyle name="Standaard 4 4 3 2 2 3" xfId="36685"/>
    <cellStyle name="Standaard 4 4 3 2 2 3 2" xfId="36686"/>
    <cellStyle name="Standaard 4 4 3 2 2 4" xfId="36687"/>
    <cellStyle name="Standaard 4 4 3 2 3" xfId="36688"/>
    <cellStyle name="Standaard 4 4 3 2 3 2" xfId="36689"/>
    <cellStyle name="Standaard 4 4 3 2 3 2 2" xfId="36690"/>
    <cellStyle name="Standaard 4 4 3 2 3 3" xfId="36691"/>
    <cellStyle name="Standaard 4 4 3 2 4" xfId="36692"/>
    <cellStyle name="Standaard 4 4 3 2 4 2" xfId="36693"/>
    <cellStyle name="Standaard 4 4 3 2 5" xfId="36694"/>
    <cellStyle name="Standaard 4 4 3 2 6" xfId="36695"/>
    <cellStyle name="Standaard 4 4 3 3" xfId="36696"/>
    <cellStyle name="Standaard 4 4 3 3 2" xfId="36697"/>
    <cellStyle name="Standaard 4 4 3 3 2 2" xfId="36698"/>
    <cellStyle name="Standaard 4 4 3 3 2 2 2" xfId="36699"/>
    <cellStyle name="Standaard 4 4 3 3 2 3" xfId="36700"/>
    <cellStyle name="Standaard 4 4 3 3 3" xfId="36701"/>
    <cellStyle name="Standaard 4 4 3 3 3 2" xfId="36702"/>
    <cellStyle name="Standaard 4 4 3 3 4" xfId="36703"/>
    <cellStyle name="Standaard 4 4 3 4" xfId="36704"/>
    <cellStyle name="Standaard 4 4 3 4 2" xfId="36705"/>
    <cellStyle name="Standaard 4 4 3 4 2 2" xfId="36706"/>
    <cellStyle name="Standaard 4 4 3 4 3" xfId="36707"/>
    <cellStyle name="Standaard 4 4 3 5" xfId="36708"/>
    <cellStyle name="Standaard 4 4 3 5 2" xfId="36709"/>
    <cellStyle name="Standaard 4 4 3 6" xfId="36710"/>
    <cellStyle name="Standaard 4 4 3 7" xfId="36711"/>
    <cellStyle name="Standaard 4 4 4" xfId="36712"/>
    <cellStyle name="Standaard 4 4 4 2" xfId="36713"/>
    <cellStyle name="Standaard 4 4 4 2 2" xfId="36714"/>
    <cellStyle name="Standaard 4 4 4 2 2 2" xfId="36715"/>
    <cellStyle name="Standaard 4 4 4 2 2 2 2" xfId="36716"/>
    <cellStyle name="Standaard 4 4 4 2 2 3" xfId="36717"/>
    <cellStyle name="Standaard 4 4 4 2 3" xfId="36718"/>
    <cellStyle name="Standaard 4 4 4 2 3 2" xfId="36719"/>
    <cellStyle name="Standaard 4 4 4 2 4" xfId="36720"/>
    <cellStyle name="Standaard 4 4 4 3" xfId="36721"/>
    <cellStyle name="Standaard 4 4 4 3 2" xfId="36722"/>
    <cellStyle name="Standaard 4 4 4 3 2 2" xfId="36723"/>
    <cellStyle name="Standaard 4 4 4 3 3" xfId="36724"/>
    <cellStyle name="Standaard 4 4 4 4" xfId="36725"/>
    <cellStyle name="Standaard 4 4 4 4 2" xfId="36726"/>
    <cellStyle name="Standaard 4 4 4 5" xfId="36727"/>
    <cellStyle name="Standaard 4 4 4 6" xfId="36728"/>
    <cellStyle name="Standaard 4 4 5" xfId="36729"/>
    <cellStyle name="Standaard 4 4 5 2" xfId="36730"/>
    <cellStyle name="Standaard 4 4 5 2 2" xfId="36731"/>
    <cellStyle name="Standaard 4 4 5 2 2 2" xfId="36732"/>
    <cellStyle name="Standaard 4 4 5 2 3" xfId="36733"/>
    <cellStyle name="Standaard 4 4 5 3" xfId="36734"/>
    <cellStyle name="Standaard 4 4 5 3 2" xfId="36735"/>
    <cellStyle name="Standaard 4 4 5 4" xfId="36736"/>
    <cellStyle name="Standaard 4 4 6" xfId="36737"/>
    <cellStyle name="Standaard 4 4 6 2" xfId="36738"/>
    <cellStyle name="Standaard 4 4 6 2 2" xfId="36739"/>
    <cellStyle name="Standaard 4 4 6 3" xfId="36740"/>
    <cellStyle name="Standaard 4 4 7" xfId="36741"/>
    <cellStyle name="Standaard 4 4 7 2" xfId="36742"/>
    <cellStyle name="Standaard 4 4 8" xfId="36743"/>
    <cellStyle name="Standaard 4 4 9" xfId="36744"/>
    <cellStyle name="Standaard 4 5" xfId="36745"/>
    <cellStyle name="Standaard 4 5 2" xfId="36746"/>
    <cellStyle name="Standaard 4 5 2 2" xfId="36747"/>
    <cellStyle name="Standaard 4 5 2 2 2" xfId="36748"/>
    <cellStyle name="Standaard 4 5 2 2 2 2" xfId="36749"/>
    <cellStyle name="Standaard 4 5 2 2 2 2 2" xfId="36750"/>
    <cellStyle name="Standaard 4 5 2 2 2 2 2 2" xfId="36751"/>
    <cellStyle name="Standaard 4 5 2 2 2 2 3" xfId="36752"/>
    <cellStyle name="Standaard 4 5 2 2 2 3" xfId="36753"/>
    <cellStyle name="Standaard 4 5 2 2 2 3 2" xfId="36754"/>
    <cellStyle name="Standaard 4 5 2 2 2 4" xfId="36755"/>
    <cellStyle name="Standaard 4 5 2 2 3" xfId="36756"/>
    <cellStyle name="Standaard 4 5 2 2 3 2" xfId="36757"/>
    <cellStyle name="Standaard 4 5 2 2 3 2 2" xfId="36758"/>
    <cellStyle name="Standaard 4 5 2 2 3 3" xfId="36759"/>
    <cellStyle name="Standaard 4 5 2 2 4" xfId="36760"/>
    <cellStyle name="Standaard 4 5 2 2 4 2" xfId="36761"/>
    <cellStyle name="Standaard 4 5 2 2 5" xfId="36762"/>
    <cellStyle name="Standaard 4 5 2 2 6" xfId="36763"/>
    <cellStyle name="Standaard 4 5 2 3" xfId="36764"/>
    <cellStyle name="Standaard 4 5 2 3 2" xfId="36765"/>
    <cellStyle name="Standaard 4 5 2 3 2 2" xfId="36766"/>
    <cellStyle name="Standaard 4 5 2 3 2 2 2" xfId="36767"/>
    <cellStyle name="Standaard 4 5 2 3 2 3" xfId="36768"/>
    <cellStyle name="Standaard 4 5 2 3 3" xfId="36769"/>
    <cellStyle name="Standaard 4 5 2 3 3 2" xfId="36770"/>
    <cellStyle name="Standaard 4 5 2 3 4" xfId="36771"/>
    <cellStyle name="Standaard 4 5 2 4" xfId="36772"/>
    <cellStyle name="Standaard 4 5 2 4 2" xfId="36773"/>
    <cellStyle name="Standaard 4 5 2 4 2 2" xfId="36774"/>
    <cellStyle name="Standaard 4 5 2 4 3" xfId="36775"/>
    <cellStyle name="Standaard 4 5 2 5" xfId="36776"/>
    <cellStyle name="Standaard 4 5 2 5 2" xfId="36777"/>
    <cellStyle name="Standaard 4 5 2 6" xfId="36778"/>
    <cellStyle name="Standaard 4 5 2 7" xfId="36779"/>
    <cellStyle name="Standaard 4 5 3" xfId="36780"/>
    <cellStyle name="Standaard 4 5 3 2" xfId="36781"/>
    <cellStyle name="Standaard 4 5 3 2 2" xfId="36782"/>
    <cellStyle name="Standaard 4 5 3 2 2 2" xfId="36783"/>
    <cellStyle name="Standaard 4 5 3 2 2 2 2" xfId="36784"/>
    <cellStyle name="Standaard 4 5 3 2 2 3" xfId="36785"/>
    <cellStyle name="Standaard 4 5 3 2 3" xfId="36786"/>
    <cellStyle name="Standaard 4 5 3 2 3 2" xfId="36787"/>
    <cellStyle name="Standaard 4 5 3 2 4" xfId="36788"/>
    <cellStyle name="Standaard 4 5 3 3" xfId="36789"/>
    <cellStyle name="Standaard 4 5 3 3 2" xfId="36790"/>
    <cellStyle name="Standaard 4 5 3 3 2 2" xfId="36791"/>
    <cellStyle name="Standaard 4 5 3 3 3" xfId="36792"/>
    <cellStyle name="Standaard 4 5 3 4" xfId="36793"/>
    <cellStyle name="Standaard 4 5 3 4 2" xfId="36794"/>
    <cellStyle name="Standaard 4 5 3 5" xfId="36795"/>
    <cellStyle name="Standaard 4 5 3 6" xfId="36796"/>
    <cellStyle name="Standaard 4 5 4" xfId="36797"/>
    <cellStyle name="Standaard 4 5 4 2" xfId="36798"/>
    <cellStyle name="Standaard 4 5 4 2 2" xfId="36799"/>
    <cellStyle name="Standaard 4 5 4 2 2 2" xfId="36800"/>
    <cellStyle name="Standaard 4 5 4 2 3" xfId="36801"/>
    <cellStyle name="Standaard 4 5 4 3" xfId="36802"/>
    <cellStyle name="Standaard 4 5 4 3 2" xfId="36803"/>
    <cellStyle name="Standaard 4 5 4 4" xfId="36804"/>
    <cellStyle name="Standaard 4 5 5" xfId="36805"/>
    <cellStyle name="Standaard 4 5 5 2" xfId="36806"/>
    <cellStyle name="Standaard 4 5 5 2 2" xfId="36807"/>
    <cellStyle name="Standaard 4 5 5 3" xfId="36808"/>
    <cellStyle name="Standaard 4 5 6" xfId="36809"/>
    <cellStyle name="Standaard 4 5 6 2" xfId="36810"/>
    <cellStyle name="Standaard 4 5 7" xfId="36811"/>
    <cellStyle name="Standaard 4 5 8" xfId="36812"/>
    <cellStyle name="Standaard 4 6" xfId="36813"/>
    <cellStyle name="Standaard 4 6 2" xfId="36814"/>
    <cellStyle name="Standaard 4 6 2 2" xfId="36815"/>
    <cellStyle name="Standaard 4 6 2 2 2" xfId="36816"/>
    <cellStyle name="Standaard 4 6 2 2 2 2" xfId="36817"/>
    <cellStyle name="Standaard 4 6 2 2 2 2 2" xfId="36818"/>
    <cellStyle name="Standaard 4 6 2 2 2 2 2 2" xfId="36819"/>
    <cellStyle name="Standaard 4 6 2 2 2 2 3" xfId="36820"/>
    <cellStyle name="Standaard 4 6 2 2 2 3" xfId="36821"/>
    <cellStyle name="Standaard 4 6 2 2 2 3 2" xfId="36822"/>
    <cellStyle name="Standaard 4 6 2 2 2 4" xfId="36823"/>
    <cellStyle name="Standaard 4 6 2 2 3" xfId="36824"/>
    <cellStyle name="Standaard 4 6 2 2 3 2" xfId="36825"/>
    <cellStyle name="Standaard 4 6 2 2 3 2 2" xfId="36826"/>
    <cellStyle name="Standaard 4 6 2 2 3 3" xfId="36827"/>
    <cellStyle name="Standaard 4 6 2 2 4" xfId="36828"/>
    <cellStyle name="Standaard 4 6 2 2 4 2" xfId="36829"/>
    <cellStyle name="Standaard 4 6 2 2 5" xfId="36830"/>
    <cellStyle name="Standaard 4 6 2 2 6" xfId="36831"/>
    <cellStyle name="Standaard 4 6 2 3" xfId="36832"/>
    <cellStyle name="Standaard 4 6 2 3 2" xfId="36833"/>
    <cellStyle name="Standaard 4 6 2 3 2 2" xfId="36834"/>
    <cellStyle name="Standaard 4 6 2 3 2 2 2" xfId="36835"/>
    <cellStyle name="Standaard 4 6 2 3 2 3" xfId="36836"/>
    <cellStyle name="Standaard 4 6 2 3 3" xfId="36837"/>
    <cellStyle name="Standaard 4 6 2 3 3 2" xfId="36838"/>
    <cellStyle name="Standaard 4 6 2 3 4" xfId="36839"/>
    <cellStyle name="Standaard 4 6 2 4" xfId="36840"/>
    <cellStyle name="Standaard 4 6 2 4 2" xfId="36841"/>
    <cellStyle name="Standaard 4 6 2 4 2 2" xfId="36842"/>
    <cellStyle name="Standaard 4 6 2 4 3" xfId="36843"/>
    <cellStyle name="Standaard 4 6 2 5" xfId="36844"/>
    <cellStyle name="Standaard 4 6 2 5 2" xfId="36845"/>
    <cellStyle name="Standaard 4 6 2 6" xfId="36846"/>
    <cellStyle name="Standaard 4 6 2 7" xfId="36847"/>
    <cellStyle name="Standaard 4 6 3" xfId="36848"/>
    <cellStyle name="Standaard 4 6 3 2" xfId="36849"/>
    <cellStyle name="Standaard 4 6 3 2 2" xfId="36850"/>
    <cellStyle name="Standaard 4 6 3 2 2 2" xfId="36851"/>
    <cellStyle name="Standaard 4 6 3 2 2 2 2" xfId="36852"/>
    <cellStyle name="Standaard 4 6 3 2 2 3" xfId="36853"/>
    <cellStyle name="Standaard 4 6 3 2 3" xfId="36854"/>
    <cellStyle name="Standaard 4 6 3 2 3 2" xfId="36855"/>
    <cellStyle name="Standaard 4 6 3 2 4" xfId="36856"/>
    <cellStyle name="Standaard 4 6 3 3" xfId="36857"/>
    <cellStyle name="Standaard 4 6 3 3 2" xfId="36858"/>
    <cellStyle name="Standaard 4 6 3 3 2 2" xfId="36859"/>
    <cellStyle name="Standaard 4 6 3 3 3" xfId="36860"/>
    <cellStyle name="Standaard 4 6 3 4" xfId="36861"/>
    <cellStyle name="Standaard 4 6 3 4 2" xfId="36862"/>
    <cellStyle name="Standaard 4 6 3 5" xfId="36863"/>
    <cellStyle name="Standaard 4 6 3 6" xfId="36864"/>
    <cellStyle name="Standaard 4 6 4" xfId="36865"/>
    <cellStyle name="Standaard 4 6 4 2" xfId="36866"/>
    <cellStyle name="Standaard 4 6 4 2 2" xfId="36867"/>
    <cellStyle name="Standaard 4 6 4 2 2 2" xfId="36868"/>
    <cellStyle name="Standaard 4 6 4 2 3" xfId="36869"/>
    <cellStyle name="Standaard 4 6 4 3" xfId="36870"/>
    <cellStyle name="Standaard 4 6 4 3 2" xfId="36871"/>
    <cellStyle name="Standaard 4 6 4 4" xfId="36872"/>
    <cellStyle name="Standaard 4 6 5" xfId="36873"/>
    <cellStyle name="Standaard 4 6 5 2" xfId="36874"/>
    <cellStyle name="Standaard 4 6 5 2 2" xfId="36875"/>
    <cellStyle name="Standaard 4 6 5 3" xfId="36876"/>
    <cellStyle name="Standaard 4 6 6" xfId="36877"/>
    <cellStyle name="Standaard 4 6 6 2" xfId="36878"/>
    <cellStyle name="Standaard 4 6 7" xfId="36879"/>
    <cellStyle name="Standaard 4 6 8" xfId="36880"/>
    <cellStyle name="Standaard 4 7" xfId="36881"/>
    <cellStyle name="Standaard 4 7 2" xfId="36882"/>
    <cellStyle name="Standaard 4 7 2 2" xfId="36883"/>
    <cellStyle name="Standaard 4 7 2 2 2" xfId="36884"/>
    <cellStyle name="Standaard 4 7 2 2 2 2" xfId="36885"/>
    <cellStyle name="Standaard 4 7 2 2 2 2 2" xfId="36886"/>
    <cellStyle name="Standaard 4 7 2 2 2 3" xfId="36887"/>
    <cellStyle name="Standaard 4 7 2 2 3" xfId="36888"/>
    <cellStyle name="Standaard 4 7 2 2 3 2" xfId="36889"/>
    <cellStyle name="Standaard 4 7 2 2 4" xfId="36890"/>
    <cellStyle name="Standaard 4 7 2 3" xfId="36891"/>
    <cellStyle name="Standaard 4 7 2 3 2" xfId="36892"/>
    <cellStyle name="Standaard 4 7 2 3 2 2" xfId="36893"/>
    <cellStyle name="Standaard 4 7 2 3 3" xfId="36894"/>
    <cellStyle name="Standaard 4 7 2 4" xfId="36895"/>
    <cellStyle name="Standaard 4 7 2 4 2" xfId="36896"/>
    <cellStyle name="Standaard 4 7 2 5" xfId="36897"/>
    <cellStyle name="Standaard 4 7 2 6" xfId="36898"/>
    <cellStyle name="Standaard 4 7 3" xfId="36899"/>
    <cellStyle name="Standaard 4 7 3 2" xfId="36900"/>
    <cellStyle name="Standaard 4 7 3 2 2" xfId="36901"/>
    <cellStyle name="Standaard 4 7 3 2 2 2" xfId="36902"/>
    <cellStyle name="Standaard 4 7 3 2 3" xfId="36903"/>
    <cellStyle name="Standaard 4 7 3 3" xfId="36904"/>
    <cellStyle name="Standaard 4 7 3 3 2" xfId="36905"/>
    <cellStyle name="Standaard 4 7 3 4" xfId="36906"/>
    <cellStyle name="Standaard 4 7 4" xfId="36907"/>
    <cellStyle name="Standaard 4 7 4 2" xfId="36908"/>
    <cellStyle name="Standaard 4 7 4 2 2" xfId="36909"/>
    <cellStyle name="Standaard 4 7 4 3" xfId="36910"/>
    <cellStyle name="Standaard 4 7 5" xfId="36911"/>
    <cellStyle name="Standaard 4 7 5 2" xfId="36912"/>
    <cellStyle name="Standaard 4 7 6" xfId="36913"/>
    <cellStyle name="Standaard 4 7 7" xfId="36914"/>
    <cellStyle name="Standaard 4 8" xfId="36915"/>
    <cellStyle name="Standaard 4 8 2" xfId="36916"/>
    <cellStyle name="Standaard 4 8 2 2" xfId="36917"/>
    <cellStyle name="Standaard 4 8 2 2 2" xfId="36918"/>
    <cellStyle name="Standaard 4 8 2 2 2 2" xfId="36919"/>
    <cellStyle name="Standaard 4 8 2 2 3" xfId="36920"/>
    <cellStyle name="Standaard 4 8 2 3" xfId="36921"/>
    <cellStyle name="Standaard 4 8 2 3 2" xfId="36922"/>
    <cellStyle name="Standaard 4 8 2 4" xfId="36923"/>
    <cellStyle name="Standaard 4 8 3" xfId="36924"/>
    <cellStyle name="Standaard 4 8 3 2" xfId="36925"/>
    <cellStyle name="Standaard 4 8 3 2 2" xfId="36926"/>
    <cellStyle name="Standaard 4 8 3 3" xfId="36927"/>
    <cellStyle name="Standaard 4 8 4" xfId="36928"/>
    <cellStyle name="Standaard 4 8 4 2" xfId="36929"/>
    <cellStyle name="Standaard 4 8 5" xfId="36930"/>
    <cellStyle name="Standaard 4 8 6" xfId="36931"/>
    <cellStyle name="Standaard 4 9" xfId="36932"/>
    <cellStyle name="Standaard 4 9 2" xfId="36933"/>
    <cellStyle name="Standaard 4 9 2 2" xfId="36934"/>
    <cellStyle name="Standaard 4 9 2 2 2" xfId="36935"/>
    <cellStyle name="Standaard 4 9 2 3" xfId="36936"/>
    <cellStyle name="Standaard 4 9 3" xfId="36937"/>
    <cellStyle name="Standaard 4 9 3 2" xfId="36938"/>
    <cellStyle name="Standaard 4 9 4" xfId="36939"/>
    <cellStyle name="Standaard 40" xfId="36940"/>
    <cellStyle name="Standaard 41" xfId="36941"/>
    <cellStyle name="Standaard 42" xfId="36942"/>
    <cellStyle name="Standaard 43" xfId="36943"/>
    <cellStyle name="Standaard 5" xfId="36944"/>
    <cellStyle name="Standaard 5 10" xfId="36945"/>
    <cellStyle name="Standaard 5 10 2" xfId="36946"/>
    <cellStyle name="Standaard 5 10 2 2" xfId="36947"/>
    <cellStyle name="Standaard 5 10 3" xfId="36948"/>
    <cellStyle name="Standaard 5 11" xfId="36949"/>
    <cellStyle name="Standaard 5 11 2" xfId="36950"/>
    <cellStyle name="Standaard 5 12" xfId="36951"/>
    <cellStyle name="Standaard 5 13" xfId="36952"/>
    <cellStyle name="Standaard 5 2" xfId="36953"/>
    <cellStyle name="Standaard 5 2 10" xfId="36954"/>
    <cellStyle name="Standaard 5 2 10 2" xfId="36955"/>
    <cellStyle name="Standaard 5 2 11" xfId="36956"/>
    <cellStyle name="Standaard 5 2 12" xfId="36957"/>
    <cellStyle name="Standaard 5 2 2" xfId="36958"/>
    <cellStyle name="Standaard 5 2 2 10" xfId="36959"/>
    <cellStyle name="Standaard 5 2 2 11" xfId="36960"/>
    <cellStyle name="Standaard 5 2 2 2" xfId="36961"/>
    <cellStyle name="Standaard 5 2 2 2 2" xfId="36962"/>
    <cellStyle name="Standaard 5 2 2 2 2 2" xfId="36963"/>
    <cellStyle name="Standaard 5 2 2 2 2 2 2" xfId="36964"/>
    <cellStyle name="Standaard 5 2 2 2 2 2 2 2" xfId="36965"/>
    <cellStyle name="Standaard 5 2 2 2 2 2 2 2 2" xfId="36966"/>
    <cellStyle name="Standaard 5 2 2 2 2 2 2 2 2 2" xfId="36967"/>
    <cellStyle name="Standaard 5 2 2 2 2 2 2 2 2 2 2" xfId="36968"/>
    <cellStyle name="Standaard 5 2 2 2 2 2 2 2 2 3" xfId="36969"/>
    <cellStyle name="Standaard 5 2 2 2 2 2 2 2 3" xfId="36970"/>
    <cellStyle name="Standaard 5 2 2 2 2 2 2 2 3 2" xfId="36971"/>
    <cellStyle name="Standaard 5 2 2 2 2 2 2 2 4" xfId="36972"/>
    <cellStyle name="Standaard 5 2 2 2 2 2 2 3" xfId="36973"/>
    <cellStyle name="Standaard 5 2 2 2 2 2 2 3 2" xfId="36974"/>
    <cellStyle name="Standaard 5 2 2 2 2 2 2 3 2 2" xfId="36975"/>
    <cellStyle name="Standaard 5 2 2 2 2 2 2 3 3" xfId="36976"/>
    <cellStyle name="Standaard 5 2 2 2 2 2 2 4" xfId="36977"/>
    <cellStyle name="Standaard 5 2 2 2 2 2 2 4 2" xfId="36978"/>
    <cellStyle name="Standaard 5 2 2 2 2 2 2 5" xfId="36979"/>
    <cellStyle name="Standaard 5 2 2 2 2 2 2 6" xfId="36980"/>
    <cellStyle name="Standaard 5 2 2 2 2 2 3" xfId="36981"/>
    <cellStyle name="Standaard 5 2 2 2 2 2 3 2" xfId="36982"/>
    <cellStyle name="Standaard 5 2 2 2 2 2 3 2 2" xfId="36983"/>
    <cellStyle name="Standaard 5 2 2 2 2 2 3 2 2 2" xfId="36984"/>
    <cellStyle name="Standaard 5 2 2 2 2 2 3 2 3" xfId="36985"/>
    <cellStyle name="Standaard 5 2 2 2 2 2 3 3" xfId="36986"/>
    <cellStyle name="Standaard 5 2 2 2 2 2 3 3 2" xfId="36987"/>
    <cellStyle name="Standaard 5 2 2 2 2 2 3 4" xfId="36988"/>
    <cellStyle name="Standaard 5 2 2 2 2 2 4" xfId="36989"/>
    <cellStyle name="Standaard 5 2 2 2 2 2 4 2" xfId="36990"/>
    <cellStyle name="Standaard 5 2 2 2 2 2 4 2 2" xfId="36991"/>
    <cellStyle name="Standaard 5 2 2 2 2 2 4 3" xfId="36992"/>
    <cellStyle name="Standaard 5 2 2 2 2 2 5" xfId="36993"/>
    <cellStyle name="Standaard 5 2 2 2 2 2 5 2" xfId="36994"/>
    <cellStyle name="Standaard 5 2 2 2 2 2 6" xfId="36995"/>
    <cellStyle name="Standaard 5 2 2 2 2 2 7" xfId="36996"/>
    <cellStyle name="Standaard 5 2 2 2 2 3" xfId="36997"/>
    <cellStyle name="Standaard 5 2 2 2 2 3 2" xfId="36998"/>
    <cellStyle name="Standaard 5 2 2 2 2 3 2 2" xfId="36999"/>
    <cellStyle name="Standaard 5 2 2 2 2 3 2 2 2" xfId="37000"/>
    <cellStyle name="Standaard 5 2 2 2 2 3 2 2 2 2" xfId="37001"/>
    <cellStyle name="Standaard 5 2 2 2 2 3 2 2 3" xfId="37002"/>
    <cellStyle name="Standaard 5 2 2 2 2 3 2 3" xfId="37003"/>
    <cellStyle name="Standaard 5 2 2 2 2 3 2 3 2" xfId="37004"/>
    <cellStyle name="Standaard 5 2 2 2 2 3 2 4" xfId="37005"/>
    <cellStyle name="Standaard 5 2 2 2 2 3 3" xfId="37006"/>
    <cellStyle name="Standaard 5 2 2 2 2 3 3 2" xfId="37007"/>
    <cellStyle name="Standaard 5 2 2 2 2 3 3 2 2" xfId="37008"/>
    <cellStyle name="Standaard 5 2 2 2 2 3 3 3" xfId="37009"/>
    <cellStyle name="Standaard 5 2 2 2 2 3 4" xfId="37010"/>
    <cellStyle name="Standaard 5 2 2 2 2 3 4 2" xfId="37011"/>
    <cellStyle name="Standaard 5 2 2 2 2 3 5" xfId="37012"/>
    <cellStyle name="Standaard 5 2 2 2 2 3 6" xfId="37013"/>
    <cellStyle name="Standaard 5 2 2 2 2 4" xfId="37014"/>
    <cellStyle name="Standaard 5 2 2 2 2 4 2" xfId="37015"/>
    <cellStyle name="Standaard 5 2 2 2 2 4 2 2" xfId="37016"/>
    <cellStyle name="Standaard 5 2 2 2 2 4 2 2 2" xfId="37017"/>
    <cellStyle name="Standaard 5 2 2 2 2 4 2 3" xfId="37018"/>
    <cellStyle name="Standaard 5 2 2 2 2 4 3" xfId="37019"/>
    <cellStyle name="Standaard 5 2 2 2 2 4 3 2" xfId="37020"/>
    <cellStyle name="Standaard 5 2 2 2 2 4 4" xfId="37021"/>
    <cellStyle name="Standaard 5 2 2 2 2 5" xfId="37022"/>
    <cellStyle name="Standaard 5 2 2 2 2 5 2" xfId="37023"/>
    <cellStyle name="Standaard 5 2 2 2 2 5 2 2" xfId="37024"/>
    <cellStyle name="Standaard 5 2 2 2 2 5 3" xfId="37025"/>
    <cellStyle name="Standaard 5 2 2 2 2 6" xfId="37026"/>
    <cellStyle name="Standaard 5 2 2 2 2 6 2" xfId="37027"/>
    <cellStyle name="Standaard 5 2 2 2 2 7" xfId="37028"/>
    <cellStyle name="Standaard 5 2 2 2 2 8" xfId="37029"/>
    <cellStyle name="Standaard 5 2 2 2 3" xfId="37030"/>
    <cellStyle name="Standaard 5 2 2 2 3 2" xfId="37031"/>
    <cellStyle name="Standaard 5 2 2 2 3 2 2" xfId="37032"/>
    <cellStyle name="Standaard 5 2 2 2 3 2 2 2" xfId="37033"/>
    <cellStyle name="Standaard 5 2 2 2 3 2 2 2 2" xfId="37034"/>
    <cellStyle name="Standaard 5 2 2 2 3 2 2 2 2 2" xfId="37035"/>
    <cellStyle name="Standaard 5 2 2 2 3 2 2 2 3" xfId="37036"/>
    <cellStyle name="Standaard 5 2 2 2 3 2 2 3" xfId="37037"/>
    <cellStyle name="Standaard 5 2 2 2 3 2 2 3 2" xfId="37038"/>
    <cellStyle name="Standaard 5 2 2 2 3 2 2 4" xfId="37039"/>
    <cellStyle name="Standaard 5 2 2 2 3 2 3" xfId="37040"/>
    <cellStyle name="Standaard 5 2 2 2 3 2 3 2" xfId="37041"/>
    <cellStyle name="Standaard 5 2 2 2 3 2 3 2 2" xfId="37042"/>
    <cellStyle name="Standaard 5 2 2 2 3 2 3 3" xfId="37043"/>
    <cellStyle name="Standaard 5 2 2 2 3 2 4" xfId="37044"/>
    <cellStyle name="Standaard 5 2 2 2 3 2 4 2" xfId="37045"/>
    <cellStyle name="Standaard 5 2 2 2 3 2 5" xfId="37046"/>
    <cellStyle name="Standaard 5 2 2 2 3 2 6" xfId="37047"/>
    <cellStyle name="Standaard 5 2 2 2 3 3" xfId="37048"/>
    <cellStyle name="Standaard 5 2 2 2 3 3 2" xfId="37049"/>
    <cellStyle name="Standaard 5 2 2 2 3 3 2 2" xfId="37050"/>
    <cellStyle name="Standaard 5 2 2 2 3 3 2 2 2" xfId="37051"/>
    <cellStyle name="Standaard 5 2 2 2 3 3 2 3" xfId="37052"/>
    <cellStyle name="Standaard 5 2 2 2 3 3 3" xfId="37053"/>
    <cellStyle name="Standaard 5 2 2 2 3 3 3 2" xfId="37054"/>
    <cellStyle name="Standaard 5 2 2 2 3 3 4" xfId="37055"/>
    <cellStyle name="Standaard 5 2 2 2 3 4" xfId="37056"/>
    <cellStyle name="Standaard 5 2 2 2 3 4 2" xfId="37057"/>
    <cellStyle name="Standaard 5 2 2 2 3 4 2 2" xfId="37058"/>
    <cellStyle name="Standaard 5 2 2 2 3 4 3" xfId="37059"/>
    <cellStyle name="Standaard 5 2 2 2 3 5" xfId="37060"/>
    <cellStyle name="Standaard 5 2 2 2 3 5 2" xfId="37061"/>
    <cellStyle name="Standaard 5 2 2 2 3 6" xfId="37062"/>
    <cellStyle name="Standaard 5 2 2 2 3 7" xfId="37063"/>
    <cellStyle name="Standaard 5 2 2 2 4" xfId="37064"/>
    <cellStyle name="Standaard 5 2 2 2 4 2" xfId="37065"/>
    <cellStyle name="Standaard 5 2 2 2 4 2 2" xfId="37066"/>
    <cellStyle name="Standaard 5 2 2 2 4 2 2 2" xfId="37067"/>
    <cellStyle name="Standaard 5 2 2 2 4 2 2 2 2" xfId="37068"/>
    <cellStyle name="Standaard 5 2 2 2 4 2 2 3" xfId="37069"/>
    <cellStyle name="Standaard 5 2 2 2 4 2 3" xfId="37070"/>
    <cellStyle name="Standaard 5 2 2 2 4 2 3 2" xfId="37071"/>
    <cellStyle name="Standaard 5 2 2 2 4 2 4" xfId="37072"/>
    <cellStyle name="Standaard 5 2 2 2 4 3" xfId="37073"/>
    <cellStyle name="Standaard 5 2 2 2 4 3 2" xfId="37074"/>
    <cellStyle name="Standaard 5 2 2 2 4 3 2 2" xfId="37075"/>
    <cellStyle name="Standaard 5 2 2 2 4 3 3" xfId="37076"/>
    <cellStyle name="Standaard 5 2 2 2 4 4" xfId="37077"/>
    <cellStyle name="Standaard 5 2 2 2 4 4 2" xfId="37078"/>
    <cellStyle name="Standaard 5 2 2 2 4 5" xfId="37079"/>
    <cellStyle name="Standaard 5 2 2 2 4 6" xfId="37080"/>
    <cellStyle name="Standaard 5 2 2 2 5" xfId="37081"/>
    <cellStyle name="Standaard 5 2 2 2 5 2" xfId="37082"/>
    <cellStyle name="Standaard 5 2 2 2 5 2 2" xfId="37083"/>
    <cellStyle name="Standaard 5 2 2 2 5 2 2 2" xfId="37084"/>
    <cellStyle name="Standaard 5 2 2 2 5 2 3" xfId="37085"/>
    <cellStyle name="Standaard 5 2 2 2 5 3" xfId="37086"/>
    <cellStyle name="Standaard 5 2 2 2 5 3 2" xfId="37087"/>
    <cellStyle name="Standaard 5 2 2 2 5 4" xfId="37088"/>
    <cellStyle name="Standaard 5 2 2 2 6" xfId="37089"/>
    <cellStyle name="Standaard 5 2 2 2 6 2" xfId="37090"/>
    <cellStyle name="Standaard 5 2 2 2 6 2 2" xfId="37091"/>
    <cellStyle name="Standaard 5 2 2 2 6 3" xfId="37092"/>
    <cellStyle name="Standaard 5 2 2 2 7" xfId="37093"/>
    <cellStyle name="Standaard 5 2 2 2 7 2" xfId="37094"/>
    <cellStyle name="Standaard 5 2 2 2 8" xfId="37095"/>
    <cellStyle name="Standaard 5 2 2 2 9" xfId="37096"/>
    <cellStyle name="Standaard 5 2 2 3" xfId="37097"/>
    <cellStyle name="Standaard 5 2 2 3 2" xfId="37098"/>
    <cellStyle name="Standaard 5 2 2 3 2 2" xfId="37099"/>
    <cellStyle name="Standaard 5 2 2 3 2 2 2" xfId="37100"/>
    <cellStyle name="Standaard 5 2 2 3 2 2 2 2" xfId="37101"/>
    <cellStyle name="Standaard 5 2 2 3 2 2 2 2 2" xfId="37102"/>
    <cellStyle name="Standaard 5 2 2 3 2 2 2 2 2 2" xfId="37103"/>
    <cellStyle name="Standaard 5 2 2 3 2 2 2 2 3" xfId="37104"/>
    <cellStyle name="Standaard 5 2 2 3 2 2 2 3" xfId="37105"/>
    <cellStyle name="Standaard 5 2 2 3 2 2 2 3 2" xfId="37106"/>
    <cellStyle name="Standaard 5 2 2 3 2 2 2 4" xfId="37107"/>
    <cellStyle name="Standaard 5 2 2 3 2 2 3" xfId="37108"/>
    <cellStyle name="Standaard 5 2 2 3 2 2 3 2" xfId="37109"/>
    <cellStyle name="Standaard 5 2 2 3 2 2 3 2 2" xfId="37110"/>
    <cellStyle name="Standaard 5 2 2 3 2 2 3 3" xfId="37111"/>
    <cellStyle name="Standaard 5 2 2 3 2 2 4" xfId="37112"/>
    <cellStyle name="Standaard 5 2 2 3 2 2 4 2" xfId="37113"/>
    <cellStyle name="Standaard 5 2 2 3 2 2 5" xfId="37114"/>
    <cellStyle name="Standaard 5 2 2 3 2 2 6" xfId="37115"/>
    <cellStyle name="Standaard 5 2 2 3 2 3" xfId="37116"/>
    <cellStyle name="Standaard 5 2 2 3 2 3 2" xfId="37117"/>
    <cellStyle name="Standaard 5 2 2 3 2 3 2 2" xfId="37118"/>
    <cellStyle name="Standaard 5 2 2 3 2 3 2 2 2" xfId="37119"/>
    <cellStyle name="Standaard 5 2 2 3 2 3 2 3" xfId="37120"/>
    <cellStyle name="Standaard 5 2 2 3 2 3 3" xfId="37121"/>
    <cellStyle name="Standaard 5 2 2 3 2 3 3 2" xfId="37122"/>
    <cellStyle name="Standaard 5 2 2 3 2 3 4" xfId="37123"/>
    <cellStyle name="Standaard 5 2 2 3 2 4" xfId="37124"/>
    <cellStyle name="Standaard 5 2 2 3 2 4 2" xfId="37125"/>
    <cellStyle name="Standaard 5 2 2 3 2 4 2 2" xfId="37126"/>
    <cellStyle name="Standaard 5 2 2 3 2 4 3" xfId="37127"/>
    <cellStyle name="Standaard 5 2 2 3 2 5" xfId="37128"/>
    <cellStyle name="Standaard 5 2 2 3 2 5 2" xfId="37129"/>
    <cellStyle name="Standaard 5 2 2 3 2 6" xfId="37130"/>
    <cellStyle name="Standaard 5 2 2 3 2 7" xfId="37131"/>
    <cellStyle name="Standaard 5 2 2 3 3" xfId="37132"/>
    <cellStyle name="Standaard 5 2 2 3 3 2" xfId="37133"/>
    <cellStyle name="Standaard 5 2 2 3 3 2 2" xfId="37134"/>
    <cellStyle name="Standaard 5 2 2 3 3 2 2 2" xfId="37135"/>
    <cellStyle name="Standaard 5 2 2 3 3 2 2 2 2" xfId="37136"/>
    <cellStyle name="Standaard 5 2 2 3 3 2 2 3" xfId="37137"/>
    <cellStyle name="Standaard 5 2 2 3 3 2 3" xfId="37138"/>
    <cellStyle name="Standaard 5 2 2 3 3 2 3 2" xfId="37139"/>
    <cellStyle name="Standaard 5 2 2 3 3 2 4" xfId="37140"/>
    <cellStyle name="Standaard 5 2 2 3 3 3" xfId="37141"/>
    <cellStyle name="Standaard 5 2 2 3 3 3 2" xfId="37142"/>
    <cellStyle name="Standaard 5 2 2 3 3 3 2 2" xfId="37143"/>
    <cellStyle name="Standaard 5 2 2 3 3 3 3" xfId="37144"/>
    <cellStyle name="Standaard 5 2 2 3 3 4" xfId="37145"/>
    <cellStyle name="Standaard 5 2 2 3 3 4 2" xfId="37146"/>
    <cellStyle name="Standaard 5 2 2 3 3 5" xfId="37147"/>
    <cellStyle name="Standaard 5 2 2 3 3 6" xfId="37148"/>
    <cellStyle name="Standaard 5 2 2 3 4" xfId="37149"/>
    <cellStyle name="Standaard 5 2 2 3 4 2" xfId="37150"/>
    <cellStyle name="Standaard 5 2 2 3 4 2 2" xfId="37151"/>
    <cellStyle name="Standaard 5 2 2 3 4 2 2 2" xfId="37152"/>
    <cellStyle name="Standaard 5 2 2 3 4 2 3" xfId="37153"/>
    <cellStyle name="Standaard 5 2 2 3 4 3" xfId="37154"/>
    <cellStyle name="Standaard 5 2 2 3 4 3 2" xfId="37155"/>
    <cellStyle name="Standaard 5 2 2 3 4 4" xfId="37156"/>
    <cellStyle name="Standaard 5 2 2 3 5" xfId="37157"/>
    <cellStyle name="Standaard 5 2 2 3 5 2" xfId="37158"/>
    <cellStyle name="Standaard 5 2 2 3 5 2 2" xfId="37159"/>
    <cellStyle name="Standaard 5 2 2 3 5 3" xfId="37160"/>
    <cellStyle name="Standaard 5 2 2 3 6" xfId="37161"/>
    <cellStyle name="Standaard 5 2 2 3 6 2" xfId="37162"/>
    <cellStyle name="Standaard 5 2 2 3 7" xfId="37163"/>
    <cellStyle name="Standaard 5 2 2 3 8" xfId="37164"/>
    <cellStyle name="Standaard 5 2 2 4" xfId="37165"/>
    <cellStyle name="Standaard 5 2 2 4 2" xfId="37166"/>
    <cellStyle name="Standaard 5 2 2 4 2 2" xfId="37167"/>
    <cellStyle name="Standaard 5 2 2 4 2 2 2" xfId="37168"/>
    <cellStyle name="Standaard 5 2 2 4 2 2 2 2" xfId="37169"/>
    <cellStyle name="Standaard 5 2 2 4 2 2 2 2 2" xfId="37170"/>
    <cellStyle name="Standaard 5 2 2 4 2 2 2 2 2 2" xfId="37171"/>
    <cellStyle name="Standaard 5 2 2 4 2 2 2 2 3" xfId="37172"/>
    <cellStyle name="Standaard 5 2 2 4 2 2 2 3" xfId="37173"/>
    <cellStyle name="Standaard 5 2 2 4 2 2 2 3 2" xfId="37174"/>
    <cellStyle name="Standaard 5 2 2 4 2 2 2 4" xfId="37175"/>
    <cellStyle name="Standaard 5 2 2 4 2 2 3" xfId="37176"/>
    <cellStyle name="Standaard 5 2 2 4 2 2 3 2" xfId="37177"/>
    <cellStyle name="Standaard 5 2 2 4 2 2 3 2 2" xfId="37178"/>
    <cellStyle name="Standaard 5 2 2 4 2 2 3 3" xfId="37179"/>
    <cellStyle name="Standaard 5 2 2 4 2 2 4" xfId="37180"/>
    <cellStyle name="Standaard 5 2 2 4 2 2 4 2" xfId="37181"/>
    <cellStyle name="Standaard 5 2 2 4 2 2 5" xfId="37182"/>
    <cellStyle name="Standaard 5 2 2 4 2 2 6" xfId="37183"/>
    <cellStyle name="Standaard 5 2 2 4 2 3" xfId="37184"/>
    <cellStyle name="Standaard 5 2 2 4 2 3 2" xfId="37185"/>
    <cellStyle name="Standaard 5 2 2 4 2 3 2 2" xfId="37186"/>
    <cellStyle name="Standaard 5 2 2 4 2 3 2 2 2" xfId="37187"/>
    <cellStyle name="Standaard 5 2 2 4 2 3 2 3" xfId="37188"/>
    <cellStyle name="Standaard 5 2 2 4 2 3 3" xfId="37189"/>
    <cellStyle name="Standaard 5 2 2 4 2 3 3 2" xfId="37190"/>
    <cellStyle name="Standaard 5 2 2 4 2 3 4" xfId="37191"/>
    <cellStyle name="Standaard 5 2 2 4 2 4" xfId="37192"/>
    <cellStyle name="Standaard 5 2 2 4 2 4 2" xfId="37193"/>
    <cellStyle name="Standaard 5 2 2 4 2 4 2 2" xfId="37194"/>
    <cellStyle name="Standaard 5 2 2 4 2 4 3" xfId="37195"/>
    <cellStyle name="Standaard 5 2 2 4 2 5" xfId="37196"/>
    <cellStyle name="Standaard 5 2 2 4 2 5 2" xfId="37197"/>
    <cellStyle name="Standaard 5 2 2 4 2 6" xfId="37198"/>
    <cellStyle name="Standaard 5 2 2 4 2 7" xfId="37199"/>
    <cellStyle name="Standaard 5 2 2 4 3" xfId="37200"/>
    <cellStyle name="Standaard 5 2 2 4 3 2" xfId="37201"/>
    <cellStyle name="Standaard 5 2 2 4 3 2 2" xfId="37202"/>
    <cellStyle name="Standaard 5 2 2 4 3 2 2 2" xfId="37203"/>
    <cellStyle name="Standaard 5 2 2 4 3 2 2 2 2" xfId="37204"/>
    <cellStyle name="Standaard 5 2 2 4 3 2 2 3" xfId="37205"/>
    <cellStyle name="Standaard 5 2 2 4 3 2 3" xfId="37206"/>
    <cellStyle name="Standaard 5 2 2 4 3 2 3 2" xfId="37207"/>
    <cellStyle name="Standaard 5 2 2 4 3 2 4" xfId="37208"/>
    <cellStyle name="Standaard 5 2 2 4 3 3" xfId="37209"/>
    <cellStyle name="Standaard 5 2 2 4 3 3 2" xfId="37210"/>
    <cellStyle name="Standaard 5 2 2 4 3 3 2 2" xfId="37211"/>
    <cellStyle name="Standaard 5 2 2 4 3 3 3" xfId="37212"/>
    <cellStyle name="Standaard 5 2 2 4 3 4" xfId="37213"/>
    <cellStyle name="Standaard 5 2 2 4 3 4 2" xfId="37214"/>
    <cellStyle name="Standaard 5 2 2 4 3 5" xfId="37215"/>
    <cellStyle name="Standaard 5 2 2 4 3 6" xfId="37216"/>
    <cellStyle name="Standaard 5 2 2 4 4" xfId="37217"/>
    <cellStyle name="Standaard 5 2 2 4 4 2" xfId="37218"/>
    <cellStyle name="Standaard 5 2 2 4 4 2 2" xfId="37219"/>
    <cellStyle name="Standaard 5 2 2 4 4 2 2 2" xfId="37220"/>
    <cellStyle name="Standaard 5 2 2 4 4 2 3" xfId="37221"/>
    <cellStyle name="Standaard 5 2 2 4 4 3" xfId="37222"/>
    <cellStyle name="Standaard 5 2 2 4 4 3 2" xfId="37223"/>
    <cellStyle name="Standaard 5 2 2 4 4 4" xfId="37224"/>
    <cellStyle name="Standaard 5 2 2 4 5" xfId="37225"/>
    <cellStyle name="Standaard 5 2 2 4 5 2" xfId="37226"/>
    <cellStyle name="Standaard 5 2 2 4 5 2 2" xfId="37227"/>
    <cellStyle name="Standaard 5 2 2 4 5 3" xfId="37228"/>
    <cellStyle name="Standaard 5 2 2 4 6" xfId="37229"/>
    <cellStyle name="Standaard 5 2 2 4 6 2" xfId="37230"/>
    <cellStyle name="Standaard 5 2 2 4 7" xfId="37231"/>
    <cellStyle name="Standaard 5 2 2 4 8" xfId="37232"/>
    <cellStyle name="Standaard 5 2 2 5" xfId="37233"/>
    <cellStyle name="Standaard 5 2 2 5 2" xfId="37234"/>
    <cellStyle name="Standaard 5 2 2 5 2 2" xfId="37235"/>
    <cellStyle name="Standaard 5 2 2 5 2 2 2" xfId="37236"/>
    <cellStyle name="Standaard 5 2 2 5 2 2 2 2" xfId="37237"/>
    <cellStyle name="Standaard 5 2 2 5 2 2 2 2 2" xfId="37238"/>
    <cellStyle name="Standaard 5 2 2 5 2 2 2 3" xfId="37239"/>
    <cellStyle name="Standaard 5 2 2 5 2 2 3" xfId="37240"/>
    <cellStyle name="Standaard 5 2 2 5 2 2 3 2" xfId="37241"/>
    <cellStyle name="Standaard 5 2 2 5 2 2 4" xfId="37242"/>
    <cellStyle name="Standaard 5 2 2 5 2 3" xfId="37243"/>
    <cellStyle name="Standaard 5 2 2 5 2 3 2" xfId="37244"/>
    <cellStyle name="Standaard 5 2 2 5 2 3 2 2" xfId="37245"/>
    <cellStyle name="Standaard 5 2 2 5 2 3 3" xfId="37246"/>
    <cellStyle name="Standaard 5 2 2 5 2 4" xfId="37247"/>
    <cellStyle name="Standaard 5 2 2 5 2 4 2" xfId="37248"/>
    <cellStyle name="Standaard 5 2 2 5 2 5" xfId="37249"/>
    <cellStyle name="Standaard 5 2 2 5 2 6" xfId="37250"/>
    <cellStyle name="Standaard 5 2 2 5 3" xfId="37251"/>
    <cellStyle name="Standaard 5 2 2 5 3 2" xfId="37252"/>
    <cellStyle name="Standaard 5 2 2 5 3 2 2" xfId="37253"/>
    <cellStyle name="Standaard 5 2 2 5 3 2 2 2" xfId="37254"/>
    <cellStyle name="Standaard 5 2 2 5 3 2 3" xfId="37255"/>
    <cellStyle name="Standaard 5 2 2 5 3 3" xfId="37256"/>
    <cellStyle name="Standaard 5 2 2 5 3 3 2" xfId="37257"/>
    <cellStyle name="Standaard 5 2 2 5 3 4" xfId="37258"/>
    <cellStyle name="Standaard 5 2 2 5 4" xfId="37259"/>
    <cellStyle name="Standaard 5 2 2 5 4 2" xfId="37260"/>
    <cellStyle name="Standaard 5 2 2 5 4 2 2" xfId="37261"/>
    <cellStyle name="Standaard 5 2 2 5 4 3" xfId="37262"/>
    <cellStyle name="Standaard 5 2 2 5 5" xfId="37263"/>
    <cellStyle name="Standaard 5 2 2 5 5 2" xfId="37264"/>
    <cellStyle name="Standaard 5 2 2 5 6" xfId="37265"/>
    <cellStyle name="Standaard 5 2 2 5 7" xfId="37266"/>
    <cellStyle name="Standaard 5 2 2 6" xfId="37267"/>
    <cellStyle name="Standaard 5 2 2 6 2" xfId="37268"/>
    <cellStyle name="Standaard 5 2 2 6 2 2" xfId="37269"/>
    <cellStyle name="Standaard 5 2 2 6 2 2 2" xfId="37270"/>
    <cellStyle name="Standaard 5 2 2 6 2 2 2 2" xfId="37271"/>
    <cellStyle name="Standaard 5 2 2 6 2 2 3" xfId="37272"/>
    <cellStyle name="Standaard 5 2 2 6 2 3" xfId="37273"/>
    <cellStyle name="Standaard 5 2 2 6 2 3 2" xfId="37274"/>
    <cellStyle name="Standaard 5 2 2 6 2 4" xfId="37275"/>
    <cellStyle name="Standaard 5 2 2 6 3" xfId="37276"/>
    <cellStyle name="Standaard 5 2 2 6 3 2" xfId="37277"/>
    <cellStyle name="Standaard 5 2 2 6 3 2 2" xfId="37278"/>
    <cellStyle name="Standaard 5 2 2 6 3 3" xfId="37279"/>
    <cellStyle name="Standaard 5 2 2 6 4" xfId="37280"/>
    <cellStyle name="Standaard 5 2 2 6 4 2" xfId="37281"/>
    <cellStyle name="Standaard 5 2 2 6 5" xfId="37282"/>
    <cellStyle name="Standaard 5 2 2 6 6" xfId="37283"/>
    <cellStyle name="Standaard 5 2 2 7" xfId="37284"/>
    <cellStyle name="Standaard 5 2 2 7 2" xfId="37285"/>
    <cellStyle name="Standaard 5 2 2 7 2 2" xfId="37286"/>
    <cellStyle name="Standaard 5 2 2 7 2 2 2" xfId="37287"/>
    <cellStyle name="Standaard 5 2 2 7 2 3" xfId="37288"/>
    <cellStyle name="Standaard 5 2 2 7 3" xfId="37289"/>
    <cellStyle name="Standaard 5 2 2 7 3 2" xfId="37290"/>
    <cellStyle name="Standaard 5 2 2 7 4" xfId="37291"/>
    <cellStyle name="Standaard 5 2 2 8" xfId="37292"/>
    <cellStyle name="Standaard 5 2 2 8 2" xfId="37293"/>
    <cellStyle name="Standaard 5 2 2 8 2 2" xfId="37294"/>
    <cellStyle name="Standaard 5 2 2 8 3" xfId="37295"/>
    <cellStyle name="Standaard 5 2 2 9" xfId="37296"/>
    <cellStyle name="Standaard 5 2 2 9 2" xfId="37297"/>
    <cellStyle name="Standaard 5 2 3" xfId="37298"/>
    <cellStyle name="Standaard 5 2 3 2" xfId="37299"/>
    <cellStyle name="Standaard 5 2 3 2 2" xfId="37300"/>
    <cellStyle name="Standaard 5 2 3 2 2 2" xfId="37301"/>
    <cellStyle name="Standaard 5 2 3 2 2 2 2" xfId="37302"/>
    <cellStyle name="Standaard 5 2 3 2 2 2 2 2" xfId="37303"/>
    <cellStyle name="Standaard 5 2 3 2 2 2 2 2 2" xfId="37304"/>
    <cellStyle name="Standaard 5 2 3 2 2 2 2 2 2 2" xfId="37305"/>
    <cellStyle name="Standaard 5 2 3 2 2 2 2 2 3" xfId="37306"/>
    <cellStyle name="Standaard 5 2 3 2 2 2 2 3" xfId="37307"/>
    <cellStyle name="Standaard 5 2 3 2 2 2 2 3 2" xfId="37308"/>
    <cellStyle name="Standaard 5 2 3 2 2 2 2 4" xfId="37309"/>
    <cellStyle name="Standaard 5 2 3 2 2 2 3" xfId="37310"/>
    <cellStyle name="Standaard 5 2 3 2 2 2 3 2" xfId="37311"/>
    <cellStyle name="Standaard 5 2 3 2 2 2 3 2 2" xfId="37312"/>
    <cellStyle name="Standaard 5 2 3 2 2 2 3 3" xfId="37313"/>
    <cellStyle name="Standaard 5 2 3 2 2 2 4" xfId="37314"/>
    <cellStyle name="Standaard 5 2 3 2 2 2 4 2" xfId="37315"/>
    <cellStyle name="Standaard 5 2 3 2 2 2 5" xfId="37316"/>
    <cellStyle name="Standaard 5 2 3 2 2 2 6" xfId="37317"/>
    <cellStyle name="Standaard 5 2 3 2 2 3" xfId="37318"/>
    <cellStyle name="Standaard 5 2 3 2 2 3 2" xfId="37319"/>
    <cellStyle name="Standaard 5 2 3 2 2 3 2 2" xfId="37320"/>
    <cellStyle name="Standaard 5 2 3 2 2 3 2 2 2" xfId="37321"/>
    <cellStyle name="Standaard 5 2 3 2 2 3 2 3" xfId="37322"/>
    <cellStyle name="Standaard 5 2 3 2 2 3 3" xfId="37323"/>
    <cellStyle name="Standaard 5 2 3 2 2 3 3 2" xfId="37324"/>
    <cellStyle name="Standaard 5 2 3 2 2 3 4" xfId="37325"/>
    <cellStyle name="Standaard 5 2 3 2 2 4" xfId="37326"/>
    <cellStyle name="Standaard 5 2 3 2 2 4 2" xfId="37327"/>
    <cellStyle name="Standaard 5 2 3 2 2 4 2 2" xfId="37328"/>
    <cellStyle name="Standaard 5 2 3 2 2 4 3" xfId="37329"/>
    <cellStyle name="Standaard 5 2 3 2 2 5" xfId="37330"/>
    <cellStyle name="Standaard 5 2 3 2 2 5 2" xfId="37331"/>
    <cellStyle name="Standaard 5 2 3 2 2 6" xfId="37332"/>
    <cellStyle name="Standaard 5 2 3 2 2 7" xfId="37333"/>
    <cellStyle name="Standaard 5 2 3 2 3" xfId="37334"/>
    <cellStyle name="Standaard 5 2 3 2 3 2" xfId="37335"/>
    <cellStyle name="Standaard 5 2 3 2 3 2 2" xfId="37336"/>
    <cellStyle name="Standaard 5 2 3 2 3 2 2 2" xfId="37337"/>
    <cellStyle name="Standaard 5 2 3 2 3 2 2 2 2" xfId="37338"/>
    <cellStyle name="Standaard 5 2 3 2 3 2 2 3" xfId="37339"/>
    <cellStyle name="Standaard 5 2 3 2 3 2 3" xfId="37340"/>
    <cellStyle name="Standaard 5 2 3 2 3 2 3 2" xfId="37341"/>
    <cellStyle name="Standaard 5 2 3 2 3 2 4" xfId="37342"/>
    <cellStyle name="Standaard 5 2 3 2 3 3" xfId="37343"/>
    <cellStyle name="Standaard 5 2 3 2 3 3 2" xfId="37344"/>
    <cellStyle name="Standaard 5 2 3 2 3 3 2 2" xfId="37345"/>
    <cellStyle name="Standaard 5 2 3 2 3 3 3" xfId="37346"/>
    <cellStyle name="Standaard 5 2 3 2 3 4" xfId="37347"/>
    <cellStyle name="Standaard 5 2 3 2 3 4 2" xfId="37348"/>
    <cellStyle name="Standaard 5 2 3 2 3 5" xfId="37349"/>
    <cellStyle name="Standaard 5 2 3 2 3 6" xfId="37350"/>
    <cellStyle name="Standaard 5 2 3 2 4" xfId="37351"/>
    <cellStyle name="Standaard 5 2 3 2 4 2" xfId="37352"/>
    <cellStyle name="Standaard 5 2 3 2 4 2 2" xfId="37353"/>
    <cellStyle name="Standaard 5 2 3 2 4 2 2 2" xfId="37354"/>
    <cellStyle name="Standaard 5 2 3 2 4 2 3" xfId="37355"/>
    <cellStyle name="Standaard 5 2 3 2 4 3" xfId="37356"/>
    <cellStyle name="Standaard 5 2 3 2 4 3 2" xfId="37357"/>
    <cellStyle name="Standaard 5 2 3 2 4 4" xfId="37358"/>
    <cellStyle name="Standaard 5 2 3 2 5" xfId="37359"/>
    <cellStyle name="Standaard 5 2 3 2 5 2" xfId="37360"/>
    <cellStyle name="Standaard 5 2 3 2 5 2 2" xfId="37361"/>
    <cellStyle name="Standaard 5 2 3 2 5 3" xfId="37362"/>
    <cellStyle name="Standaard 5 2 3 2 6" xfId="37363"/>
    <cellStyle name="Standaard 5 2 3 2 6 2" xfId="37364"/>
    <cellStyle name="Standaard 5 2 3 2 7" xfId="37365"/>
    <cellStyle name="Standaard 5 2 3 2 8" xfId="37366"/>
    <cellStyle name="Standaard 5 2 3 3" xfId="37367"/>
    <cellStyle name="Standaard 5 2 3 3 2" xfId="37368"/>
    <cellStyle name="Standaard 5 2 3 3 2 2" xfId="37369"/>
    <cellStyle name="Standaard 5 2 3 3 2 2 2" xfId="37370"/>
    <cellStyle name="Standaard 5 2 3 3 2 2 2 2" xfId="37371"/>
    <cellStyle name="Standaard 5 2 3 3 2 2 2 2 2" xfId="37372"/>
    <cellStyle name="Standaard 5 2 3 3 2 2 2 3" xfId="37373"/>
    <cellStyle name="Standaard 5 2 3 3 2 2 3" xfId="37374"/>
    <cellStyle name="Standaard 5 2 3 3 2 2 3 2" xfId="37375"/>
    <cellStyle name="Standaard 5 2 3 3 2 2 4" xfId="37376"/>
    <cellStyle name="Standaard 5 2 3 3 2 3" xfId="37377"/>
    <cellStyle name="Standaard 5 2 3 3 2 3 2" xfId="37378"/>
    <cellStyle name="Standaard 5 2 3 3 2 3 2 2" xfId="37379"/>
    <cellStyle name="Standaard 5 2 3 3 2 3 3" xfId="37380"/>
    <cellStyle name="Standaard 5 2 3 3 2 4" xfId="37381"/>
    <cellStyle name="Standaard 5 2 3 3 2 4 2" xfId="37382"/>
    <cellStyle name="Standaard 5 2 3 3 2 5" xfId="37383"/>
    <cellStyle name="Standaard 5 2 3 3 2 6" xfId="37384"/>
    <cellStyle name="Standaard 5 2 3 3 3" xfId="37385"/>
    <cellStyle name="Standaard 5 2 3 3 3 2" xfId="37386"/>
    <cellStyle name="Standaard 5 2 3 3 3 2 2" xfId="37387"/>
    <cellStyle name="Standaard 5 2 3 3 3 2 2 2" xfId="37388"/>
    <cellStyle name="Standaard 5 2 3 3 3 2 3" xfId="37389"/>
    <cellStyle name="Standaard 5 2 3 3 3 3" xfId="37390"/>
    <cellStyle name="Standaard 5 2 3 3 3 3 2" xfId="37391"/>
    <cellStyle name="Standaard 5 2 3 3 3 4" xfId="37392"/>
    <cellStyle name="Standaard 5 2 3 3 4" xfId="37393"/>
    <cellStyle name="Standaard 5 2 3 3 4 2" xfId="37394"/>
    <cellStyle name="Standaard 5 2 3 3 4 2 2" xfId="37395"/>
    <cellStyle name="Standaard 5 2 3 3 4 3" xfId="37396"/>
    <cellStyle name="Standaard 5 2 3 3 5" xfId="37397"/>
    <cellStyle name="Standaard 5 2 3 3 5 2" xfId="37398"/>
    <cellStyle name="Standaard 5 2 3 3 6" xfId="37399"/>
    <cellStyle name="Standaard 5 2 3 3 7" xfId="37400"/>
    <cellStyle name="Standaard 5 2 3 4" xfId="37401"/>
    <cellStyle name="Standaard 5 2 3 4 2" xfId="37402"/>
    <cellStyle name="Standaard 5 2 3 4 2 2" xfId="37403"/>
    <cellStyle name="Standaard 5 2 3 4 2 2 2" xfId="37404"/>
    <cellStyle name="Standaard 5 2 3 4 2 2 2 2" xfId="37405"/>
    <cellStyle name="Standaard 5 2 3 4 2 2 3" xfId="37406"/>
    <cellStyle name="Standaard 5 2 3 4 2 3" xfId="37407"/>
    <cellStyle name="Standaard 5 2 3 4 2 3 2" xfId="37408"/>
    <cellStyle name="Standaard 5 2 3 4 2 4" xfId="37409"/>
    <cellStyle name="Standaard 5 2 3 4 3" xfId="37410"/>
    <cellStyle name="Standaard 5 2 3 4 3 2" xfId="37411"/>
    <cellStyle name="Standaard 5 2 3 4 3 2 2" xfId="37412"/>
    <cellStyle name="Standaard 5 2 3 4 3 3" xfId="37413"/>
    <cellStyle name="Standaard 5 2 3 4 4" xfId="37414"/>
    <cellStyle name="Standaard 5 2 3 4 4 2" xfId="37415"/>
    <cellStyle name="Standaard 5 2 3 4 5" xfId="37416"/>
    <cellStyle name="Standaard 5 2 3 4 6" xfId="37417"/>
    <cellStyle name="Standaard 5 2 3 5" xfId="37418"/>
    <cellStyle name="Standaard 5 2 3 5 2" xfId="37419"/>
    <cellStyle name="Standaard 5 2 3 5 2 2" xfId="37420"/>
    <cellStyle name="Standaard 5 2 3 5 2 2 2" xfId="37421"/>
    <cellStyle name="Standaard 5 2 3 5 2 3" xfId="37422"/>
    <cellStyle name="Standaard 5 2 3 5 3" xfId="37423"/>
    <cellStyle name="Standaard 5 2 3 5 3 2" xfId="37424"/>
    <cellStyle name="Standaard 5 2 3 5 4" xfId="37425"/>
    <cellStyle name="Standaard 5 2 3 6" xfId="37426"/>
    <cellStyle name="Standaard 5 2 3 6 2" xfId="37427"/>
    <cellStyle name="Standaard 5 2 3 6 2 2" xfId="37428"/>
    <cellStyle name="Standaard 5 2 3 6 3" xfId="37429"/>
    <cellStyle name="Standaard 5 2 3 7" xfId="37430"/>
    <cellStyle name="Standaard 5 2 3 7 2" xfId="37431"/>
    <cellStyle name="Standaard 5 2 3 8" xfId="37432"/>
    <cellStyle name="Standaard 5 2 3 9" xfId="37433"/>
    <cellStyle name="Standaard 5 2 4" xfId="37434"/>
    <cellStyle name="Standaard 5 2 4 2" xfId="37435"/>
    <cellStyle name="Standaard 5 2 4 2 2" xfId="37436"/>
    <cellStyle name="Standaard 5 2 4 2 2 2" xfId="37437"/>
    <cellStyle name="Standaard 5 2 4 2 2 2 2" xfId="37438"/>
    <cellStyle name="Standaard 5 2 4 2 2 2 2 2" xfId="37439"/>
    <cellStyle name="Standaard 5 2 4 2 2 2 2 2 2" xfId="37440"/>
    <cellStyle name="Standaard 5 2 4 2 2 2 2 3" xfId="37441"/>
    <cellStyle name="Standaard 5 2 4 2 2 2 3" xfId="37442"/>
    <cellStyle name="Standaard 5 2 4 2 2 2 3 2" xfId="37443"/>
    <cellStyle name="Standaard 5 2 4 2 2 2 4" xfId="37444"/>
    <cellStyle name="Standaard 5 2 4 2 2 3" xfId="37445"/>
    <cellStyle name="Standaard 5 2 4 2 2 3 2" xfId="37446"/>
    <cellStyle name="Standaard 5 2 4 2 2 3 2 2" xfId="37447"/>
    <cellStyle name="Standaard 5 2 4 2 2 3 3" xfId="37448"/>
    <cellStyle name="Standaard 5 2 4 2 2 4" xfId="37449"/>
    <cellStyle name="Standaard 5 2 4 2 2 4 2" xfId="37450"/>
    <cellStyle name="Standaard 5 2 4 2 2 5" xfId="37451"/>
    <cellStyle name="Standaard 5 2 4 2 2 6" xfId="37452"/>
    <cellStyle name="Standaard 5 2 4 2 3" xfId="37453"/>
    <cellStyle name="Standaard 5 2 4 2 3 2" xfId="37454"/>
    <cellStyle name="Standaard 5 2 4 2 3 2 2" xfId="37455"/>
    <cellStyle name="Standaard 5 2 4 2 3 2 2 2" xfId="37456"/>
    <cellStyle name="Standaard 5 2 4 2 3 2 3" xfId="37457"/>
    <cellStyle name="Standaard 5 2 4 2 3 3" xfId="37458"/>
    <cellStyle name="Standaard 5 2 4 2 3 3 2" xfId="37459"/>
    <cellStyle name="Standaard 5 2 4 2 3 4" xfId="37460"/>
    <cellStyle name="Standaard 5 2 4 2 4" xfId="37461"/>
    <cellStyle name="Standaard 5 2 4 2 4 2" xfId="37462"/>
    <cellStyle name="Standaard 5 2 4 2 4 2 2" xfId="37463"/>
    <cellStyle name="Standaard 5 2 4 2 4 3" xfId="37464"/>
    <cellStyle name="Standaard 5 2 4 2 5" xfId="37465"/>
    <cellStyle name="Standaard 5 2 4 2 5 2" xfId="37466"/>
    <cellStyle name="Standaard 5 2 4 2 6" xfId="37467"/>
    <cellStyle name="Standaard 5 2 4 2 7" xfId="37468"/>
    <cellStyle name="Standaard 5 2 4 3" xfId="37469"/>
    <cellStyle name="Standaard 5 2 4 3 2" xfId="37470"/>
    <cellStyle name="Standaard 5 2 4 3 2 2" xfId="37471"/>
    <cellStyle name="Standaard 5 2 4 3 2 2 2" xfId="37472"/>
    <cellStyle name="Standaard 5 2 4 3 2 2 2 2" xfId="37473"/>
    <cellStyle name="Standaard 5 2 4 3 2 2 3" xfId="37474"/>
    <cellStyle name="Standaard 5 2 4 3 2 3" xfId="37475"/>
    <cellStyle name="Standaard 5 2 4 3 2 3 2" xfId="37476"/>
    <cellStyle name="Standaard 5 2 4 3 2 4" xfId="37477"/>
    <cellStyle name="Standaard 5 2 4 3 3" xfId="37478"/>
    <cellStyle name="Standaard 5 2 4 3 3 2" xfId="37479"/>
    <cellStyle name="Standaard 5 2 4 3 3 2 2" xfId="37480"/>
    <cellStyle name="Standaard 5 2 4 3 3 3" xfId="37481"/>
    <cellStyle name="Standaard 5 2 4 3 4" xfId="37482"/>
    <cellStyle name="Standaard 5 2 4 3 4 2" xfId="37483"/>
    <cellStyle name="Standaard 5 2 4 3 5" xfId="37484"/>
    <cellStyle name="Standaard 5 2 4 3 6" xfId="37485"/>
    <cellStyle name="Standaard 5 2 4 4" xfId="37486"/>
    <cellStyle name="Standaard 5 2 4 4 2" xfId="37487"/>
    <cellStyle name="Standaard 5 2 4 4 2 2" xfId="37488"/>
    <cellStyle name="Standaard 5 2 4 4 2 2 2" xfId="37489"/>
    <cellStyle name="Standaard 5 2 4 4 2 3" xfId="37490"/>
    <cellStyle name="Standaard 5 2 4 4 3" xfId="37491"/>
    <cellStyle name="Standaard 5 2 4 4 3 2" xfId="37492"/>
    <cellStyle name="Standaard 5 2 4 4 4" xfId="37493"/>
    <cellStyle name="Standaard 5 2 4 5" xfId="37494"/>
    <cellStyle name="Standaard 5 2 4 5 2" xfId="37495"/>
    <cellStyle name="Standaard 5 2 4 5 2 2" xfId="37496"/>
    <cellStyle name="Standaard 5 2 4 5 3" xfId="37497"/>
    <cellStyle name="Standaard 5 2 4 6" xfId="37498"/>
    <cellStyle name="Standaard 5 2 4 6 2" xfId="37499"/>
    <cellStyle name="Standaard 5 2 4 7" xfId="37500"/>
    <cellStyle name="Standaard 5 2 4 8" xfId="37501"/>
    <cellStyle name="Standaard 5 2 5" xfId="37502"/>
    <cellStyle name="Standaard 5 2 5 2" xfId="37503"/>
    <cellStyle name="Standaard 5 2 5 2 2" xfId="37504"/>
    <cellStyle name="Standaard 5 2 5 2 2 2" xfId="37505"/>
    <cellStyle name="Standaard 5 2 5 2 2 2 2" xfId="37506"/>
    <cellStyle name="Standaard 5 2 5 2 2 2 2 2" xfId="37507"/>
    <cellStyle name="Standaard 5 2 5 2 2 2 2 2 2" xfId="37508"/>
    <cellStyle name="Standaard 5 2 5 2 2 2 2 3" xfId="37509"/>
    <cellStyle name="Standaard 5 2 5 2 2 2 3" xfId="37510"/>
    <cellStyle name="Standaard 5 2 5 2 2 2 3 2" xfId="37511"/>
    <cellStyle name="Standaard 5 2 5 2 2 2 4" xfId="37512"/>
    <cellStyle name="Standaard 5 2 5 2 2 3" xfId="37513"/>
    <cellStyle name="Standaard 5 2 5 2 2 3 2" xfId="37514"/>
    <cellStyle name="Standaard 5 2 5 2 2 3 2 2" xfId="37515"/>
    <cellStyle name="Standaard 5 2 5 2 2 3 3" xfId="37516"/>
    <cellStyle name="Standaard 5 2 5 2 2 4" xfId="37517"/>
    <cellStyle name="Standaard 5 2 5 2 2 4 2" xfId="37518"/>
    <cellStyle name="Standaard 5 2 5 2 2 5" xfId="37519"/>
    <cellStyle name="Standaard 5 2 5 2 2 6" xfId="37520"/>
    <cellStyle name="Standaard 5 2 5 2 3" xfId="37521"/>
    <cellStyle name="Standaard 5 2 5 2 3 2" xfId="37522"/>
    <cellStyle name="Standaard 5 2 5 2 3 2 2" xfId="37523"/>
    <cellStyle name="Standaard 5 2 5 2 3 2 2 2" xfId="37524"/>
    <cellStyle name="Standaard 5 2 5 2 3 2 3" xfId="37525"/>
    <cellStyle name="Standaard 5 2 5 2 3 3" xfId="37526"/>
    <cellStyle name="Standaard 5 2 5 2 3 3 2" xfId="37527"/>
    <cellStyle name="Standaard 5 2 5 2 3 4" xfId="37528"/>
    <cellStyle name="Standaard 5 2 5 2 4" xfId="37529"/>
    <cellStyle name="Standaard 5 2 5 2 4 2" xfId="37530"/>
    <cellStyle name="Standaard 5 2 5 2 4 2 2" xfId="37531"/>
    <cellStyle name="Standaard 5 2 5 2 4 3" xfId="37532"/>
    <cellStyle name="Standaard 5 2 5 2 5" xfId="37533"/>
    <cellStyle name="Standaard 5 2 5 2 5 2" xfId="37534"/>
    <cellStyle name="Standaard 5 2 5 2 6" xfId="37535"/>
    <cellStyle name="Standaard 5 2 5 2 7" xfId="37536"/>
    <cellStyle name="Standaard 5 2 5 3" xfId="37537"/>
    <cellStyle name="Standaard 5 2 5 3 2" xfId="37538"/>
    <cellStyle name="Standaard 5 2 5 3 2 2" xfId="37539"/>
    <cellStyle name="Standaard 5 2 5 3 2 2 2" xfId="37540"/>
    <cellStyle name="Standaard 5 2 5 3 2 2 2 2" xfId="37541"/>
    <cellStyle name="Standaard 5 2 5 3 2 2 3" xfId="37542"/>
    <cellStyle name="Standaard 5 2 5 3 2 3" xfId="37543"/>
    <cellStyle name="Standaard 5 2 5 3 2 3 2" xfId="37544"/>
    <cellStyle name="Standaard 5 2 5 3 2 4" xfId="37545"/>
    <cellStyle name="Standaard 5 2 5 3 3" xfId="37546"/>
    <cellStyle name="Standaard 5 2 5 3 3 2" xfId="37547"/>
    <cellStyle name="Standaard 5 2 5 3 3 2 2" xfId="37548"/>
    <cellStyle name="Standaard 5 2 5 3 3 3" xfId="37549"/>
    <cellStyle name="Standaard 5 2 5 3 4" xfId="37550"/>
    <cellStyle name="Standaard 5 2 5 3 4 2" xfId="37551"/>
    <cellStyle name="Standaard 5 2 5 3 5" xfId="37552"/>
    <cellStyle name="Standaard 5 2 5 3 6" xfId="37553"/>
    <cellStyle name="Standaard 5 2 5 4" xfId="37554"/>
    <cellStyle name="Standaard 5 2 5 4 2" xfId="37555"/>
    <cellStyle name="Standaard 5 2 5 4 2 2" xfId="37556"/>
    <cellStyle name="Standaard 5 2 5 4 2 2 2" xfId="37557"/>
    <cellStyle name="Standaard 5 2 5 4 2 3" xfId="37558"/>
    <cellStyle name="Standaard 5 2 5 4 3" xfId="37559"/>
    <cellStyle name="Standaard 5 2 5 4 3 2" xfId="37560"/>
    <cellStyle name="Standaard 5 2 5 4 4" xfId="37561"/>
    <cellStyle name="Standaard 5 2 5 5" xfId="37562"/>
    <cellStyle name="Standaard 5 2 5 5 2" xfId="37563"/>
    <cellStyle name="Standaard 5 2 5 5 2 2" xfId="37564"/>
    <cellStyle name="Standaard 5 2 5 5 3" xfId="37565"/>
    <cellStyle name="Standaard 5 2 5 6" xfId="37566"/>
    <cellStyle name="Standaard 5 2 5 6 2" xfId="37567"/>
    <cellStyle name="Standaard 5 2 5 7" xfId="37568"/>
    <cellStyle name="Standaard 5 2 5 8" xfId="37569"/>
    <cellStyle name="Standaard 5 2 6" xfId="37570"/>
    <cellStyle name="Standaard 5 2 6 2" xfId="37571"/>
    <cellStyle name="Standaard 5 2 6 2 2" xfId="37572"/>
    <cellStyle name="Standaard 5 2 6 2 2 2" xfId="37573"/>
    <cellStyle name="Standaard 5 2 6 2 2 2 2" xfId="37574"/>
    <cellStyle name="Standaard 5 2 6 2 2 2 2 2" xfId="37575"/>
    <cellStyle name="Standaard 5 2 6 2 2 2 3" xfId="37576"/>
    <cellStyle name="Standaard 5 2 6 2 2 3" xfId="37577"/>
    <cellStyle name="Standaard 5 2 6 2 2 3 2" xfId="37578"/>
    <cellStyle name="Standaard 5 2 6 2 2 4" xfId="37579"/>
    <cellStyle name="Standaard 5 2 6 2 3" xfId="37580"/>
    <cellStyle name="Standaard 5 2 6 2 3 2" xfId="37581"/>
    <cellStyle name="Standaard 5 2 6 2 3 2 2" xfId="37582"/>
    <cellStyle name="Standaard 5 2 6 2 3 3" xfId="37583"/>
    <cellStyle name="Standaard 5 2 6 2 4" xfId="37584"/>
    <cellStyle name="Standaard 5 2 6 2 4 2" xfId="37585"/>
    <cellStyle name="Standaard 5 2 6 2 5" xfId="37586"/>
    <cellStyle name="Standaard 5 2 6 2 6" xfId="37587"/>
    <cellStyle name="Standaard 5 2 6 3" xfId="37588"/>
    <cellStyle name="Standaard 5 2 6 3 2" xfId="37589"/>
    <cellStyle name="Standaard 5 2 6 3 2 2" xfId="37590"/>
    <cellStyle name="Standaard 5 2 6 3 2 2 2" xfId="37591"/>
    <cellStyle name="Standaard 5 2 6 3 2 3" xfId="37592"/>
    <cellStyle name="Standaard 5 2 6 3 3" xfId="37593"/>
    <cellStyle name="Standaard 5 2 6 3 3 2" xfId="37594"/>
    <cellStyle name="Standaard 5 2 6 3 4" xfId="37595"/>
    <cellStyle name="Standaard 5 2 6 4" xfId="37596"/>
    <cellStyle name="Standaard 5 2 6 4 2" xfId="37597"/>
    <cellStyle name="Standaard 5 2 6 4 2 2" xfId="37598"/>
    <cellStyle name="Standaard 5 2 6 4 3" xfId="37599"/>
    <cellStyle name="Standaard 5 2 6 5" xfId="37600"/>
    <cellStyle name="Standaard 5 2 6 5 2" xfId="37601"/>
    <cellStyle name="Standaard 5 2 6 6" xfId="37602"/>
    <cellStyle name="Standaard 5 2 6 7" xfId="37603"/>
    <cellStyle name="Standaard 5 2 7" xfId="37604"/>
    <cellStyle name="Standaard 5 2 7 2" xfId="37605"/>
    <cellStyle name="Standaard 5 2 7 2 2" xfId="37606"/>
    <cellStyle name="Standaard 5 2 7 2 2 2" xfId="37607"/>
    <cellStyle name="Standaard 5 2 7 2 2 2 2" xfId="37608"/>
    <cellStyle name="Standaard 5 2 7 2 2 3" xfId="37609"/>
    <cellStyle name="Standaard 5 2 7 2 3" xfId="37610"/>
    <cellStyle name="Standaard 5 2 7 2 3 2" xfId="37611"/>
    <cellStyle name="Standaard 5 2 7 2 4" xfId="37612"/>
    <cellStyle name="Standaard 5 2 7 3" xfId="37613"/>
    <cellStyle name="Standaard 5 2 7 3 2" xfId="37614"/>
    <cellStyle name="Standaard 5 2 7 3 2 2" xfId="37615"/>
    <cellStyle name="Standaard 5 2 7 3 3" xfId="37616"/>
    <cellStyle name="Standaard 5 2 7 4" xfId="37617"/>
    <cellStyle name="Standaard 5 2 7 4 2" xfId="37618"/>
    <cellStyle name="Standaard 5 2 7 5" xfId="37619"/>
    <cellStyle name="Standaard 5 2 7 6" xfId="37620"/>
    <cellStyle name="Standaard 5 2 8" xfId="37621"/>
    <cellStyle name="Standaard 5 2 8 2" xfId="37622"/>
    <cellStyle name="Standaard 5 2 8 2 2" xfId="37623"/>
    <cellStyle name="Standaard 5 2 8 2 2 2" xfId="37624"/>
    <cellStyle name="Standaard 5 2 8 2 3" xfId="37625"/>
    <cellStyle name="Standaard 5 2 8 3" xfId="37626"/>
    <cellStyle name="Standaard 5 2 8 3 2" xfId="37627"/>
    <cellStyle name="Standaard 5 2 8 4" xfId="37628"/>
    <cellStyle name="Standaard 5 2 9" xfId="37629"/>
    <cellStyle name="Standaard 5 2 9 2" xfId="37630"/>
    <cellStyle name="Standaard 5 2 9 2 2" xfId="37631"/>
    <cellStyle name="Standaard 5 2 9 3" xfId="37632"/>
    <cellStyle name="Standaard 5 3" xfId="37633"/>
    <cellStyle name="Standaard 5 3 10" xfId="37634"/>
    <cellStyle name="Standaard 5 3 11" xfId="37635"/>
    <cellStyle name="Standaard 5 3 2" xfId="37636"/>
    <cellStyle name="Standaard 5 3 2 2" xfId="37637"/>
    <cellStyle name="Standaard 5 3 2 2 2" xfId="37638"/>
    <cellStyle name="Standaard 5 3 2 2 2 2" xfId="37639"/>
    <cellStyle name="Standaard 5 3 2 2 2 2 2" xfId="37640"/>
    <cellStyle name="Standaard 5 3 2 2 2 2 2 2" xfId="37641"/>
    <cellStyle name="Standaard 5 3 2 2 2 2 2 2 2" xfId="37642"/>
    <cellStyle name="Standaard 5 3 2 2 2 2 2 2 2 2" xfId="37643"/>
    <cellStyle name="Standaard 5 3 2 2 2 2 2 2 3" xfId="37644"/>
    <cellStyle name="Standaard 5 3 2 2 2 2 2 3" xfId="37645"/>
    <cellStyle name="Standaard 5 3 2 2 2 2 2 3 2" xfId="37646"/>
    <cellStyle name="Standaard 5 3 2 2 2 2 2 4" xfId="37647"/>
    <cellStyle name="Standaard 5 3 2 2 2 2 3" xfId="37648"/>
    <cellStyle name="Standaard 5 3 2 2 2 2 3 2" xfId="37649"/>
    <cellStyle name="Standaard 5 3 2 2 2 2 3 2 2" xfId="37650"/>
    <cellStyle name="Standaard 5 3 2 2 2 2 3 3" xfId="37651"/>
    <cellStyle name="Standaard 5 3 2 2 2 2 4" xfId="37652"/>
    <cellStyle name="Standaard 5 3 2 2 2 2 4 2" xfId="37653"/>
    <cellStyle name="Standaard 5 3 2 2 2 2 5" xfId="37654"/>
    <cellStyle name="Standaard 5 3 2 2 2 2 6" xfId="37655"/>
    <cellStyle name="Standaard 5 3 2 2 2 3" xfId="37656"/>
    <cellStyle name="Standaard 5 3 2 2 2 3 2" xfId="37657"/>
    <cellStyle name="Standaard 5 3 2 2 2 3 2 2" xfId="37658"/>
    <cellStyle name="Standaard 5 3 2 2 2 3 2 2 2" xfId="37659"/>
    <cellStyle name="Standaard 5 3 2 2 2 3 2 3" xfId="37660"/>
    <cellStyle name="Standaard 5 3 2 2 2 3 3" xfId="37661"/>
    <cellStyle name="Standaard 5 3 2 2 2 3 3 2" xfId="37662"/>
    <cellStyle name="Standaard 5 3 2 2 2 3 4" xfId="37663"/>
    <cellStyle name="Standaard 5 3 2 2 2 4" xfId="37664"/>
    <cellStyle name="Standaard 5 3 2 2 2 4 2" xfId="37665"/>
    <cellStyle name="Standaard 5 3 2 2 2 4 2 2" xfId="37666"/>
    <cellStyle name="Standaard 5 3 2 2 2 4 3" xfId="37667"/>
    <cellStyle name="Standaard 5 3 2 2 2 5" xfId="37668"/>
    <cellStyle name="Standaard 5 3 2 2 2 5 2" xfId="37669"/>
    <cellStyle name="Standaard 5 3 2 2 2 6" xfId="37670"/>
    <cellStyle name="Standaard 5 3 2 2 2 7" xfId="37671"/>
    <cellStyle name="Standaard 5 3 2 2 3" xfId="37672"/>
    <cellStyle name="Standaard 5 3 2 2 3 2" xfId="37673"/>
    <cellStyle name="Standaard 5 3 2 2 3 2 2" xfId="37674"/>
    <cellStyle name="Standaard 5 3 2 2 3 2 2 2" xfId="37675"/>
    <cellStyle name="Standaard 5 3 2 2 3 2 2 2 2" xfId="37676"/>
    <cellStyle name="Standaard 5 3 2 2 3 2 2 3" xfId="37677"/>
    <cellStyle name="Standaard 5 3 2 2 3 2 3" xfId="37678"/>
    <cellStyle name="Standaard 5 3 2 2 3 2 3 2" xfId="37679"/>
    <cellStyle name="Standaard 5 3 2 2 3 2 4" xfId="37680"/>
    <cellStyle name="Standaard 5 3 2 2 3 3" xfId="37681"/>
    <cellStyle name="Standaard 5 3 2 2 3 3 2" xfId="37682"/>
    <cellStyle name="Standaard 5 3 2 2 3 3 2 2" xfId="37683"/>
    <cellStyle name="Standaard 5 3 2 2 3 3 3" xfId="37684"/>
    <cellStyle name="Standaard 5 3 2 2 3 4" xfId="37685"/>
    <cellStyle name="Standaard 5 3 2 2 3 4 2" xfId="37686"/>
    <cellStyle name="Standaard 5 3 2 2 3 5" xfId="37687"/>
    <cellStyle name="Standaard 5 3 2 2 3 6" xfId="37688"/>
    <cellStyle name="Standaard 5 3 2 2 4" xfId="37689"/>
    <cellStyle name="Standaard 5 3 2 2 4 2" xfId="37690"/>
    <cellStyle name="Standaard 5 3 2 2 4 2 2" xfId="37691"/>
    <cellStyle name="Standaard 5 3 2 2 4 2 2 2" xfId="37692"/>
    <cellStyle name="Standaard 5 3 2 2 4 2 3" xfId="37693"/>
    <cellStyle name="Standaard 5 3 2 2 4 3" xfId="37694"/>
    <cellStyle name="Standaard 5 3 2 2 4 3 2" xfId="37695"/>
    <cellStyle name="Standaard 5 3 2 2 4 4" xfId="37696"/>
    <cellStyle name="Standaard 5 3 2 2 5" xfId="37697"/>
    <cellStyle name="Standaard 5 3 2 2 5 2" xfId="37698"/>
    <cellStyle name="Standaard 5 3 2 2 5 2 2" xfId="37699"/>
    <cellStyle name="Standaard 5 3 2 2 5 3" xfId="37700"/>
    <cellStyle name="Standaard 5 3 2 2 6" xfId="37701"/>
    <cellStyle name="Standaard 5 3 2 2 6 2" xfId="37702"/>
    <cellStyle name="Standaard 5 3 2 2 7" xfId="37703"/>
    <cellStyle name="Standaard 5 3 2 2 8" xfId="37704"/>
    <cellStyle name="Standaard 5 3 2 3" xfId="37705"/>
    <cellStyle name="Standaard 5 3 2 3 2" xfId="37706"/>
    <cellStyle name="Standaard 5 3 2 3 2 2" xfId="37707"/>
    <cellStyle name="Standaard 5 3 2 3 2 2 2" xfId="37708"/>
    <cellStyle name="Standaard 5 3 2 3 2 2 2 2" xfId="37709"/>
    <cellStyle name="Standaard 5 3 2 3 2 2 2 2 2" xfId="37710"/>
    <cellStyle name="Standaard 5 3 2 3 2 2 2 3" xfId="37711"/>
    <cellStyle name="Standaard 5 3 2 3 2 2 3" xfId="37712"/>
    <cellStyle name="Standaard 5 3 2 3 2 2 3 2" xfId="37713"/>
    <cellStyle name="Standaard 5 3 2 3 2 2 4" xfId="37714"/>
    <cellStyle name="Standaard 5 3 2 3 2 3" xfId="37715"/>
    <cellStyle name="Standaard 5 3 2 3 2 3 2" xfId="37716"/>
    <cellStyle name="Standaard 5 3 2 3 2 3 2 2" xfId="37717"/>
    <cellStyle name="Standaard 5 3 2 3 2 3 3" xfId="37718"/>
    <cellStyle name="Standaard 5 3 2 3 2 4" xfId="37719"/>
    <cellStyle name="Standaard 5 3 2 3 2 4 2" xfId="37720"/>
    <cellStyle name="Standaard 5 3 2 3 2 5" xfId="37721"/>
    <cellStyle name="Standaard 5 3 2 3 2 6" xfId="37722"/>
    <cellStyle name="Standaard 5 3 2 3 3" xfId="37723"/>
    <cellStyle name="Standaard 5 3 2 3 3 2" xfId="37724"/>
    <cellStyle name="Standaard 5 3 2 3 3 2 2" xfId="37725"/>
    <cellStyle name="Standaard 5 3 2 3 3 2 2 2" xfId="37726"/>
    <cellStyle name="Standaard 5 3 2 3 3 2 3" xfId="37727"/>
    <cellStyle name="Standaard 5 3 2 3 3 3" xfId="37728"/>
    <cellStyle name="Standaard 5 3 2 3 3 3 2" xfId="37729"/>
    <cellStyle name="Standaard 5 3 2 3 3 4" xfId="37730"/>
    <cellStyle name="Standaard 5 3 2 3 4" xfId="37731"/>
    <cellStyle name="Standaard 5 3 2 3 4 2" xfId="37732"/>
    <cellStyle name="Standaard 5 3 2 3 4 2 2" xfId="37733"/>
    <cellStyle name="Standaard 5 3 2 3 4 3" xfId="37734"/>
    <cellStyle name="Standaard 5 3 2 3 5" xfId="37735"/>
    <cellStyle name="Standaard 5 3 2 3 5 2" xfId="37736"/>
    <cellStyle name="Standaard 5 3 2 3 6" xfId="37737"/>
    <cellStyle name="Standaard 5 3 2 3 7" xfId="37738"/>
    <cellStyle name="Standaard 5 3 2 4" xfId="37739"/>
    <cellStyle name="Standaard 5 3 2 4 2" xfId="37740"/>
    <cellStyle name="Standaard 5 3 2 4 2 2" xfId="37741"/>
    <cellStyle name="Standaard 5 3 2 4 2 2 2" xfId="37742"/>
    <cellStyle name="Standaard 5 3 2 4 2 2 2 2" xfId="37743"/>
    <cellStyle name="Standaard 5 3 2 4 2 2 3" xfId="37744"/>
    <cellStyle name="Standaard 5 3 2 4 2 3" xfId="37745"/>
    <cellStyle name="Standaard 5 3 2 4 2 3 2" xfId="37746"/>
    <cellStyle name="Standaard 5 3 2 4 2 4" xfId="37747"/>
    <cellStyle name="Standaard 5 3 2 4 3" xfId="37748"/>
    <cellStyle name="Standaard 5 3 2 4 3 2" xfId="37749"/>
    <cellStyle name="Standaard 5 3 2 4 3 2 2" xfId="37750"/>
    <cellStyle name="Standaard 5 3 2 4 3 3" xfId="37751"/>
    <cellStyle name="Standaard 5 3 2 4 4" xfId="37752"/>
    <cellStyle name="Standaard 5 3 2 4 4 2" xfId="37753"/>
    <cellStyle name="Standaard 5 3 2 4 5" xfId="37754"/>
    <cellStyle name="Standaard 5 3 2 4 6" xfId="37755"/>
    <cellStyle name="Standaard 5 3 2 5" xfId="37756"/>
    <cellStyle name="Standaard 5 3 2 5 2" xfId="37757"/>
    <cellStyle name="Standaard 5 3 2 5 2 2" xfId="37758"/>
    <cellStyle name="Standaard 5 3 2 5 2 2 2" xfId="37759"/>
    <cellStyle name="Standaard 5 3 2 5 2 3" xfId="37760"/>
    <cellStyle name="Standaard 5 3 2 5 3" xfId="37761"/>
    <cellStyle name="Standaard 5 3 2 5 3 2" xfId="37762"/>
    <cellStyle name="Standaard 5 3 2 5 4" xfId="37763"/>
    <cellStyle name="Standaard 5 3 2 6" xfId="37764"/>
    <cellStyle name="Standaard 5 3 2 6 2" xfId="37765"/>
    <cellStyle name="Standaard 5 3 2 6 2 2" xfId="37766"/>
    <cellStyle name="Standaard 5 3 2 6 3" xfId="37767"/>
    <cellStyle name="Standaard 5 3 2 7" xfId="37768"/>
    <cellStyle name="Standaard 5 3 2 7 2" xfId="37769"/>
    <cellStyle name="Standaard 5 3 2 8" xfId="37770"/>
    <cellStyle name="Standaard 5 3 2 9" xfId="37771"/>
    <cellStyle name="Standaard 5 3 3" xfId="37772"/>
    <cellStyle name="Standaard 5 3 3 2" xfId="37773"/>
    <cellStyle name="Standaard 5 3 3 2 2" xfId="37774"/>
    <cellStyle name="Standaard 5 3 3 2 2 2" xfId="37775"/>
    <cellStyle name="Standaard 5 3 3 2 2 2 2" xfId="37776"/>
    <cellStyle name="Standaard 5 3 3 2 2 2 2 2" xfId="37777"/>
    <cellStyle name="Standaard 5 3 3 2 2 2 2 2 2" xfId="37778"/>
    <cellStyle name="Standaard 5 3 3 2 2 2 2 3" xfId="37779"/>
    <cellStyle name="Standaard 5 3 3 2 2 2 3" xfId="37780"/>
    <cellStyle name="Standaard 5 3 3 2 2 2 3 2" xfId="37781"/>
    <cellStyle name="Standaard 5 3 3 2 2 2 4" xfId="37782"/>
    <cellStyle name="Standaard 5 3 3 2 2 3" xfId="37783"/>
    <cellStyle name="Standaard 5 3 3 2 2 3 2" xfId="37784"/>
    <cellStyle name="Standaard 5 3 3 2 2 3 2 2" xfId="37785"/>
    <cellStyle name="Standaard 5 3 3 2 2 3 3" xfId="37786"/>
    <cellStyle name="Standaard 5 3 3 2 2 4" xfId="37787"/>
    <cellStyle name="Standaard 5 3 3 2 2 4 2" xfId="37788"/>
    <cellStyle name="Standaard 5 3 3 2 2 5" xfId="37789"/>
    <cellStyle name="Standaard 5 3 3 2 2 6" xfId="37790"/>
    <cellStyle name="Standaard 5 3 3 2 3" xfId="37791"/>
    <cellStyle name="Standaard 5 3 3 2 3 2" xfId="37792"/>
    <cellStyle name="Standaard 5 3 3 2 3 2 2" xfId="37793"/>
    <cellStyle name="Standaard 5 3 3 2 3 2 2 2" xfId="37794"/>
    <cellStyle name="Standaard 5 3 3 2 3 2 3" xfId="37795"/>
    <cellStyle name="Standaard 5 3 3 2 3 3" xfId="37796"/>
    <cellStyle name="Standaard 5 3 3 2 3 3 2" xfId="37797"/>
    <cellStyle name="Standaard 5 3 3 2 3 4" xfId="37798"/>
    <cellStyle name="Standaard 5 3 3 2 4" xfId="37799"/>
    <cellStyle name="Standaard 5 3 3 2 4 2" xfId="37800"/>
    <cellStyle name="Standaard 5 3 3 2 4 2 2" xfId="37801"/>
    <cellStyle name="Standaard 5 3 3 2 4 3" xfId="37802"/>
    <cellStyle name="Standaard 5 3 3 2 5" xfId="37803"/>
    <cellStyle name="Standaard 5 3 3 2 5 2" xfId="37804"/>
    <cellStyle name="Standaard 5 3 3 2 6" xfId="37805"/>
    <cellStyle name="Standaard 5 3 3 2 7" xfId="37806"/>
    <cellStyle name="Standaard 5 3 3 3" xfId="37807"/>
    <cellStyle name="Standaard 5 3 3 3 2" xfId="37808"/>
    <cellStyle name="Standaard 5 3 3 3 2 2" xfId="37809"/>
    <cellStyle name="Standaard 5 3 3 3 2 2 2" xfId="37810"/>
    <cellStyle name="Standaard 5 3 3 3 2 2 2 2" xfId="37811"/>
    <cellStyle name="Standaard 5 3 3 3 2 2 3" xfId="37812"/>
    <cellStyle name="Standaard 5 3 3 3 2 3" xfId="37813"/>
    <cellStyle name="Standaard 5 3 3 3 2 3 2" xfId="37814"/>
    <cellStyle name="Standaard 5 3 3 3 2 4" xfId="37815"/>
    <cellStyle name="Standaard 5 3 3 3 3" xfId="37816"/>
    <cellStyle name="Standaard 5 3 3 3 3 2" xfId="37817"/>
    <cellStyle name="Standaard 5 3 3 3 3 2 2" xfId="37818"/>
    <cellStyle name="Standaard 5 3 3 3 3 3" xfId="37819"/>
    <cellStyle name="Standaard 5 3 3 3 4" xfId="37820"/>
    <cellStyle name="Standaard 5 3 3 3 4 2" xfId="37821"/>
    <cellStyle name="Standaard 5 3 3 3 5" xfId="37822"/>
    <cellStyle name="Standaard 5 3 3 3 6" xfId="37823"/>
    <cellStyle name="Standaard 5 3 3 4" xfId="37824"/>
    <cellStyle name="Standaard 5 3 3 4 2" xfId="37825"/>
    <cellStyle name="Standaard 5 3 3 4 2 2" xfId="37826"/>
    <cellStyle name="Standaard 5 3 3 4 2 2 2" xfId="37827"/>
    <cellStyle name="Standaard 5 3 3 4 2 3" xfId="37828"/>
    <cellStyle name="Standaard 5 3 3 4 3" xfId="37829"/>
    <cellStyle name="Standaard 5 3 3 4 3 2" xfId="37830"/>
    <cellStyle name="Standaard 5 3 3 4 4" xfId="37831"/>
    <cellStyle name="Standaard 5 3 3 5" xfId="37832"/>
    <cellStyle name="Standaard 5 3 3 5 2" xfId="37833"/>
    <cellStyle name="Standaard 5 3 3 5 2 2" xfId="37834"/>
    <cellStyle name="Standaard 5 3 3 5 3" xfId="37835"/>
    <cellStyle name="Standaard 5 3 3 6" xfId="37836"/>
    <cellStyle name="Standaard 5 3 3 6 2" xfId="37837"/>
    <cellStyle name="Standaard 5 3 3 7" xfId="37838"/>
    <cellStyle name="Standaard 5 3 3 8" xfId="37839"/>
    <cellStyle name="Standaard 5 3 4" xfId="37840"/>
    <cellStyle name="Standaard 5 3 4 2" xfId="37841"/>
    <cellStyle name="Standaard 5 3 4 2 2" xfId="37842"/>
    <cellStyle name="Standaard 5 3 4 2 2 2" xfId="37843"/>
    <cellStyle name="Standaard 5 3 4 2 2 2 2" xfId="37844"/>
    <cellStyle name="Standaard 5 3 4 2 2 2 2 2" xfId="37845"/>
    <cellStyle name="Standaard 5 3 4 2 2 2 2 2 2" xfId="37846"/>
    <cellStyle name="Standaard 5 3 4 2 2 2 2 3" xfId="37847"/>
    <cellStyle name="Standaard 5 3 4 2 2 2 3" xfId="37848"/>
    <cellStyle name="Standaard 5 3 4 2 2 2 3 2" xfId="37849"/>
    <cellStyle name="Standaard 5 3 4 2 2 2 4" xfId="37850"/>
    <cellStyle name="Standaard 5 3 4 2 2 3" xfId="37851"/>
    <cellStyle name="Standaard 5 3 4 2 2 3 2" xfId="37852"/>
    <cellStyle name="Standaard 5 3 4 2 2 3 2 2" xfId="37853"/>
    <cellStyle name="Standaard 5 3 4 2 2 3 3" xfId="37854"/>
    <cellStyle name="Standaard 5 3 4 2 2 4" xfId="37855"/>
    <cellStyle name="Standaard 5 3 4 2 2 4 2" xfId="37856"/>
    <cellStyle name="Standaard 5 3 4 2 2 5" xfId="37857"/>
    <cellStyle name="Standaard 5 3 4 2 2 6" xfId="37858"/>
    <cellStyle name="Standaard 5 3 4 2 3" xfId="37859"/>
    <cellStyle name="Standaard 5 3 4 2 3 2" xfId="37860"/>
    <cellStyle name="Standaard 5 3 4 2 3 2 2" xfId="37861"/>
    <cellStyle name="Standaard 5 3 4 2 3 2 2 2" xfId="37862"/>
    <cellStyle name="Standaard 5 3 4 2 3 2 3" xfId="37863"/>
    <cellStyle name="Standaard 5 3 4 2 3 3" xfId="37864"/>
    <cellStyle name="Standaard 5 3 4 2 3 3 2" xfId="37865"/>
    <cellStyle name="Standaard 5 3 4 2 3 4" xfId="37866"/>
    <cellStyle name="Standaard 5 3 4 2 4" xfId="37867"/>
    <cellStyle name="Standaard 5 3 4 2 4 2" xfId="37868"/>
    <cellStyle name="Standaard 5 3 4 2 4 2 2" xfId="37869"/>
    <cellStyle name="Standaard 5 3 4 2 4 3" xfId="37870"/>
    <cellStyle name="Standaard 5 3 4 2 5" xfId="37871"/>
    <cellStyle name="Standaard 5 3 4 2 5 2" xfId="37872"/>
    <cellStyle name="Standaard 5 3 4 2 6" xfId="37873"/>
    <cellStyle name="Standaard 5 3 4 2 7" xfId="37874"/>
    <cellStyle name="Standaard 5 3 4 3" xfId="37875"/>
    <cellStyle name="Standaard 5 3 4 3 2" xfId="37876"/>
    <cellStyle name="Standaard 5 3 4 3 2 2" xfId="37877"/>
    <cellStyle name="Standaard 5 3 4 3 2 2 2" xfId="37878"/>
    <cellStyle name="Standaard 5 3 4 3 2 2 2 2" xfId="37879"/>
    <cellStyle name="Standaard 5 3 4 3 2 2 3" xfId="37880"/>
    <cellStyle name="Standaard 5 3 4 3 2 3" xfId="37881"/>
    <cellStyle name="Standaard 5 3 4 3 2 3 2" xfId="37882"/>
    <cellStyle name="Standaard 5 3 4 3 2 4" xfId="37883"/>
    <cellStyle name="Standaard 5 3 4 3 3" xfId="37884"/>
    <cellStyle name="Standaard 5 3 4 3 3 2" xfId="37885"/>
    <cellStyle name="Standaard 5 3 4 3 3 2 2" xfId="37886"/>
    <cellStyle name="Standaard 5 3 4 3 3 3" xfId="37887"/>
    <cellStyle name="Standaard 5 3 4 3 4" xfId="37888"/>
    <cellStyle name="Standaard 5 3 4 3 4 2" xfId="37889"/>
    <cellStyle name="Standaard 5 3 4 3 5" xfId="37890"/>
    <cellStyle name="Standaard 5 3 4 3 6" xfId="37891"/>
    <cellStyle name="Standaard 5 3 4 4" xfId="37892"/>
    <cellStyle name="Standaard 5 3 4 4 2" xfId="37893"/>
    <cellStyle name="Standaard 5 3 4 4 2 2" xfId="37894"/>
    <cellStyle name="Standaard 5 3 4 4 2 2 2" xfId="37895"/>
    <cellStyle name="Standaard 5 3 4 4 2 3" xfId="37896"/>
    <cellStyle name="Standaard 5 3 4 4 3" xfId="37897"/>
    <cellStyle name="Standaard 5 3 4 4 3 2" xfId="37898"/>
    <cellStyle name="Standaard 5 3 4 4 4" xfId="37899"/>
    <cellStyle name="Standaard 5 3 4 5" xfId="37900"/>
    <cellStyle name="Standaard 5 3 4 5 2" xfId="37901"/>
    <cellStyle name="Standaard 5 3 4 5 2 2" xfId="37902"/>
    <cellStyle name="Standaard 5 3 4 5 3" xfId="37903"/>
    <cellStyle name="Standaard 5 3 4 6" xfId="37904"/>
    <cellStyle name="Standaard 5 3 4 6 2" xfId="37905"/>
    <cellStyle name="Standaard 5 3 4 7" xfId="37906"/>
    <cellStyle name="Standaard 5 3 4 8" xfId="37907"/>
    <cellStyle name="Standaard 5 3 5" xfId="37908"/>
    <cellStyle name="Standaard 5 3 5 2" xfId="37909"/>
    <cellStyle name="Standaard 5 3 5 2 2" xfId="37910"/>
    <cellStyle name="Standaard 5 3 5 2 2 2" xfId="37911"/>
    <cellStyle name="Standaard 5 3 5 2 2 2 2" xfId="37912"/>
    <cellStyle name="Standaard 5 3 5 2 2 2 2 2" xfId="37913"/>
    <cellStyle name="Standaard 5 3 5 2 2 2 3" xfId="37914"/>
    <cellStyle name="Standaard 5 3 5 2 2 3" xfId="37915"/>
    <cellStyle name="Standaard 5 3 5 2 2 3 2" xfId="37916"/>
    <cellStyle name="Standaard 5 3 5 2 2 4" xfId="37917"/>
    <cellStyle name="Standaard 5 3 5 2 3" xfId="37918"/>
    <cellStyle name="Standaard 5 3 5 2 3 2" xfId="37919"/>
    <cellStyle name="Standaard 5 3 5 2 3 2 2" xfId="37920"/>
    <cellStyle name="Standaard 5 3 5 2 3 3" xfId="37921"/>
    <cellStyle name="Standaard 5 3 5 2 4" xfId="37922"/>
    <cellStyle name="Standaard 5 3 5 2 4 2" xfId="37923"/>
    <cellStyle name="Standaard 5 3 5 2 5" xfId="37924"/>
    <cellStyle name="Standaard 5 3 5 2 6" xfId="37925"/>
    <cellStyle name="Standaard 5 3 5 3" xfId="37926"/>
    <cellStyle name="Standaard 5 3 5 3 2" xfId="37927"/>
    <cellStyle name="Standaard 5 3 5 3 2 2" xfId="37928"/>
    <cellStyle name="Standaard 5 3 5 3 2 2 2" xfId="37929"/>
    <cellStyle name="Standaard 5 3 5 3 2 3" xfId="37930"/>
    <cellStyle name="Standaard 5 3 5 3 3" xfId="37931"/>
    <cellStyle name="Standaard 5 3 5 3 3 2" xfId="37932"/>
    <cellStyle name="Standaard 5 3 5 3 4" xfId="37933"/>
    <cellStyle name="Standaard 5 3 5 4" xfId="37934"/>
    <cellStyle name="Standaard 5 3 5 4 2" xfId="37935"/>
    <cellStyle name="Standaard 5 3 5 4 2 2" xfId="37936"/>
    <cellStyle name="Standaard 5 3 5 4 3" xfId="37937"/>
    <cellStyle name="Standaard 5 3 5 5" xfId="37938"/>
    <cellStyle name="Standaard 5 3 5 5 2" xfId="37939"/>
    <cellStyle name="Standaard 5 3 5 6" xfId="37940"/>
    <cellStyle name="Standaard 5 3 5 7" xfId="37941"/>
    <cellStyle name="Standaard 5 3 6" xfId="37942"/>
    <cellStyle name="Standaard 5 3 6 2" xfId="37943"/>
    <cellStyle name="Standaard 5 3 6 2 2" xfId="37944"/>
    <cellStyle name="Standaard 5 3 6 2 2 2" xfId="37945"/>
    <cellStyle name="Standaard 5 3 6 2 2 2 2" xfId="37946"/>
    <cellStyle name="Standaard 5 3 6 2 2 3" xfId="37947"/>
    <cellStyle name="Standaard 5 3 6 2 3" xfId="37948"/>
    <cellStyle name="Standaard 5 3 6 2 3 2" xfId="37949"/>
    <cellStyle name="Standaard 5 3 6 2 4" xfId="37950"/>
    <cellStyle name="Standaard 5 3 6 3" xfId="37951"/>
    <cellStyle name="Standaard 5 3 6 3 2" xfId="37952"/>
    <cellStyle name="Standaard 5 3 6 3 2 2" xfId="37953"/>
    <cellStyle name="Standaard 5 3 6 3 3" xfId="37954"/>
    <cellStyle name="Standaard 5 3 6 4" xfId="37955"/>
    <cellStyle name="Standaard 5 3 6 4 2" xfId="37956"/>
    <cellStyle name="Standaard 5 3 6 5" xfId="37957"/>
    <cellStyle name="Standaard 5 3 6 6" xfId="37958"/>
    <cellStyle name="Standaard 5 3 7" xfId="37959"/>
    <cellStyle name="Standaard 5 3 7 2" xfId="37960"/>
    <cellStyle name="Standaard 5 3 7 2 2" xfId="37961"/>
    <cellStyle name="Standaard 5 3 7 2 2 2" xfId="37962"/>
    <cellStyle name="Standaard 5 3 7 2 3" xfId="37963"/>
    <cellStyle name="Standaard 5 3 7 3" xfId="37964"/>
    <cellStyle name="Standaard 5 3 7 3 2" xfId="37965"/>
    <cellStyle name="Standaard 5 3 7 4" xfId="37966"/>
    <cellStyle name="Standaard 5 3 8" xfId="37967"/>
    <cellStyle name="Standaard 5 3 8 2" xfId="37968"/>
    <cellStyle name="Standaard 5 3 8 2 2" xfId="37969"/>
    <cellStyle name="Standaard 5 3 8 3" xfId="37970"/>
    <cellStyle name="Standaard 5 3 9" xfId="37971"/>
    <cellStyle name="Standaard 5 3 9 2" xfId="37972"/>
    <cellStyle name="Standaard 5 4" xfId="37973"/>
    <cellStyle name="Standaard 5 4 2" xfId="37974"/>
    <cellStyle name="Standaard 5 4 2 2" xfId="37975"/>
    <cellStyle name="Standaard 5 4 2 2 2" xfId="37976"/>
    <cellStyle name="Standaard 5 4 2 2 2 2" xfId="37977"/>
    <cellStyle name="Standaard 5 4 2 2 2 2 2" xfId="37978"/>
    <cellStyle name="Standaard 5 4 2 2 2 2 2 2" xfId="37979"/>
    <cellStyle name="Standaard 5 4 2 2 2 2 2 2 2" xfId="37980"/>
    <cellStyle name="Standaard 5 4 2 2 2 2 2 3" xfId="37981"/>
    <cellStyle name="Standaard 5 4 2 2 2 2 3" xfId="37982"/>
    <cellStyle name="Standaard 5 4 2 2 2 2 3 2" xfId="37983"/>
    <cellStyle name="Standaard 5 4 2 2 2 2 4" xfId="37984"/>
    <cellStyle name="Standaard 5 4 2 2 2 3" xfId="37985"/>
    <cellStyle name="Standaard 5 4 2 2 2 3 2" xfId="37986"/>
    <cellStyle name="Standaard 5 4 2 2 2 3 2 2" xfId="37987"/>
    <cellStyle name="Standaard 5 4 2 2 2 3 3" xfId="37988"/>
    <cellStyle name="Standaard 5 4 2 2 2 4" xfId="37989"/>
    <cellStyle name="Standaard 5 4 2 2 2 4 2" xfId="37990"/>
    <cellStyle name="Standaard 5 4 2 2 2 5" xfId="37991"/>
    <cellStyle name="Standaard 5 4 2 2 2 6" xfId="37992"/>
    <cellStyle name="Standaard 5 4 2 2 3" xfId="37993"/>
    <cellStyle name="Standaard 5 4 2 2 3 2" xfId="37994"/>
    <cellStyle name="Standaard 5 4 2 2 3 2 2" xfId="37995"/>
    <cellStyle name="Standaard 5 4 2 2 3 2 2 2" xfId="37996"/>
    <cellStyle name="Standaard 5 4 2 2 3 2 3" xfId="37997"/>
    <cellStyle name="Standaard 5 4 2 2 3 3" xfId="37998"/>
    <cellStyle name="Standaard 5 4 2 2 3 3 2" xfId="37999"/>
    <cellStyle name="Standaard 5 4 2 2 3 4" xfId="38000"/>
    <cellStyle name="Standaard 5 4 2 2 4" xfId="38001"/>
    <cellStyle name="Standaard 5 4 2 2 4 2" xfId="38002"/>
    <cellStyle name="Standaard 5 4 2 2 4 2 2" xfId="38003"/>
    <cellStyle name="Standaard 5 4 2 2 4 3" xfId="38004"/>
    <cellStyle name="Standaard 5 4 2 2 5" xfId="38005"/>
    <cellStyle name="Standaard 5 4 2 2 5 2" xfId="38006"/>
    <cellStyle name="Standaard 5 4 2 2 6" xfId="38007"/>
    <cellStyle name="Standaard 5 4 2 2 7" xfId="38008"/>
    <cellStyle name="Standaard 5 4 2 3" xfId="38009"/>
    <cellStyle name="Standaard 5 4 2 3 2" xfId="38010"/>
    <cellStyle name="Standaard 5 4 2 3 2 2" xfId="38011"/>
    <cellStyle name="Standaard 5 4 2 3 2 2 2" xfId="38012"/>
    <cellStyle name="Standaard 5 4 2 3 2 2 2 2" xfId="38013"/>
    <cellStyle name="Standaard 5 4 2 3 2 2 3" xfId="38014"/>
    <cellStyle name="Standaard 5 4 2 3 2 3" xfId="38015"/>
    <cellStyle name="Standaard 5 4 2 3 2 3 2" xfId="38016"/>
    <cellStyle name="Standaard 5 4 2 3 2 4" xfId="38017"/>
    <cellStyle name="Standaard 5 4 2 3 3" xfId="38018"/>
    <cellStyle name="Standaard 5 4 2 3 3 2" xfId="38019"/>
    <cellStyle name="Standaard 5 4 2 3 3 2 2" xfId="38020"/>
    <cellStyle name="Standaard 5 4 2 3 3 3" xfId="38021"/>
    <cellStyle name="Standaard 5 4 2 3 4" xfId="38022"/>
    <cellStyle name="Standaard 5 4 2 3 4 2" xfId="38023"/>
    <cellStyle name="Standaard 5 4 2 3 5" xfId="38024"/>
    <cellStyle name="Standaard 5 4 2 3 6" xfId="38025"/>
    <cellStyle name="Standaard 5 4 2 4" xfId="38026"/>
    <cellStyle name="Standaard 5 4 2 4 2" xfId="38027"/>
    <cellStyle name="Standaard 5 4 2 4 2 2" xfId="38028"/>
    <cellStyle name="Standaard 5 4 2 4 2 2 2" xfId="38029"/>
    <cellStyle name="Standaard 5 4 2 4 2 3" xfId="38030"/>
    <cellStyle name="Standaard 5 4 2 4 3" xfId="38031"/>
    <cellStyle name="Standaard 5 4 2 4 3 2" xfId="38032"/>
    <cellStyle name="Standaard 5 4 2 4 4" xfId="38033"/>
    <cellStyle name="Standaard 5 4 2 5" xfId="38034"/>
    <cellStyle name="Standaard 5 4 2 5 2" xfId="38035"/>
    <cellStyle name="Standaard 5 4 2 5 2 2" xfId="38036"/>
    <cellStyle name="Standaard 5 4 2 5 3" xfId="38037"/>
    <cellStyle name="Standaard 5 4 2 6" xfId="38038"/>
    <cellStyle name="Standaard 5 4 2 6 2" xfId="38039"/>
    <cellStyle name="Standaard 5 4 2 7" xfId="38040"/>
    <cellStyle name="Standaard 5 4 2 8" xfId="38041"/>
    <cellStyle name="Standaard 5 4 3" xfId="38042"/>
    <cellStyle name="Standaard 5 4 3 2" xfId="38043"/>
    <cellStyle name="Standaard 5 4 3 2 2" xfId="38044"/>
    <cellStyle name="Standaard 5 4 3 2 2 2" xfId="38045"/>
    <cellStyle name="Standaard 5 4 3 2 2 2 2" xfId="38046"/>
    <cellStyle name="Standaard 5 4 3 2 2 2 2 2" xfId="38047"/>
    <cellStyle name="Standaard 5 4 3 2 2 2 3" xfId="38048"/>
    <cellStyle name="Standaard 5 4 3 2 2 3" xfId="38049"/>
    <cellStyle name="Standaard 5 4 3 2 2 3 2" xfId="38050"/>
    <cellStyle name="Standaard 5 4 3 2 2 4" xfId="38051"/>
    <cellStyle name="Standaard 5 4 3 2 3" xfId="38052"/>
    <cellStyle name="Standaard 5 4 3 2 3 2" xfId="38053"/>
    <cellStyle name="Standaard 5 4 3 2 3 2 2" xfId="38054"/>
    <cellStyle name="Standaard 5 4 3 2 3 3" xfId="38055"/>
    <cellStyle name="Standaard 5 4 3 2 4" xfId="38056"/>
    <cellStyle name="Standaard 5 4 3 2 4 2" xfId="38057"/>
    <cellStyle name="Standaard 5 4 3 2 5" xfId="38058"/>
    <cellStyle name="Standaard 5 4 3 2 6" xfId="38059"/>
    <cellStyle name="Standaard 5 4 3 3" xfId="38060"/>
    <cellStyle name="Standaard 5 4 3 3 2" xfId="38061"/>
    <cellStyle name="Standaard 5 4 3 3 2 2" xfId="38062"/>
    <cellStyle name="Standaard 5 4 3 3 2 2 2" xfId="38063"/>
    <cellStyle name="Standaard 5 4 3 3 2 3" xfId="38064"/>
    <cellStyle name="Standaard 5 4 3 3 3" xfId="38065"/>
    <cellStyle name="Standaard 5 4 3 3 3 2" xfId="38066"/>
    <cellStyle name="Standaard 5 4 3 3 4" xfId="38067"/>
    <cellStyle name="Standaard 5 4 3 4" xfId="38068"/>
    <cellStyle name="Standaard 5 4 3 4 2" xfId="38069"/>
    <cellStyle name="Standaard 5 4 3 4 2 2" xfId="38070"/>
    <cellStyle name="Standaard 5 4 3 4 3" xfId="38071"/>
    <cellStyle name="Standaard 5 4 3 5" xfId="38072"/>
    <cellStyle name="Standaard 5 4 3 5 2" xfId="38073"/>
    <cellStyle name="Standaard 5 4 3 6" xfId="38074"/>
    <cellStyle name="Standaard 5 4 3 7" xfId="38075"/>
    <cellStyle name="Standaard 5 4 4" xfId="38076"/>
    <cellStyle name="Standaard 5 4 4 2" xfId="38077"/>
    <cellStyle name="Standaard 5 4 4 2 2" xfId="38078"/>
    <cellStyle name="Standaard 5 4 4 2 2 2" xfId="38079"/>
    <cellStyle name="Standaard 5 4 4 2 2 2 2" xfId="38080"/>
    <cellStyle name="Standaard 5 4 4 2 2 3" xfId="38081"/>
    <cellStyle name="Standaard 5 4 4 2 3" xfId="38082"/>
    <cellStyle name="Standaard 5 4 4 2 3 2" xfId="38083"/>
    <cellStyle name="Standaard 5 4 4 2 4" xfId="38084"/>
    <cellStyle name="Standaard 5 4 4 3" xfId="38085"/>
    <cellStyle name="Standaard 5 4 4 3 2" xfId="38086"/>
    <cellStyle name="Standaard 5 4 4 3 2 2" xfId="38087"/>
    <cellStyle name="Standaard 5 4 4 3 3" xfId="38088"/>
    <cellStyle name="Standaard 5 4 4 4" xfId="38089"/>
    <cellStyle name="Standaard 5 4 4 4 2" xfId="38090"/>
    <cellStyle name="Standaard 5 4 4 5" xfId="38091"/>
    <cellStyle name="Standaard 5 4 4 6" xfId="38092"/>
    <cellStyle name="Standaard 5 4 5" xfId="38093"/>
    <cellStyle name="Standaard 5 4 5 2" xfId="38094"/>
    <cellStyle name="Standaard 5 4 5 2 2" xfId="38095"/>
    <cellStyle name="Standaard 5 4 5 2 2 2" xfId="38096"/>
    <cellStyle name="Standaard 5 4 5 2 3" xfId="38097"/>
    <cellStyle name="Standaard 5 4 5 3" xfId="38098"/>
    <cellStyle name="Standaard 5 4 5 3 2" xfId="38099"/>
    <cellStyle name="Standaard 5 4 5 4" xfId="38100"/>
    <cellStyle name="Standaard 5 4 6" xfId="38101"/>
    <cellStyle name="Standaard 5 4 6 2" xfId="38102"/>
    <cellStyle name="Standaard 5 4 6 2 2" xfId="38103"/>
    <cellStyle name="Standaard 5 4 6 3" xfId="38104"/>
    <cellStyle name="Standaard 5 4 7" xfId="38105"/>
    <cellStyle name="Standaard 5 4 7 2" xfId="38106"/>
    <cellStyle name="Standaard 5 4 8" xfId="38107"/>
    <cellStyle name="Standaard 5 4 9" xfId="38108"/>
    <cellStyle name="Standaard 5 5" xfId="38109"/>
    <cellStyle name="Standaard 5 5 2" xfId="38110"/>
    <cellStyle name="Standaard 5 5 2 2" xfId="38111"/>
    <cellStyle name="Standaard 5 5 2 2 2" xfId="38112"/>
    <cellStyle name="Standaard 5 5 2 2 2 2" xfId="38113"/>
    <cellStyle name="Standaard 5 5 2 2 2 2 2" xfId="38114"/>
    <cellStyle name="Standaard 5 5 2 2 2 2 2 2" xfId="38115"/>
    <cellStyle name="Standaard 5 5 2 2 2 2 3" xfId="38116"/>
    <cellStyle name="Standaard 5 5 2 2 2 3" xfId="38117"/>
    <cellStyle name="Standaard 5 5 2 2 2 3 2" xfId="38118"/>
    <cellStyle name="Standaard 5 5 2 2 2 4" xfId="38119"/>
    <cellStyle name="Standaard 5 5 2 2 3" xfId="38120"/>
    <cellStyle name="Standaard 5 5 2 2 3 2" xfId="38121"/>
    <cellStyle name="Standaard 5 5 2 2 3 2 2" xfId="38122"/>
    <cellStyle name="Standaard 5 5 2 2 3 3" xfId="38123"/>
    <cellStyle name="Standaard 5 5 2 2 4" xfId="38124"/>
    <cellStyle name="Standaard 5 5 2 2 4 2" xfId="38125"/>
    <cellStyle name="Standaard 5 5 2 2 5" xfId="38126"/>
    <cellStyle name="Standaard 5 5 2 2 6" xfId="38127"/>
    <cellStyle name="Standaard 5 5 2 3" xfId="38128"/>
    <cellStyle name="Standaard 5 5 2 3 2" xfId="38129"/>
    <cellStyle name="Standaard 5 5 2 3 2 2" xfId="38130"/>
    <cellStyle name="Standaard 5 5 2 3 2 2 2" xfId="38131"/>
    <cellStyle name="Standaard 5 5 2 3 2 3" xfId="38132"/>
    <cellStyle name="Standaard 5 5 2 3 3" xfId="38133"/>
    <cellStyle name="Standaard 5 5 2 3 3 2" xfId="38134"/>
    <cellStyle name="Standaard 5 5 2 3 4" xfId="38135"/>
    <cellStyle name="Standaard 5 5 2 4" xfId="38136"/>
    <cellStyle name="Standaard 5 5 2 4 2" xfId="38137"/>
    <cellStyle name="Standaard 5 5 2 4 2 2" xfId="38138"/>
    <cellStyle name="Standaard 5 5 2 4 3" xfId="38139"/>
    <cellStyle name="Standaard 5 5 2 5" xfId="38140"/>
    <cellStyle name="Standaard 5 5 2 5 2" xfId="38141"/>
    <cellStyle name="Standaard 5 5 2 6" xfId="38142"/>
    <cellStyle name="Standaard 5 5 2 7" xfId="38143"/>
    <cellStyle name="Standaard 5 5 3" xfId="38144"/>
    <cellStyle name="Standaard 5 5 3 2" xfId="38145"/>
    <cellStyle name="Standaard 5 5 3 2 2" xfId="38146"/>
    <cellStyle name="Standaard 5 5 3 2 2 2" xfId="38147"/>
    <cellStyle name="Standaard 5 5 3 2 2 2 2" xfId="38148"/>
    <cellStyle name="Standaard 5 5 3 2 2 3" xfId="38149"/>
    <cellStyle name="Standaard 5 5 3 2 3" xfId="38150"/>
    <cellStyle name="Standaard 5 5 3 2 3 2" xfId="38151"/>
    <cellStyle name="Standaard 5 5 3 2 4" xfId="38152"/>
    <cellStyle name="Standaard 5 5 3 3" xfId="38153"/>
    <cellStyle name="Standaard 5 5 3 3 2" xfId="38154"/>
    <cellStyle name="Standaard 5 5 3 3 2 2" xfId="38155"/>
    <cellStyle name="Standaard 5 5 3 3 3" xfId="38156"/>
    <cellStyle name="Standaard 5 5 3 4" xfId="38157"/>
    <cellStyle name="Standaard 5 5 3 4 2" xfId="38158"/>
    <cellStyle name="Standaard 5 5 3 5" xfId="38159"/>
    <cellStyle name="Standaard 5 5 3 6" xfId="38160"/>
    <cellStyle name="Standaard 5 5 4" xfId="38161"/>
    <cellStyle name="Standaard 5 5 4 2" xfId="38162"/>
    <cellStyle name="Standaard 5 5 4 2 2" xfId="38163"/>
    <cellStyle name="Standaard 5 5 4 2 2 2" xfId="38164"/>
    <cellStyle name="Standaard 5 5 4 2 3" xfId="38165"/>
    <cellStyle name="Standaard 5 5 4 3" xfId="38166"/>
    <cellStyle name="Standaard 5 5 4 3 2" xfId="38167"/>
    <cellStyle name="Standaard 5 5 4 4" xfId="38168"/>
    <cellStyle name="Standaard 5 5 5" xfId="38169"/>
    <cellStyle name="Standaard 5 5 5 2" xfId="38170"/>
    <cellStyle name="Standaard 5 5 5 2 2" xfId="38171"/>
    <cellStyle name="Standaard 5 5 5 3" xfId="38172"/>
    <cellStyle name="Standaard 5 5 6" xfId="38173"/>
    <cellStyle name="Standaard 5 5 6 2" xfId="38174"/>
    <cellStyle name="Standaard 5 5 7" xfId="38175"/>
    <cellStyle name="Standaard 5 5 8" xfId="38176"/>
    <cellStyle name="Standaard 5 6" xfId="38177"/>
    <cellStyle name="Standaard 5 6 2" xfId="38178"/>
    <cellStyle name="Standaard 5 6 2 2" xfId="38179"/>
    <cellStyle name="Standaard 5 6 2 2 2" xfId="38180"/>
    <cellStyle name="Standaard 5 6 2 2 2 2" xfId="38181"/>
    <cellStyle name="Standaard 5 6 2 2 2 2 2" xfId="38182"/>
    <cellStyle name="Standaard 5 6 2 2 2 2 2 2" xfId="38183"/>
    <cellStyle name="Standaard 5 6 2 2 2 2 3" xfId="38184"/>
    <cellStyle name="Standaard 5 6 2 2 2 3" xfId="38185"/>
    <cellStyle name="Standaard 5 6 2 2 2 3 2" xfId="38186"/>
    <cellStyle name="Standaard 5 6 2 2 2 4" xfId="38187"/>
    <cellStyle name="Standaard 5 6 2 2 3" xfId="38188"/>
    <cellStyle name="Standaard 5 6 2 2 3 2" xfId="38189"/>
    <cellStyle name="Standaard 5 6 2 2 3 2 2" xfId="38190"/>
    <cellStyle name="Standaard 5 6 2 2 3 3" xfId="38191"/>
    <cellStyle name="Standaard 5 6 2 2 4" xfId="38192"/>
    <cellStyle name="Standaard 5 6 2 2 4 2" xfId="38193"/>
    <cellStyle name="Standaard 5 6 2 2 5" xfId="38194"/>
    <cellStyle name="Standaard 5 6 2 2 6" xfId="38195"/>
    <cellStyle name="Standaard 5 6 2 3" xfId="38196"/>
    <cellStyle name="Standaard 5 6 2 3 2" xfId="38197"/>
    <cellStyle name="Standaard 5 6 2 3 2 2" xfId="38198"/>
    <cellStyle name="Standaard 5 6 2 3 2 2 2" xfId="38199"/>
    <cellStyle name="Standaard 5 6 2 3 2 3" xfId="38200"/>
    <cellStyle name="Standaard 5 6 2 3 3" xfId="38201"/>
    <cellStyle name="Standaard 5 6 2 3 3 2" xfId="38202"/>
    <cellStyle name="Standaard 5 6 2 3 4" xfId="38203"/>
    <cellStyle name="Standaard 5 6 2 4" xfId="38204"/>
    <cellStyle name="Standaard 5 6 2 4 2" xfId="38205"/>
    <cellStyle name="Standaard 5 6 2 4 2 2" xfId="38206"/>
    <cellStyle name="Standaard 5 6 2 4 3" xfId="38207"/>
    <cellStyle name="Standaard 5 6 2 5" xfId="38208"/>
    <cellStyle name="Standaard 5 6 2 5 2" xfId="38209"/>
    <cellStyle name="Standaard 5 6 2 6" xfId="38210"/>
    <cellStyle name="Standaard 5 6 2 7" xfId="38211"/>
    <cellStyle name="Standaard 5 6 3" xfId="38212"/>
    <cellStyle name="Standaard 5 6 3 2" xfId="38213"/>
    <cellStyle name="Standaard 5 6 3 2 2" xfId="38214"/>
    <cellStyle name="Standaard 5 6 3 2 2 2" xfId="38215"/>
    <cellStyle name="Standaard 5 6 3 2 2 2 2" xfId="38216"/>
    <cellStyle name="Standaard 5 6 3 2 2 3" xfId="38217"/>
    <cellStyle name="Standaard 5 6 3 2 3" xfId="38218"/>
    <cellStyle name="Standaard 5 6 3 2 3 2" xfId="38219"/>
    <cellStyle name="Standaard 5 6 3 2 4" xfId="38220"/>
    <cellStyle name="Standaard 5 6 3 3" xfId="38221"/>
    <cellStyle name="Standaard 5 6 3 3 2" xfId="38222"/>
    <cellStyle name="Standaard 5 6 3 3 2 2" xfId="38223"/>
    <cellStyle name="Standaard 5 6 3 3 3" xfId="38224"/>
    <cellStyle name="Standaard 5 6 3 4" xfId="38225"/>
    <cellStyle name="Standaard 5 6 3 4 2" xfId="38226"/>
    <cellStyle name="Standaard 5 6 3 5" xfId="38227"/>
    <cellStyle name="Standaard 5 6 3 6" xfId="38228"/>
    <cellStyle name="Standaard 5 6 4" xfId="38229"/>
    <cellStyle name="Standaard 5 6 4 2" xfId="38230"/>
    <cellStyle name="Standaard 5 6 4 2 2" xfId="38231"/>
    <cellStyle name="Standaard 5 6 4 2 2 2" xfId="38232"/>
    <cellStyle name="Standaard 5 6 4 2 3" xfId="38233"/>
    <cellStyle name="Standaard 5 6 4 3" xfId="38234"/>
    <cellStyle name="Standaard 5 6 4 3 2" xfId="38235"/>
    <cellStyle name="Standaard 5 6 4 4" xfId="38236"/>
    <cellStyle name="Standaard 5 6 5" xfId="38237"/>
    <cellStyle name="Standaard 5 6 5 2" xfId="38238"/>
    <cellStyle name="Standaard 5 6 5 2 2" xfId="38239"/>
    <cellStyle name="Standaard 5 6 5 3" xfId="38240"/>
    <cellStyle name="Standaard 5 6 6" xfId="38241"/>
    <cellStyle name="Standaard 5 6 6 2" xfId="38242"/>
    <cellStyle name="Standaard 5 6 7" xfId="38243"/>
    <cellStyle name="Standaard 5 6 8" xfId="38244"/>
    <cellStyle name="Standaard 5 7" xfId="38245"/>
    <cellStyle name="Standaard 5 7 2" xfId="38246"/>
    <cellStyle name="Standaard 5 7 2 2" xfId="38247"/>
    <cellStyle name="Standaard 5 7 2 2 2" xfId="38248"/>
    <cellStyle name="Standaard 5 7 2 2 2 2" xfId="38249"/>
    <cellStyle name="Standaard 5 7 2 2 2 2 2" xfId="38250"/>
    <cellStyle name="Standaard 5 7 2 2 2 3" xfId="38251"/>
    <cellStyle name="Standaard 5 7 2 2 3" xfId="38252"/>
    <cellStyle name="Standaard 5 7 2 2 3 2" xfId="38253"/>
    <cellStyle name="Standaard 5 7 2 2 4" xfId="38254"/>
    <cellStyle name="Standaard 5 7 2 3" xfId="38255"/>
    <cellStyle name="Standaard 5 7 2 3 2" xfId="38256"/>
    <cellStyle name="Standaard 5 7 2 3 2 2" xfId="38257"/>
    <cellStyle name="Standaard 5 7 2 3 3" xfId="38258"/>
    <cellStyle name="Standaard 5 7 2 4" xfId="38259"/>
    <cellStyle name="Standaard 5 7 2 4 2" xfId="38260"/>
    <cellStyle name="Standaard 5 7 2 5" xfId="38261"/>
    <cellStyle name="Standaard 5 7 2 6" xfId="38262"/>
    <cellStyle name="Standaard 5 7 3" xfId="38263"/>
    <cellStyle name="Standaard 5 7 3 2" xfId="38264"/>
    <cellStyle name="Standaard 5 7 3 2 2" xfId="38265"/>
    <cellStyle name="Standaard 5 7 3 2 2 2" xfId="38266"/>
    <cellStyle name="Standaard 5 7 3 2 3" xfId="38267"/>
    <cellStyle name="Standaard 5 7 3 3" xfId="38268"/>
    <cellStyle name="Standaard 5 7 3 3 2" xfId="38269"/>
    <cellStyle name="Standaard 5 7 3 4" xfId="38270"/>
    <cellStyle name="Standaard 5 7 4" xfId="38271"/>
    <cellStyle name="Standaard 5 7 4 2" xfId="38272"/>
    <cellStyle name="Standaard 5 7 4 2 2" xfId="38273"/>
    <cellStyle name="Standaard 5 7 4 3" xfId="38274"/>
    <cellStyle name="Standaard 5 7 5" xfId="38275"/>
    <cellStyle name="Standaard 5 7 5 2" xfId="38276"/>
    <cellStyle name="Standaard 5 7 6" xfId="38277"/>
    <cellStyle name="Standaard 5 7 7" xfId="38278"/>
    <cellStyle name="Standaard 5 8" xfId="38279"/>
    <cellStyle name="Standaard 5 8 2" xfId="38280"/>
    <cellStyle name="Standaard 5 8 2 2" xfId="38281"/>
    <cellStyle name="Standaard 5 8 2 2 2" xfId="38282"/>
    <cellStyle name="Standaard 5 8 2 2 2 2" xfId="38283"/>
    <cellStyle name="Standaard 5 8 2 2 3" xfId="38284"/>
    <cellStyle name="Standaard 5 8 2 3" xfId="38285"/>
    <cellStyle name="Standaard 5 8 2 3 2" xfId="38286"/>
    <cellStyle name="Standaard 5 8 2 4" xfId="38287"/>
    <cellStyle name="Standaard 5 8 3" xfId="38288"/>
    <cellStyle name="Standaard 5 8 3 2" xfId="38289"/>
    <cellStyle name="Standaard 5 8 3 2 2" xfId="38290"/>
    <cellStyle name="Standaard 5 8 3 3" xfId="38291"/>
    <cellStyle name="Standaard 5 8 4" xfId="38292"/>
    <cellStyle name="Standaard 5 8 4 2" xfId="38293"/>
    <cellStyle name="Standaard 5 8 5" xfId="38294"/>
    <cellStyle name="Standaard 5 8 6" xfId="38295"/>
    <cellStyle name="Standaard 5 9" xfId="38296"/>
    <cellStyle name="Standaard 5 9 2" xfId="38297"/>
    <cellStyle name="Standaard 5 9 2 2" xfId="38298"/>
    <cellStyle name="Standaard 5 9 2 2 2" xfId="38299"/>
    <cellStyle name="Standaard 5 9 2 3" xfId="38300"/>
    <cellStyle name="Standaard 5 9 3" xfId="38301"/>
    <cellStyle name="Standaard 5 9 3 2" xfId="38302"/>
    <cellStyle name="Standaard 5 9 4" xfId="38303"/>
    <cellStyle name="Standaard 58" xfId="38304"/>
    <cellStyle name="Standaard 58 10" xfId="38305"/>
    <cellStyle name="Standaard 58 10 2" xfId="38306"/>
    <cellStyle name="Standaard 58 10 2 2" xfId="38307"/>
    <cellStyle name="Standaard 58 10 3" xfId="38308"/>
    <cellStyle name="Standaard 58 11" xfId="38309"/>
    <cellStyle name="Standaard 58 11 2" xfId="38310"/>
    <cellStyle name="Standaard 58 12" xfId="38311"/>
    <cellStyle name="Standaard 58 13" xfId="38312"/>
    <cellStyle name="Standaard 58 2" xfId="38313"/>
    <cellStyle name="Standaard 58 2 10" xfId="38314"/>
    <cellStyle name="Standaard 58 2 10 2" xfId="38315"/>
    <cellStyle name="Standaard 58 2 11" xfId="38316"/>
    <cellStyle name="Standaard 58 2 12" xfId="38317"/>
    <cellStyle name="Standaard 58 2 2" xfId="38318"/>
    <cellStyle name="Standaard 58 2 2 10" xfId="38319"/>
    <cellStyle name="Standaard 58 2 2 11" xfId="38320"/>
    <cellStyle name="Standaard 58 2 2 2" xfId="38321"/>
    <cellStyle name="Standaard 58 2 2 2 2" xfId="38322"/>
    <cellStyle name="Standaard 58 2 2 2 2 2" xfId="38323"/>
    <cellStyle name="Standaard 58 2 2 2 2 2 2" xfId="38324"/>
    <cellStyle name="Standaard 58 2 2 2 2 2 2 2" xfId="38325"/>
    <cellStyle name="Standaard 58 2 2 2 2 2 2 2 2" xfId="38326"/>
    <cellStyle name="Standaard 58 2 2 2 2 2 2 2 2 2" xfId="38327"/>
    <cellStyle name="Standaard 58 2 2 2 2 2 2 2 2 2 2" xfId="38328"/>
    <cellStyle name="Standaard 58 2 2 2 2 2 2 2 2 3" xfId="38329"/>
    <cellStyle name="Standaard 58 2 2 2 2 2 2 2 3" xfId="38330"/>
    <cellStyle name="Standaard 58 2 2 2 2 2 2 2 3 2" xfId="38331"/>
    <cellStyle name="Standaard 58 2 2 2 2 2 2 2 4" xfId="38332"/>
    <cellStyle name="Standaard 58 2 2 2 2 2 2 3" xfId="38333"/>
    <cellStyle name="Standaard 58 2 2 2 2 2 2 3 2" xfId="38334"/>
    <cellStyle name="Standaard 58 2 2 2 2 2 2 3 2 2" xfId="38335"/>
    <cellStyle name="Standaard 58 2 2 2 2 2 2 3 3" xfId="38336"/>
    <cellStyle name="Standaard 58 2 2 2 2 2 2 4" xfId="38337"/>
    <cellStyle name="Standaard 58 2 2 2 2 2 2 4 2" xfId="38338"/>
    <cellStyle name="Standaard 58 2 2 2 2 2 2 5" xfId="38339"/>
    <cellStyle name="Standaard 58 2 2 2 2 2 2 6" xfId="38340"/>
    <cellStyle name="Standaard 58 2 2 2 2 2 3" xfId="38341"/>
    <cellStyle name="Standaard 58 2 2 2 2 2 3 2" xfId="38342"/>
    <cellStyle name="Standaard 58 2 2 2 2 2 3 2 2" xfId="38343"/>
    <cellStyle name="Standaard 58 2 2 2 2 2 3 2 2 2" xfId="38344"/>
    <cellStyle name="Standaard 58 2 2 2 2 2 3 2 3" xfId="38345"/>
    <cellStyle name="Standaard 58 2 2 2 2 2 3 3" xfId="38346"/>
    <cellStyle name="Standaard 58 2 2 2 2 2 3 3 2" xfId="38347"/>
    <cellStyle name="Standaard 58 2 2 2 2 2 3 4" xfId="38348"/>
    <cellStyle name="Standaard 58 2 2 2 2 2 4" xfId="38349"/>
    <cellStyle name="Standaard 58 2 2 2 2 2 4 2" xfId="38350"/>
    <cellStyle name="Standaard 58 2 2 2 2 2 4 2 2" xfId="38351"/>
    <cellStyle name="Standaard 58 2 2 2 2 2 4 3" xfId="38352"/>
    <cellStyle name="Standaard 58 2 2 2 2 2 5" xfId="38353"/>
    <cellStyle name="Standaard 58 2 2 2 2 2 5 2" xfId="38354"/>
    <cellStyle name="Standaard 58 2 2 2 2 2 6" xfId="38355"/>
    <cellStyle name="Standaard 58 2 2 2 2 2 7" xfId="38356"/>
    <cellStyle name="Standaard 58 2 2 2 2 3" xfId="38357"/>
    <cellStyle name="Standaard 58 2 2 2 2 3 2" xfId="38358"/>
    <cellStyle name="Standaard 58 2 2 2 2 3 2 2" xfId="38359"/>
    <cellStyle name="Standaard 58 2 2 2 2 3 2 2 2" xfId="38360"/>
    <cellStyle name="Standaard 58 2 2 2 2 3 2 2 2 2" xfId="38361"/>
    <cellStyle name="Standaard 58 2 2 2 2 3 2 2 3" xfId="38362"/>
    <cellStyle name="Standaard 58 2 2 2 2 3 2 3" xfId="38363"/>
    <cellStyle name="Standaard 58 2 2 2 2 3 2 3 2" xfId="38364"/>
    <cellStyle name="Standaard 58 2 2 2 2 3 2 4" xfId="38365"/>
    <cellStyle name="Standaard 58 2 2 2 2 3 3" xfId="38366"/>
    <cellStyle name="Standaard 58 2 2 2 2 3 3 2" xfId="38367"/>
    <cellStyle name="Standaard 58 2 2 2 2 3 3 2 2" xfId="38368"/>
    <cellStyle name="Standaard 58 2 2 2 2 3 3 3" xfId="38369"/>
    <cellStyle name="Standaard 58 2 2 2 2 3 4" xfId="38370"/>
    <cellStyle name="Standaard 58 2 2 2 2 3 4 2" xfId="38371"/>
    <cellStyle name="Standaard 58 2 2 2 2 3 5" xfId="38372"/>
    <cellStyle name="Standaard 58 2 2 2 2 3 6" xfId="38373"/>
    <cellStyle name="Standaard 58 2 2 2 2 4" xfId="38374"/>
    <cellStyle name="Standaard 58 2 2 2 2 4 2" xfId="38375"/>
    <cellStyle name="Standaard 58 2 2 2 2 4 2 2" xfId="38376"/>
    <cellStyle name="Standaard 58 2 2 2 2 4 2 2 2" xfId="38377"/>
    <cellStyle name="Standaard 58 2 2 2 2 4 2 3" xfId="38378"/>
    <cellStyle name="Standaard 58 2 2 2 2 4 3" xfId="38379"/>
    <cellStyle name="Standaard 58 2 2 2 2 4 3 2" xfId="38380"/>
    <cellStyle name="Standaard 58 2 2 2 2 4 4" xfId="38381"/>
    <cellStyle name="Standaard 58 2 2 2 2 5" xfId="38382"/>
    <cellStyle name="Standaard 58 2 2 2 2 5 2" xfId="38383"/>
    <cellStyle name="Standaard 58 2 2 2 2 5 2 2" xfId="38384"/>
    <cellStyle name="Standaard 58 2 2 2 2 5 3" xfId="38385"/>
    <cellStyle name="Standaard 58 2 2 2 2 6" xfId="38386"/>
    <cellStyle name="Standaard 58 2 2 2 2 6 2" xfId="38387"/>
    <cellStyle name="Standaard 58 2 2 2 2 7" xfId="38388"/>
    <cellStyle name="Standaard 58 2 2 2 2 8" xfId="38389"/>
    <cellStyle name="Standaard 58 2 2 2 3" xfId="38390"/>
    <cellStyle name="Standaard 58 2 2 2 3 2" xfId="38391"/>
    <cellStyle name="Standaard 58 2 2 2 3 2 2" xfId="38392"/>
    <cellStyle name="Standaard 58 2 2 2 3 2 2 2" xfId="38393"/>
    <cellStyle name="Standaard 58 2 2 2 3 2 2 2 2" xfId="38394"/>
    <cellStyle name="Standaard 58 2 2 2 3 2 2 2 2 2" xfId="38395"/>
    <cellStyle name="Standaard 58 2 2 2 3 2 2 2 3" xfId="38396"/>
    <cellStyle name="Standaard 58 2 2 2 3 2 2 3" xfId="38397"/>
    <cellStyle name="Standaard 58 2 2 2 3 2 2 3 2" xfId="38398"/>
    <cellStyle name="Standaard 58 2 2 2 3 2 2 4" xfId="38399"/>
    <cellStyle name="Standaard 58 2 2 2 3 2 3" xfId="38400"/>
    <cellStyle name="Standaard 58 2 2 2 3 2 3 2" xfId="38401"/>
    <cellStyle name="Standaard 58 2 2 2 3 2 3 2 2" xfId="38402"/>
    <cellStyle name="Standaard 58 2 2 2 3 2 3 3" xfId="38403"/>
    <cellStyle name="Standaard 58 2 2 2 3 2 4" xfId="38404"/>
    <cellStyle name="Standaard 58 2 2 2 3 2 4 2" xfId="38405"/>
    <cellStyle name="Standaard 58 2 2 2 3 2 5" xfId="38406"/>
    <cellStyle name="Standaard 58 2 2 2 3 2 6" xfId="38407"/>
    <cellStyle name="Standaard 58 2 2 2 3 3" xfId="38408"/>
    <cellStyle name="Standaard 58 2 2 2 3 3 2" xfId="38409"/>
    <cellStyle name="Standaard 58 2 2 2 3 3 2 2" xfId="38410"/>
    <cellStyle name="Standaard 58 2 2 2 3 3 2 2 2" xfId="38411"/>
    <cellStyle name="Standaard 58 2 2 2 3 3 2 3" xfId="38412"/>
    <cellStyle name="Standaard 58 2 2 2 3 3 3" xfId="38413"/>
    <cellStyle name="Standaard 58 2 2 2 3 3 3 2" xfId="38414"/>
    <cellStyle name="Standaard 58 2 2 2 3 3 4" xfId="38415"/>
    <cellStyle name="Standaard 58 2 2 2 3 4" xfId="38416"/>
    <cellStyle name="Standaard 58 2 2 2 3 4 2" xfId="38417"/>
    <cellStyle name="Standaard 58 2 2 2 3 4 2 2" xfId="38418"/>
    <cellStyle name="Standaard 58 2 2 2 3 4 3" xfId="38419"/>
    <cellStyle name="Standaard 58 2 2 2 3 5" xfId="38420"/>
    <cellStyle name="Standaard 58 2 2 2 3 5 2" xfId="38421"/>
    <cellStyle name="Standaard 58 2 2 2 3 6" xfId="38422"/>
    <cellStyle name="Standaard 58 2 2 2 3 7" xfId="38423"/>
    <cellStyle name="Standaard 58 2 2 2 4" xfId="38424"/>
    <cellStyle name="Standaard 58 2 2 2 4 2" xfId="38425"/>
    <cellStyle name="Standaard 58 2 2 2 4 2 2" xfId="38426"/>
    <cellStyle name="Standaard 58 2 2 2 4 2 2 2" xfId="38427"/>
    <cellStyle name="Standaard 58 2 2 2 4 2 2 2 2" xfId="38428"/>
    <cellStyle name="Standaard 58 2 2 2 4 2 2 3" xfId="38429"/>
    <cellStyle name="Standaard 58 2 2 2 4 2 3" xfId="38430"/>
    <cellStyle name="Standaard 58 2 2 2 4 2 3 2" xfId="38431"/>
    <cellStyle name="Standaard 58 2 2 2 4 2 4" xfId="38432"/>
    <cellStyle name="Standaard 58 2 2 2 4 3" xfId="38433"/>
    <cellStyle name="Standaard 58 2 2 2 4 3 2" xfId="38434"/>
    <cellStyle name="Standaard 58 2 2 2 4 3 2 2" xfId="38435"/>
    <cellStyle name="Standaard 58 2 2 2 4 3 3" xfId="38436"/>
    <cellStyle name="Standaard 58 2 2 2 4 4" xfId="38437"/>
    <cellStyle name="Standaard 58 2 2 2 4 4 2" xfId="38438"/>
    <cellStyle name="Standaard 58 2 2 2 4 5" xfId="38439"/>
    <cellStyle name="Standaard 58 2 2 2 4 6" xfId="38440"/>
    <cellStyle name="Standaard 58 2 2 2 5" xfId="38441"/>
    <cellStyle name="Standaard 58 2 2 2 5 2" xfId="38442"/>
    <cellStyle name="Standaard 58 2 2 2 5 2 2" xfId="38443"/>
    <cellStyle name="Standaard 58 2 2 2 5 2 2 2" xfId="38444"/>
    <cellStyle name="Standaard 58 2 2 2 5 2 3" xfId="38445"/>
    <cellStyle name="Standaard 58 2 2 2 5 3" xfId="38446"/>
    <cellStyle name="Standaard 58 2 2 2 5 3 2" xfId="38447"/>
    <cellStyle name="Standaard 58 2 2 2 5 4" xfId="38448"/>
    <cellStyle name="Standaard 58 2 2 2 6" xfId="38449"/>
    <cellStyle name="Standaard 58 2 2 2 6 2" xfId="38450"/>
    <cellStyle name="Standaard 58 2 2 2 6 2 2" xfId="38451"/>
    <cellStyle name="Standaard 58 2 2 2 6 3" xfId="38452"/>
    <cellStyle name="Standaard 58 2 2 2 7" xfId="38453"/>
    <cellStyle name="Standaard 58 2 2 2 7 2" xfId="38454"/>
    <cellStyle name="Standaard 58 2 2 2 8" xfId="38455"/>
    <cellStyle name="Standaard 58 2 2 2 9" xfId="38456"/>
    <cellStyle name="Standaard 58 2 2 3" xfId="38457"/>
    <cellStyle name="Standaard 58 2 2 3 2" xfId="38458"/>
    <cellStyle name="Standaard 58 2 2 3 2 2" xfId="38459"/>
    <cellStyle name="Standaard 58 2 2 3 2 2 2" xfId="38460"/>
    <cellStyle name="Standaard 58 2 2 3 2 2 2 2" xfId="38461"/>
    <cellStyle name="Standaard 58 2 2 3 2 2 2 2 2" xfId="38462"/>
    <cellStyle name="Standaard 58 2 2 3 2 2 2 2 2 2" xfId="38463"/>
    <cellStyle name="Standaard 58 2 2 3 2 2 2 2 3" xfId="38464"/>
    <cellStyle name="Standaard 58 2 2 3 2 2 2 3" xfId="38465"/>
    <cellStyle name="Standaard 58 2 2 3 2 2 2 3 2" xfId="38466"/>
    <cellStyle name="Standaard 58 2 2 3 2 2 2 4" xfId="38467"/>
    <cellStyle name="Standaard 58 2 2 3 2 2 3" xfId="38468"/>
    <cellStyle name="Standaard 58 2 2 3 2 2 3 2" xfId="38469"/>
    <cellStyle name="Standaard 58 2 2 3 2 2 3 2 2" xfId="38470"/>
    <cellStyle name="Standaard 58 2 2 3 2 2 3 3" xfId="38471"/>
    <cellStyle name="Standaard 58 2 2 3 2 2 4" xfId="38472"/>
    <cellStyle name="Standaard 58 2 2 3 2 2 4 2" xfId="38473"/>
    <cellStyle name="Standaard 58 2 2 3 2 2 5" xfId="38474"/>
    <cellStyle name="Standaard 58 2 2 3 2 2 6" xfId="38475"/>
    <cellStyle name="Standaard 58 2 2 3 2 3" xfId="38476"/>
    <cellStyle name="Standaard 58 2 2 3 2 3 2" xfId="38477"/>
    <cellStyle name="Standaard 58 2 2 3 2 3 2 2" xfId="38478"/>
    <cellStyle name="Standaard 58 2 2 3 2 3 2 2 2" xfId="38479"/>
    <cellStyle name="Standaard 58 2 2 3 2 3 2 3" xfId="38480"/>
    <cellStyle name="Standaard 58 2 2 3 2 3 3" xfId="38481"/>
    <cellStyle name="Standaard 58 2 2 3 2 3 3 2" xfId="38482"/>
    <cellStyle name="Standaard 58 2 2 3 2 3 4" xfId="38483"/>
    <cellStyle name="Standaard 58 2 2 3 2 4" xfId="38484"/>
    <cellStyle name="Standaard 58 2 2 3 2 4 2" xfId="38485"/>
    <cellStyle name="Standaard 58 2 2 3 2 4 2 2" xfId="38486"/>
    <cellStyle name="Standaard 58 2 2 3 2 4 3" xfId="38487"/>
    <cellStyle name="Standaard 58 2 2 3 2 5" xfId="38488"/>
    <cellStyle name="Standaard 58 2 2 3 2 5 2" xfId="38489"/>
    <cellStyle name="Standaard 58 2 2 3 2 6" xfId="38490"/>
    <cellStyle name="Standaard 58 2 2 3 2 7" xfId="38491"/>
    <cellStyle name="Standaard 58 2 2 3 3" xfId="38492"/>
    <cellStyle name="Standaard 58 2 2 3 3 2" xfId="38493"/>
    <cellStyle name="Standaard 58 2 2 3 3 2 2" xfId="38494"/>
    <cellStyle name="Standaard 58 2 2 3 3 2 2 2" xfId="38495"/>
    <cellStyle name="Standaard 58 2 2 3 3 2 2 2 2" xfId="38496"/>
    <cellStyle name="Standaard 58 2 2 3 3 2 2 3" xfId="38497"/>
    <cellStyle name="Standaard 58 2 2 3 3 2 3" xfId="38498"/>
    <cellStyle name="Standaard 58 2 2 3 3 2 3 2" xfId="38499"/>
    <cellStyle name="Standaard 58 2 2 3 3 2 4" xfId="38500"/>
    <cellStyle name="Standaard 58 2 2 3 3 3" xfId="38501"/>
    <cellStyle name="Standaard 58 2 2 3 3 3 2" xfId="38502"/>
    <cellStyle name="Standaard 58 2 2 3 3 3 2 2" xfId="38503"/>
    <cellStyle name="Standaard 58 2 2 3 3 3 3" xfId="38504"/>
    <cellStyle name="Standaard 58 2 2 3 3 4" xfId="38505"/>
    <cellStyle name="Standaard 58 2 2 3 3 4 2" xfId="38506"/>
    <cellStyle name="Standaard 58 2 2 3 3 5" xfId="38507"/>
    <cellStyle name="Standaard 58 2 2 3 3 6" xfId="38508"/>
    <cellStyle name="Standaard 58 2 2 3 4" xfId="38509"/>
    <cellStyle name="Standaard 58 2 2 3 4 2" xfId="38510"/>
    <cellStyle name="Standaard 58 2 2 3 4 2 2" xfId="38511"/>
    <cellStyle name="Standaard 58 2 2 3 4 2 2 2" xfId="38512"/>
    <cellStyle name="Standaard 58 2 2 3 4 2 3" xfId="38513"/>
    <cellStyle name="Standaard 58 2 2 3 4 3" xfId="38514"/>
    <cellStyle name="Standaard 58 2 2 3 4 3 2" xfId="38515"/>
    <cellStyle name="Standaard 58 2 2 3 4 4" xfId="38516"/>
    <cellStyle name="Standaard 58 2 2 3 5" xfId="38517"/>
    <cellStyle name="Standaard 58 2 2 3 5 2" xfId="38518"/>
    <cellStyle name="Standaard 58 2 2 3 5 2 2" xfId="38519"/>
    <cellStyle name="Standaard 58 2 2 3 5 3" xfId="38520"/>
    <cellStyle name="Standaard 58 2 2 3 6" xfId="38521"/>
    <cellStyle name="Standaard 58 2 2 3 6 2" xfId="38522"/>
    <cellStyle name="Standaard 58 2 2 3 7" xfId="38523"/>
    <cellStyle name="Standaard 58 2 2 3 8" xfId="38524"/>
    <cellStyle name="Standaard 58 2 2 4" xfId="38525"/>
    <cellStyle name="Standaard 58 2 2 4 2" xfId="38526"/>
    <cellStyle name="Standaard 58 2 2 4 2 2" xfId="38527"/>
    <cellStyle name="Standaard 58 2 2 4 2 2 2" xfId="38528"/>
    <cellStyle name="Standaard 58 2 2 4 2 2 2 2" xfId="38529"/>
    <cellStyle name="Standaard 58 2 2 4 2 2 2 2 2" xfId="38530"/>
    <cellStyle name="Standaard 58 2 2 4 2 2 2 2 2 2" xfId="38531"/>
    <cellStyle name="Standaard 58 2 2 4 2 2 2 2 3" xfId="38532"/>
    <cellStyle name="Standaard 58 2 2 4 2 2 2 3" xfId="38533"/>
    <cellStyle name="Standaard 58 2 2 4 2 2 2 3 2" xfId="38534"/>
    <cellStyle name="Standaard 58 2 2 4 2 2 2 4" xfId="38535"/>
    <cellStyle name="Standaard 58 2 2 4 2 2 3" xfId="38536"/>
    <cellStyle name="Standaard 58 2 2 4 2 2 3 2" xfId="38537"/>
    <cellStyle name="Standaard 58 2 2 4 2 2 3 2 2" xfId="38538"/>
    <cellStyle name="Standaard 58 2 2 4 2 2 3 3" xfId="38539"/>
    <cellStyle name="Standaard 58 2 2 4 2 2 4" xfId="38540"/>
    <cellStyle name="Standaard 58 2 2 4 2 2 4 2" xfId="38541"/>
    <cellStyle name="Standaard 58 2 2 4 2 2 5" xfId="38542"/>
    <cellStyle name="Standaard 58 2 2 4 2 2 6" xfId="38543"/>
    <cellStyle name="Standaard 58 2 2 4 2 3" xfId="38544"/>
    <cellStyle name="Standaard 58 2 2 4 2 3 2" xfId="38545"/>
    <cellStyle name="Standaard 58 2 2 4 2 3 2 2" xfId="38546"/>
    <cellStyle name="Standaard 58 2 2 4 2 3 2 2 2" xfId="38547"/>
    <cellStyle name="Standaard 58 2 2 4 2 3 2 3" xfId="38548"/>
    <cellStyle name="Standaard 58 2 2 4 2 3 3" xfId="38549"/>
    <cellStyle name="Standaard 58 2 2 4 2 3 3 2" xfId="38550"/>
    <cellStyle name="Standaard 58 2 2 4 2 3 4" xfId="38551"/>
    <cellStyle name="Standaard 58 2 2 4 2 4" xfId="38552"/>
    <cellStyle name="Standaard 58 2 2 4 2 4 2" xfId="38553"/>
    <cellStyle name="Standaard 58 2 2 4 2 4 2 2" xfId="38554"/>
    <cellStyle name="Standaard 58 2 2 4 2 4 3" xfId="38555"/>
    <cellStyle name="Standaard 58 2 2 4 2 5" xfId="38556"/>
    <cellStyle name="Standaard 58 2 2 4 2 5 2" xfId="38557"/>
    <cellStyle name="Standaard 58 2 2 4 2 6" xfId="38558"/>
    <cellStyle name="Standaard 58 2 2 4 2 7" xfId="38559"/>
    <cellStyle name="Standaard 58 2 2 4 3" xfId="38560"/>
    <cellStyle name="Standaard 58 2 2 4 3 2" xfId="38561"/>
    <cellStyle name="Standaard 58 2 2 4 3 2 2" xfId="38562"/>
    <cellStyle name="Standaard 58 2 2 4 3 2 2 2" xfId="38563"/>
    <cellStyle name="Standaard 58 2 2 4 3 2 2 2 2" xfId="38564"/>
    <cellStyle name="Standaard 58 2 2 4 3 2 2 3" xfId="38565"/>
    <cellStyle name="Standaard 58 2 2 4 3 2 3" xfId="38566"/>
    <cellStyle name="Standaard 58 2 2 4 3 2 3 2" xfId="38567"/>
    <cellStyle name="Standaard 58 2 2 4 3 2 4" xfId="38568"/>
    <cellStyle name="Standaard 58 2 2 4 3 3" xfId="38569"/>
    <cellStyle name="Standaard 58 2 2 4 3 3 2" xfId="38570"/>
    <cellStyle name="Standaard 58 2 2 4 3 3 2 2" xfId="38571"/>
    <cellStyle name="Standaard 58 2 2 4 3 3 3" xfId="38572"/>
    <cellStyle name="Standaard 58 2 2 4 3 4" xfId="38573"/>
    <cellStyle name="Standaard 58 2 2 4 3 4 2" xfId="38574"/>
    <cellStyle name="Standaard 58 2 2 4 3 5" xfId="38575"/>
    <cellStyle name="Standaard 58 2 2 4 3 6" xfId="38576"/>
    <cellStyle name="Standaard 58 2 2 4 4" xfId="38577"/>
    <cellStyle name="Standaard 58 2 2 4 4 2" xfId="38578"/>
    <cellStyle name="Standaard 58 2 2 4 4 2 2" xfId="38579"/>
    <cellStyle name="Standaard 58 2 2 4 4 2 2 2" xfId="38580"/>
    <cellStyle name="Standaard 58 2 2 4 4 2 3" xfId="38581"/>
    <cellStyle name="Standaard 58 2 2 4 4 3" xfId="38582"/>
    <cellStyle name="Standaard 58 2 2 4 4 3 2" xfId="38583"/>
    <cellStyle name="Standaard 58 2 2 4 4 4" xfId="38584"/>
    <cellStyle name="Standaard 58 2 2 4 5" xfId="38585"/>
    <cellStyle name="Standaard 58 2 2 4 5 2" xfId="38586"/>
    <cellStyle name="Standaard 58 2 2 4 5 2 2" xfId="38587"/>
    <cellStyle name="Standaard 58 2 2 4 5 3" xfId="38588"/>
    <cellStyle name="Standaard 58 2 2 4 6" xfId="38589"/>
    <cellStyle name="Standaard 58 2 2 4 6 2" xfId="38590"/>
    <cellStyle name="Standaard 58 2 2 4 7" xfId="38591"/>
    <cellStyle name="Standaard 58 2 2 4 8" xfId="38592"/>
    <cellStyle name="Standaard 58 2 2 5" xfId="38593"/>
    <cellStyle name="Standaard 58 2 2 5 2" xfId="38594"/>
    <cellStyle name="Standaard 58 2 2 5 2 2" xfId="38595"/>
    <cellStyle name="Standaard 58 2 2 5 2 2 2" xfId="38596"/>
    <cellStyle name="Standaard 58 2 2 5 2 2 2 2" xfId="38597"/>
    <cellStyle name="Standaard 58 2 2 5 2 2 2 2 2" xfId="38598"/>
    <cellStyle name="Standaard 58 2 2 5 2 2 2 3" xfId="38599"/>
    <cellStyle name="Standaard 58 2 2 5 2 2 3" xfId="38600"/>
    <cellStyle name="Standaard 58 2 2 5 2 2 3 2" xfId="38601"/>
    <cellStyle name="Standaard 58 2 2 5 2 2 4" xfId="38602"/>
    <cellStyle name="Standaard 58 2 2 5 2 3" xfId="38603"/>
    <cellStyle name="Standaard 58 2 2 5 2 3 2" xfId="38604"/>
    <cellStyle name="Standaard 58 2 2 5 2 3 2 2" xfId="38605"/>
    <cellStyle name="Standaard 58 2 2 5 2 3 3" xfId="38606"/>
    <cellStyle name="Standaard 58 2 2 5 2 4" xfId="38607"/>
    <cellStyle name="Standaard 58 2 2 5 2 4 2" xfId="38608"/>
    <cellStyle name="Standaard 58 2 2 5 2 5" xfId="38609"/>
    <cellStyle name="Standaard 58 2 2 5 2 6" xfId="38610"/>
    <cellStyle name="Standaard 58 2 2 5 3" xfId="38611"/>
    <cellStyle name="Standaard 58 2 2 5 3 2" xfId="38612"/>
    <cellStyle name="Standaard 58 2 2 5 3 2 2" xfId="38613"/>
    <cellStyle name="Standaard 58 2 2 5 3 2 2 2" xfId="38614"/>
    <cellStyle name="Standaard 58 2 2 5 3 2 3" xfId="38615"/>
    <cellStyle name="Standaard 58 2 2 5 3 3" xfId="38616"/>
    <cellStyle name="Standaard 58 2 2 5 3 3 2" xfId="38617"/>
    <cellStyle name="Standaard 58 2 2 5 3 4" xfId="38618"/>
    <cellStyle name="Standaard 58 2 2 5 4" xfId="38619"/>
    <cellStyle name="Standaard 58 2 2 5 4 2" xfId="38620"/>
    <cellStyle name="Standaard 58 2 2 5 4 2 2" xfId="38621"/>
    <cellStyle name="Standaard 58 2 2 5 4 3" xfId="38622"/>
    <cellStyle name="Standaard 58 2 2 5 5" xfId="38623"/>
    <cellStyle name="Standaard 58 2 2 5 5 2" xfId="38624"/>
    <cellStyle name="Standaard 58 2 2 5 6" xfId="38625"/>
    <cellStyle name="Standaard 58 2 2 5 7" xfId="38626"/>
    <cellStyle name="Standaard 58 2 2 6" xfId="38627"/>
    <cellStyle name="Standaard 58 2 2 6 2" xfId="38628"/>
    <cellStyle name="Standaard 58 2 2 6 2 2" xfId="38629"/>
    <cellStyle name="Standaard 58 2 2 6 2 2 2" xfId="38630"/>
    <cellStyle name="Standaard 58 2 2 6 2 2 2 2" xfId="38631"/>
    <cellStyle name="Standaard 58 2 2 6 2 2 3" xfId="38632"/>
    <cellStyle name="Standaard 58 2 2 6 2 3" xfId="38633"/>
    <cellStyle name="Standaard 58 2 2 6 2 3 2" xfId="38634"/>
    <cellStyle name="Standaard 58 2 2 6 2 4" xfId="38635"/>
    <cellStyle name="Standaard 58 2 2 6 3" xfId="38636"/>
    <cellStyle name="Standaard 58 2 2 6 3 2" xfId="38637"/>
    <cellStyle name="Standaard 58 2 2 6 3 2 2" xfId="38638"/>
    <cellStyle name="Standaard 58 2 2 6 3 3" xfId="38639"/>
    <cellStyle name="Standaard 58 2 2 6 4" xfId="38640"/>
    <cellStyle name="Standaard 58 2 2 6 4 2" xfId="38641"/>
    <cellStyle name="Standaard 58 2 2 6 5" xfId="38642"/>
    <cellStyle name="Standaard 58 2 2 6 6" xfId="38643"/>
    <cellStyle name="Standaard 58 2 2 7" xfId="38644"/>
    <cellStyle name="Standaard 58 2 2 7 2" xfId="38645"/>
    <cellStyle name="Standaard 58 2 2 7 2 2" xfId="38646"/>
    <cellStyle name="Standaard 58 2 2 7 2 2 2" xfId="38647"/>
    <cellStyle name="Standaard 58 2 2 7 2 3" xfId="38648"/>
    <cellStyle name="Standaard 58 2 2 7 3" xfId="38649"/>
    <cellStyle name="Standaard 58 2 2 7 3 2" xfId="38650"/>
    <cellStyle name="Standaard 58 2 2 7 4" xfId="38651"/>
    <cellStyle name="Standaard 58 2 2 8" xfId="38652"/>
    <cellStyle name="Standaard 58 2 2 8 2" xfId="38653"/>
    <cellStyle name="Standaard 58 2 2 8 2 2" xfId="38654"/>
    <cellStyle name="Standaard 58 2 2 8 3" xfId="38655"/>
    <cellStyle name="Standaard 58 2 2 9" xfId="38656"/>
    <cellStyle name="Standaard 58 2 2 9 2" xfId="38657"/>
    <cellStyle name="Standaard 58 2 3" xfId="38658"/>
    <cellStyle name="Standaard 58 2 3 2" xfId="38659"/>
    <cellStyle name="Standaard 58 2 3 2 2" xfId="38660"/>
    <cellStyle name="Standaard 58 2 3 2 2 2" xfId="38661"/>
    <cellStyle name="Standaard 58 2 3 2 2 2 2" xfId="38662"/>
    <cellStyle name="Standaard 58 2 3 2 2 2 2 2" xfId="38663"/>
    <cellStyle name="Standaard 58 2 3 2 2 2 2 2 2" xfId="38664"/>
    <cellStyle name="Standaard 58 2 3 2 2 2 2 2 2 2" xfId="38665"/>
    <cellStyle name="Standaard 58 2 3 2 2 2 2 2 3" xfId="38666"/>
    <cellStyle name="Standaard 58 2 3 2 2 2 2 3" xfId="38667"/>
    <cellStyle name="Standaard 58 2 3 2 2 2 2 3 2" xfId="38668"/>
    <cellStyle name="Standaard 58 2 3 2 2 2 2 4" xfId="38669"/>
    <cellStyle name="Standaard 58 2 3 2 2 2 3" xfId="38670"/>
    <cellStyle name="Standaard 58 2 3 2 2 2 3 2" xfId="38671"/>
    <cellStyle name="Standaard 58 2 3 2 2 2 3 2 2" xfId="38672"/>
    <cellStyle name="Standaard 58 2 3 2 2 2 3 3" xfId="38673"/>
    <cellStyle name="Standaard 58 2 3 2 2 2 4" xfId="38674"/>
    <cellStyle name="Standaard 58 2 3 2 2 2 4 2" xfId="38675"/>
    <cellStyle name="Standaard 58 2 3 2 2 2 5" xfId="38676"/>
    <cellStyle name="Standaard 58 2 3 2 2 2 6" xfId="38677"/>
    <cellStyle name="Standaard 58 2 3 2 2 3" xfId="38678"/>
    <cellStyle name="Standaard 58 2 3 2 2 3 2" xfId="38679"/>
    <cellStyle name="Standaard 58 2 3 2 2 3 2 2" xfId="38680"/>
    <cellStyle name="Standaard 58 2 3 2 2 3 2 2 2" xfId="38681"/>
    <cellStyle name="Standaard 58 2 3 2 2 3 2 3" xfId="38682"/>
    <cellStyle name="Standaard 58 2 3 2 2 3 3" xfId="38683"/>
    <cellStyle name="Standaard 58 2 3 2 2 3 3 2" xfId="38684"/>
    <cellStyle name="Standaard 58 2 3 2 2 3 4" xfId="38685"/>
    <cellStyle name="Standaard 58 2 3 2 2 4" xfId="38686"/>
    <cellStyle name="Standaard 58 2 3 2 2 4 2" xfId="38687"/>
    <cellStyle name="Standaard 58 2 3 2 2 4 2 2" xfId="38688"/>
    <cellStyle name="Standaard 58 2 3 2 2 4 3" xfId="38689"/>
    <cellStyle name="Standaard 58 2 3 2 2 5" xfId="38690"/>
    <cellStyle name="Standaard 58 2 3 2 2 5 2" xfId="38691"/>
    <cellStyle name="Standaard 58 2 3 2 2 6" xfId="38692"/>
    <cellStyle name="Standaard 58 2 3 2 2 7" xfId="38693"/>
    <cellStyle name="Standaard 58 2 3 2 3" xfId="38694"/>
    <cellStyle name="Standaard 58 2 3 2 3 2" xfId="38695"/>
    <cellStyle name="Standaard 58 2 3 2 3 2 2" xfId="38696"/>
    <cellStyle name="Standaard 58 2 3 2 3 2 2 2" xfId="38697"/>
    <cellStyle name="Standaard 58 2 3 2 3 2 2 2 2" xfId="38698"/>
    <cellStyle name="Standaard 58 2 3 2 3 2 2 3" xfId="38699"/>
    <cellStyle name="Standaard 58 2 3 2 3 2 3" xfId="38700"/>
    <cellStyle name="Standaard 58 2 3 2 3 2 3 2" xfId="38701"/>
    <cellStyle name="Standaard 58 2 3 2 3 2 4" xfId="38702"/>
    <cellStyle name="Standaard 58 2 3 2 3 3" xfId="38703"/>
    <cellStyle name="Standaard 58 2 3 2 3 3 2" xfId="38704"/>
    <cellStyle name="Standaard 58 2 3 2 3 3 2 2" xfId="38705"/>
    <cellStyle name="Standaard 58 2 3 2 3 3 3" xfId="38706"/>
    <cellStyle name="Standaard 58 2 3 2 3 4" xfId="38707"/>
    <cellStyle name="Standaard 58 2 3 2 3 4 2" xfId="38708"/>
    <cellStyle name="Standaard 58 2 3 2 3 5" xfId="38709"/>
    <cellStyle name="Standaard 58 2 3 2 3 6" xfId="38710"/>
    <cellStyle name="Standaard 58 2 3 2 4" xfId="38711"/>
    <cellStyle name="Standaard 58 2 3 2 4 2" xfId="38712"/>
    <cellStyle name="Standaard 58 2 3 2 4 2 2" xfId="38713"/>
    <cellStyle name="Standaard 58 2 3 2 4 2 2 2" xfId="38714"/>
    <cellStyle name="Standaard 58 2 3 2 4 2 3" xfId="38715"/>
    <cellStyle name="Standaard 58 2 3 2 4 3" xfId="38716"/>
    <cellStyle name="Standaard 58 2 3 2 4 3 2" xfId="38717"/>
    <cellStyle name="Standaard 58 2 3 2 4 4" xfId="38718"/>
    <cellStyle name="Standaard 58 2 3 2 5" xfId="38719"/>
    <cellStyle name="Standaard 58 2 3 2 5 2" xfId="38720"/>
    <cellStyle name="Standaard 58 2 3 2 5 2 2" xfId="38721"/>
    <cellStyle name="Standaard 58 2 3 2 5 3" xfId="38722"/>
    <cellStyle name="Standaard 58 2 3 2 6" xfId="38723"/>
    <cellStyle name="Standaard 58 2 3 2 6 2" xfId="38724"/>
    <cellStyle name="Standaard 58 2 3 2 7" xfId="38725"/>
    <cellStyle name="Standaard 58 2 3 2 8" xfId="38726"/>
    <cellStyle name="Standaard 58 2 3 3" xfId="38727"/>
    <cellStyle name="Standaard 58 2 3 3 2" xfId="38728"/>
    <cellStyle name="Standaard 58 2 3 3 2 2" xfId="38729"/>
    <cellStyle name="Standaard 58 2 3 3 2 2 2" xfId="38730"/>
    <cellStyle name="Standaard 58 2 3 3 2 2 2 2" xfId="38731"/>
    <cellStyle name="Standaard 58 2 3 3 2 2 2 2 2" xfId="38732"/>
    <cellStyle name="Standaard 58 2 3 3 2 2 2 3" xfId="38733"/>
    <cellStyle name="Standaard 58 2 3 3 2 2 3" xfId="38734"/>
    <cellStyle name="Standaard 58 2 3 3 2 2 3 2" xfId="38735"/>
    <cellStyle name="Standaard 58 2 3 3 2 2 4" xfId="38736"/>
    <cellStyle name="Standaard 58 2 3 3 2 3" xfId="38737"/>
    <cellStyle name="Standaard 58 2 3 3 2 3 2" xfId="38738"/>
    <cellStyle name="Standaard 58 2 3 3 2 3 2 2" xfId="38739"/>
    <cellStyle name="Standaard 58 2 3 3 2 3 3" xfId="38740"/>
    <cellStyle name="Standaard 58 2 3 3 2 4" xfId="38741"/>
    <cellStyle name="Standaard 58 2 3 3 2 4 2" xfId="38742"/>
    <cellStyle name="Standaard 58 2 3 3 2 5" xfId="38743"/>
    <cellStyle name="Standaard 58 2 3 3 2 6" xfId="38744"/>
    <cellStyle name="Standaard 58 2 3 3 3" xfId="38745"/>
    <cellStyle name="Standaard 58 2 3 3 3 2" xfId="38746"/>
    <cellStyle name="Standaard 58 2 3 3 3 2 2" xfId="38747"/>
    <cellStyle name="Standaard 58 2 3 3 3 2 2 2" xfId="38748"/>
    <cellStyle name="Standaard 58 2 3 3 3 2 3" xfId="38749"/>
    <cellStyle name="Standaard 58 2 3 3 3 3" xfId="38750"/>
    <cellStyle name="Standaard 58 2 3 3 3 3 2" xfId="38751"/>
    <cellStyle name="Standaard 58 2 3 3 3 4" xfId="38752"/>
    <cellStyle name="Standaard 58 2 3 3 4" xfId="38753"/>
    <cellStyle name="Standaard 58 2 3 3 4 2" xfId="38754"/>
    <cellStyle name="Standaard 58 2 3 3 4 2 2" xfId="38755"/>
    <cellStyle name="Standaard 58 2 3 3 4 3" xfId="38756"/>
    <cellStyle name="Standaard 58 2 3 3 5" xfId="38757"/>
    <cellStyle name="Standaard 58 2 3 3 5 2" xfId="38758"/>
    <cellStyle name="Standaard 58 2 3 3 6" xfId="38759"/>
    <cellStyle name="Standaard 58 2 3 3 7" xfId="38760"/>
    <cellStyle name="Standaard 58 2 3 4" xfId="38761"/>
    <cellStyle name="Standaard 58 2 3 4 2" xfId="38762"/>
    <cellStyle name="Standaard 58 2 3 4 2 2" xfId="38763"/>
    <cellStyle name="Standaard 58 2 3 4 2 2 2" xfId="38764"/>
    <cellStyle name="Standaard 58 2 3 4 2 2 2 2" xfId="38765"/>
    <cellStyle name="Standaard 58 2 3 4 2 2 3" xfId="38766"/>
    <cellStyle name="Standaard 58 2 3 4 2 3" xfId="38767"/>
    <cellStyle name="Standaard 58 2 3 4 2 3 2" xfId="38768"/>
    <cellStyle name="Standaard 58 2 3 4 2 4" xfId="38769"/>
    <cellStyle name="Standaard 58 2 3 4 3" xfId="38770"/>
    <cellStyle name="Standaard 58 2 3 4 3 2" xfId="38771"/>
    <cellStyle name="Standaard 58 2 3 4 3 2 2" xfId="38772"/>
    <cellStyle name="Standaard 58 2 3 4 3 3" xfId="38773"/>
    <cellStyle name="Standaard 58 2 3 4 4" xfId="38774"/>
    <cellStyle name="Standaard 58 2 3 4 4 2" xfId="38775"/>
    <cellStyle name="Standaard 58 2 3 4 5" xfId="38776"/>
    <cellStyle name="Standaard 58 2 3 4 6" xfId="38777"/>
    <cellStyle name="Standaard 58 2 3 5" xfId="38778"/>
    <cellStyle name="Standaard 58 2 3 5 2" xfId="38779"/>
    <cellStyle name="Standaard 58 2 3 5 2 2" xfId="38780"/>
    <cellStyle name="Standaard 58 2 3 5 2 2 2" xfId="38781"/>
    <cellStyle name="Standaard 58 2 3 5 2 3" xfId="38782"/>
    <cellStyle name="Standaard 58 2 3 5 3" xfId="38783"/>
    <cellStyle name="Standaard 58 2 3 5 3 2" xfId="38784"/>
    <cellStyle name="Standaard 58 2 3 5 4" xfId="38785"/>
    <cellStyle name="Standaard 58 2 3 6" xfId="38786"/>
    <cellStyle name="Standaard 58 2 3 6 2" xfId="38787"/>
    <cellStyle name="Standaard 58 2 3 6 2 2" xfId="38788"/>
    <cellStyle name="Standaard 58 2 3 6 3" xfId="38789"/>
    <cellStyle name="Standaard 58 2 3 7" xfId="38790"/>
    <cellStyle name="Standaard 58 2 3 7 2" xfId="38791"/>
    <cellStyle name="Standaard 58 2 3 8" xfId="38792"/>
    <cellStyle name="Standaard 58 2 3 9" xfId="38793"/>
    <cellStyle name="Standaard 58 2 4" xfId="38794"/>
    <cellStyle name="Standaard 58 2 4 2" xfId="38795"/>
    <cellStyle name="Standaard 58 2 4 2 2" xfId="38796"/>
    <cellStyle name="Standaard 58 2 4 2 2 2" xfId="38797"/>
    <cellStyle name="Standaard 58 2 4 2 2 2 2" xfId="38798"/>
    <cellStyle name="Standaard 58 2 4 2 2 2 2 2" xfId="38799"/>
    <cellStyle name="Standaard 58 2 4 2 2 2 2 2 2" xfId="38800"/>
    <cellStyle name="Standaard 58 2 4 2 2 2 2 3" xfId="38801"/>
    <cellStyle name="Standaard 58 2 4 2 2 2 3" xfId="38802"/>
    <cellStyle name="Standaard 58 2 4 2 2 2 3 2" xfId="38803"/>
    <cellStyle name="Standaard 58 2 4 2 2 2 4" xfId="38804"/>
    <cellStyle name="Standaard 58 2 4 2 2 3" xfId="38805"/>
    <cellStyle name="Standaard 58 2 4 2 2 3 2" xfId="38806"/>
    <cellStyle name="Standaard 58 2 4 2 2 3 2 2" xfId="38807"/>
    <cellStyle name="Standaard 58 2 4 2 2 3 3" xfId="38808"/>
    <cellStyle name="Standaard 58 2 4 2 2 4" xfId="38809"/>
    <cellStyle name="Standaard 58 2 4 2 2 4 2" xfId="38810"/>
    <cellStyle name="Standaard 58 2 4 2 2 5" xfId="38811"/>
    <cellStyle name="Standaard 58 2 4 2 2 6" xfId="38812"/>
    <cellStyle name="Standaard 58 2 4 2 3" xfId="38813"/>
    <cellStyle name="Standaard 58 2 4 2 3 2" xfId="38814"/>
    <cellStyle name="Standaard 58 2 4 2 3 2 2" xfId="38815"/>
    <cellStyle name="Standaard 58 2 4 2 3 2 2 2" xfId="38816"/>
    <cellStyle name="Standaard 58 2 4 2 3 2 3" xfId="38817"/>
    <cellStyle name="Standaard 58 2 4 2 3 3" xfId="38818"/>
    <cellStyle name="Standaard 58 2 4 2 3 3 2" xfId="38819"/>
    <cellStyle name="Standaard 58 2 4 2 3 4" xfId="38820"/>
    <cellStyle name="Standaard 58 2 4 2 4" xfId="38821"/>
    <cellStyle name="Standaard 58 2 4 2 4 2" xfId="38822"/>
    <cellStyle name="Standaard 58 2 4 2 4 2 2" xfId="38823"/>
    <cellStyle name="Standaard 58 2 4 2 4 3" xfId="38824"/>
    <cellStyle name="Standaard 58 2 4 2 5" xfId="38825"/>
    <cellStyle name="Standaard 58 2 4 2 5 2" xfId="38826"/>
    <cellStyle name="Standaard 58 2 4 2 6" xfId="38827"/>
    <cellStyle name="Standaard 58 2 4 2 7" xfId="38828"/>
    <cellStyle name="Standaard 58 2 4 3" xfId="38829"/>
    <cellStyle name="Standaard 58 2 4 3 2" xfId="38830"/>
    <cellStyle name="Standaard 58 2 4 3 2 2" xfId="38831"/>
    <cellStyle name="Standaard 58 2 4 3 2 2 2" xfId="38832"/>
    <cellStyle name="Standaard 58 2 4 3 2 2 2 2" xfId="38833"/>
    <cellStyle name="Standaard 58 2 4 3 2 2 3" xfId="38834"/>
    <cellStyle name="Standaard 58 2 4 3 2 3" xfId="38835"/>
    <cellStyle name="Standaard 58 2 4 3 2 3 2" xfId="38836"/>
    <cellStyle name="Standaard 58 2 4 3 2 4" xfId="38837"/>
    <cellStyle name="Standaard 58 2 4 3 3" xfId="38838"/>
    <cellStyle name="Standaard 58 2 4 3 3 2" xfId="38839"/>
    <cellStyle name="Standaard 58 2 4 3 3 2 2" xfId="38840"/>
    <cellStyle name="Standaard 58 2 4 3 3 3" xfId="38841"/>
    <cellStyle name="Standaard 58 2 4 3 4" xfId="38842"/>
    <cellStyle name="Standaard 58 2 4 3 4 2" xfId="38843"/>
    <cellStyle name="Standaard 58 2 4 3 5" xfId="38844"/>
    <cellStyle name="Standaard 58 2 4 3 6" xfId="38845"/>
    <cellStyle name="Standaard 58 2 4 4" xfId="38846"/>
    <cellStyle name="Standaard 58 2 4 4 2" xfId="38847"/>
    <cellStyle name="Standaard 58 2 4 4 2 2" xfId="38848"/>
    <cellStyle name="Standaard 58 2 4 4 2 2 2" xfId="38849"/>
    <cellStyle name="Standaard 58 2 4 4 2 3" xfId="38850"/>
    <cellStyle name="Standaard 58 2 4 4 3" xfId="38851"/>
    <cellStyle name="Standaard 58 2 4 4 3 2" xfId="38852"/>
    <cellStyle name="Standaard 58 2 4 4 4" xfId="38853"/>
    <cellStyle name="Standaard 58 2 4 5" xfId="38854"/>
    <cellStyle name="Standaard 58 2 4 5 2" xfId="38855"/>
    <cellStyle name="Standaard 58 2 4 5 2 2" xfId="38856"/>
    <cellStyle name="Standaard 58 2 4 5 3" xfId="38857"/>
    <cellStyle name="Standaard 58 2 4 6" xfId="38858"/>
    <cellStyle name="Standaard 58 2 4 6 2" xfId="38859"/>
    <cellStyle name="Standaard 58 2 4 7" xfId="38860"/>
    <cellStyle name="Standaard 58 2 4 8" xfId="38861"/>
    <cellStyle name="Standaard 58 2 5" xfId="38862"/>
    <cellStyle name="Standaard 58 2 5 2" xfId="38863"/>
    <cellStyle name="Standaard 58 2 5 2 2" xfId="38864"/>
    <cellStyle name="Standaard 58 2 5 2 2 2" xfId="38865"/>
    <cellStyle name="Standaard 58 2 5 2 2 2 2" xfId="38866"/>
    <cellStyle name="Standaard 58 2 5 2 2 2 2 2" xfId="38867"/>
    <cellStyle name="Standaard 58 2 5 2 2 2 2 2 2" xfId="38868"/>
    <cellStyle name="Standaard 58 2 5 2 2 2 2 3" xfId="38869"/>
    <cellStyle name="Standaard 58 2 5 2 2 2 3" xfId="38870"/>
    <cellStyle name="Standaard 58 2 5 2 2 2 3 2" xfId="38871"/>
    <cellStyle name="Standaard 58 2 5 2 2 2 4" xfId="38872"/>
    <cellStyle name="Standaard 58 2 5 2 2 3" xfId="38873"/>
    <cellStyle name="Standaard 58 2 5 2 2 3 2" xfId="38874"/>
    <cellStyle name="Standaard 58 2 5 2 2 3 2 2" xfId="38875"/>
    <cellStyle name="Standaard 58 2 5 2 2 3 3" xfId="38876"/>
    <cellStyle name="Standaard 58 2 5 2 2 4" xfId="38877"/>
    <cellStyle name="Standaard 58 2 5 2 2 4 2" xfId="38878"/>
    <cellStyle name="Standaard 58 2 5 2 2 5" xfId="38879"/>
    <cellStyle name="Standaard 58 2 5 2 2 6" xfId="38880"/>
    <cellStyle name="Standaard 58 2 5 2 3" xfId="38881"/>
    <cellStyle name="Standaard 58 2 5 2 3 2" xfId="38882"/>
    <cellStyle name="Standaard 58 2 5 2 3 2 2" xfId="38883"/>
    <cellStyle name="Standaard 58 2 5 2 3 2 2 2" xfId="38884"/>
    <cellStyle name="Standaard 58 2 5 2 3 2 3" xfId="38885"/>
    <cellStyle name="Standaard 58 2 5 2 3 3" xfId="38886"/>
    <cellStyle name="Standaard 58 2 5 2 3 3 2" xfId="38887"/>
    <cellStyle name="Standaard 58 2 5 2 3 4" xfId="38888"/>
    <cellStyle name="Standaard 58 2 5 2 4" xfId="38889"/>
    <cellStyle name="Standaard 58 2 5 2 4 2" xfId="38890"/>
    <cellStyle name="Standaard 58 2 5 2 4 2 2" xfId="38891"/>
    <cellStyle name="Standaard 58 2 5 2 4 3" xfId="38892"/>
    <cellStyle name="Standaard 58 2 5 2 5" xfId="38893"/>
    <cellStyle name="Standaard 58 2 5 2 5 2" xfId="38894"/>
    <cellStyle name="Standaard 58 2 5 2 6" xfId="38895"/>
    <cellStyle name="Standaard 58 2 5 2 7" xfId="38896"/>
    <cellStyle name="Standaard 58 2 5 3" xfId="38897"/>
    <cellStyle name="Standaard 58 2 5 3 2" xfId="38898"/>
    <cellStyle name="Standaard 58 2 5 3 2 2" xfId="38899"/>
    <cellStyle name="Standaard 58 2 5 3 2 2 2" xfId="38900"/>
    <cellStyle name="Standaard 58 2 5 3 2 2 2 2" xfId="38901"/>
    <cellStyle name="Standaard 58 2 5 3 2 2 3" xfId="38902"/>
    <cellStyle name="Standaard 58 2 5 3 2 3" xfId="38903"/>
    <cellStyle name="Standaard 58 2 5 3 2 3 2" xfId="38904"/>
    <cellStyle name="Standaard 58 2 5 3 2 4" xfId="38905"/>
    <cellStyle name="Standaard 58 2 5 3 3" xfId="38906"/>
    <cellStyle name="Standaard 58 2 5 3 3 2" xfId="38907"/>
    <cellStyle name="Standaard 58 2 5 3 3 2 2" xfId="38908"/>
    <cellStyle name="Standaard 58 2 5 3 3 3" xfId="38909"/>
    <cellStyle name="Standaard 58 2 5 3 4" xfId="38910"/>
    <cellStyle name="Standaard 58 2 5 3 4 2" xfId="38911"/>
    <cellStyle name="Standaard 58 2 5 3 5" xfId="38912"/>
    <cellStyle name="Standaard 58 2 5 3 6" xfId="38913"/>
    <cellStyle name="Standaard 58 2 5 4" xfId="38914"/>
    <cellStyle name="Standaard 58 2 5 4 2" xfId="38915"/>
    <cellStyle name="Standaard 58 2 5 4 2 2" xfId="38916"/>
    <cellStyle name="Standaard 58 2 5 4 2 2 2" xfId="38917"/>
    <cellStyle name="Standaard 58 2 5 4 2 3" xfId="38918"/>
    <cellStyle name="Standaard 58 2 5 4 3" xfId="38919"/>
    <cellStyle name="Standaard 58 2 5 4 3 2" xfId="38920"/>
    <cellStyle name="Standaard 58 2 5 4 4" xfId="38921"/>
    <cellStyle name="Standaard 58 2 5 5" xfId="38922"/>
    <cellStyle name="Standaard 58 2 5 5 2" xfId="38923"/>
    <cellStyle name="Standaard 58 2 5 5 2 2" xfId="38924"/>
    <cellStyle name="Standaard 58 2 5 5 3" xfId="38925"/>
    <cellStyle name="Standaard 58 2 5 6" xfId="38926"/>
    <cellStyle name="Standaard 58 2 5 6 2" xfId="38927"/>
    <cellStyle name="Standaard 58 2 5 7" xfId="38928"/>
    <cellStyle name="Standaard 58 2 5 8" xfId="38929"/>
    <cellStyle name="Standaard 58 2 6" xfId="38930"/>
    <cellStyle name="Standaard 58 2 6 2" xfId="38931"/>
    <cellStyle name="Standaard 58 2 6 2 2" xfId="38932"/>
    <cellStyle name="Standaard 58 2 6 2 2 2" xfId="38933"/>
    <cellStyle name="Standaard 58 2 6 2 2 2 2" xfId="38934"/>
    <cellStyle name="Standaard 58 2 6 2 2 2 2 2" xfId="38935"/>
    <cellStyle name="Standaard 58 2 6 2 2 2 3" xfId="38936"/>
    <cellStyle name="Standaard 58 2 6 2 2 3" xfId="38937"/>
    <cellStyle name="Standaard 58 2 6 2 2 3 2" xfId="38938"/>
    <cellStyle name="Standaard 58 2 6 2 2 4" xfId="38939"/>
    <cellStyle name="Standaard 58 2 6 2 3" xfId="38940"/>
    <cellStyle name="Standaard 58 2 6 2 3 2" xfId="38941"/>
    <cellStyle name="Standaard 58 2 6 2 3 2 2" xfId="38942"/>
    <cellStyle name="Standaard 58 2 6 2 3 3" xfId="38943"/>
    <cellStyle name="Standaard 58 2 6 2 4" xfId="38944"/>
    <cellStyle name="Standaard 58 2 6 2 4 2" xfId="38945"/>
    <cellStyle name="Standaard 58 2 6 2 5" xfId="38946"/>
    <cellStyle name="Standaard 58 2 6 2 6" xfId="38947"/>
    <cellStyle name="Standaard 58 2 6 3" xfId="38948"/>
    <cellStyle name="Standaard 58 2 6 3 2" xfId="38949"/>
    <cellStyle name="Standaard 58 2 6 3 2 2" xfId="38950"/>
    <cellStyle name="Standaard 58 2 6 3 2 2 2" xfId="38951"/>
    <cellStyle name="Standaard 58 2 6 3 2 3" xfId="38952"/>
    <cellStyle name="Standaard 58 2 6 3 3" xfId="38953"/>
    <cellStyle name="Standaard 58 2 6 3 3 2" xfId="38954"/>
    <cellStyle name="Standaard 58 2 6 3 4" xfId="38955"/>
    <cellStyle name="Standaard 58 2 6 4" xfId="38956"/>
    <cellStyle name="Standaard 58 2 6 4 2" xfId="38957"/>
    <cellStyle name="Standaard 58 2 6 4 2 2" xfId="38958"/>
    <cellStyle name="Standaard 58 2 6 4 3" xfId="38959"/>
    <cellStyle name="Standaard 58 2 6 5" xfId="38960"/>
    <cellStyle name="Standaard 58 2 6 5 2" xfId="38961"/>
    <cellStyle name="Standaard 58 2 6 6" xfId="38962"/>
    <cellStyle name="Standaard 58 2 6 7" xfId="38963"/>
    <cellStyle name="Standaard 58 2 7" xfId="38964"/>
    <cellStyle name="Standaard 58 2 7 2" xfId="38965"/>
    <cellStyle name="Standaard 58 2 7 2 2" xfId="38966"/>
    <cellStyle name="Standaard 58 2 7 2 2 2" xfId="38967"/>
    <cellStyle name="Standaard 58 2 7 2 2 2 2" xfId="38968"/>
    <cellStyle name="Standaard 58 2 7 2 2 3" xfId="38969"/>
    <cellStyle name="Standaard 58 2 7 2 3" xfId="38970"/>
    <cellStyle name="Standaard 58 2 7 2 3 2" xfId="38971"/>
    <cellStyle name="Standaard 58 2 7 2 4" xfId="38972"/>
    <cellStyle name="Standaard 58 2 7 3" xfId="38973"/>
    <cellStyle name="Standaard 58 2 7 3 2" xfId="38974"/>
    <cellStyle name="Standaard 58 2 7 3 2 2" xfId="38975"/>
    <cellStyle name="Standaard 58 2 7 3 3" xfId="38976"/>
    <cellStyle name="Standaard 58 2 7 4" xfId="38977"/>
    <cellStyle name="Standaard 58 2 7 4 2" xfId="38978"/>
    <cellStyle name="Standaard 58 2 7 5" xfId="38979"/>
    <cellStyle name="Standaard 58 2 7 6" xfId="38980"/>
    <cellStyle name="Standaard 58 2 8" xfId="38981"/>
    <cellStyle name="Standaard 58 2 8 2" xfId="38982"/>
    <cellStyle name="Standaard 58 2 8 2 2" xfId="38983"/>
    <cellStyle name="Standaard 58 2 8 2 2 2" xfId="38984"/>
    <cellStyle name="Standaard 58 2 8 2 3" xfId="38985"/>
    <cellStyle name="Standaard 58 2 8 3" xfId="38986"/>
    <cellStyle name="Standaard 58 2 8 3 2" xfId="38987"/>
    <cellStyle name="Standaard 58 2 8 4" xfId="38988"/>
    <cellStyle name="Standaard 58 2 9" xfId="38989"/>
    <cellStyle name="Standaard 58 2 9 2" xfId="38990"/>
    <cellStyle name="Standaard 58 2 9 2 2" xfId="38991"/>
    <cellStyle name="Standaard 58 2 9 3" xfId="38992"/>
    <cellStyle name="Standaard 58 3" xfId="38993"/>
    <cellStyle name="Standaard 58 3 10" xfId="38994"/>
    <cellStyle name="Standaard 58 3 11" xfId="38995"/>
    <cellStyle name="Standaard 58 3 2" xfId="38996"/>
    <cellStyle name="Standaard 58 3 2 2" xfId="38997"/>
    <cellStyle name="Standaard 58 3 2 2 2" xfId="38998"/>
    <cellStyle name="Standaard 58 3 2 2 2 2" xfId="38999"/>
    <cellStyle name="Standaard 58 3 2 2 2 2 2" xfId="39000"/>
    <cellStyle name="Standaard 58 3 2 2 2 2 2 2" xfId="39001"/>
    <cellStyle name="Standaard 58 3 2 2 2 2 2 2 2" xfId="39002"/>
    <cellStyle name="Standaard 58 3 2 2 2 2 2 2 2 2" xfId="39003"/>
    <cellStyle name="Standaard 58 3 2 2 2 2 2 2 3" xfId="39004"/>
    <cellStyle name="Standaard 58 3 2 2 2 2 2 3" xfId="39005"/>
    <cellStyle name="Standaard 58 3 2 2 2 2 2 3 2" xfId="39006"/>
    <cellStyle name="Standaard 58 3 2 2 2 2 2 4" xfId="39007"/>
    <cellStyle name="Standaard 58 3 2 2 2 2 3" xfId="39008"/>
    <cellStyle name="Standaard 58 3 2 2 2 2 3 2" xfId="39009"/>
    <cellStyle name="Standaard 58 3 2 2 2 2 3 2 2" xfId="39010"/>
    <cellStyle name="Standaard 58 3 2 2 2 2 3 3" xfId="39011"/>
    <cellStyle name="Standaard 58 3 2 2 2 2 4" xfId="39012"/>
    <cellStyle name="Standaard 58 3 2 2 2 2 4 2" xfId="39013"/>
    <cellStyle name="Standaard 58 3 2 2 2 2 5" xfId="39014"/>
    <cellStyle name="Standaard 58 3 2 2 2 2 6" xfId="39015"/>
    <cellStyle name="Standaard 58 3 2 2 2 3" xfId="39016"/>
    <cellStyle name="Standaard 58 3 2 2 2 3 2" xfId="39017"/>
    <cellStyle name="Standaard 58 3 2 2 2 3 2 2" xfId="39018"/>
    <cellStyle name="Standaard 58 3 2 2 2 3 2 2 2" xfId="39019"/>
    <cellStyle name="Standaard 58 3 2 2 2 3 2 3" xfId="39020"/>
    <cellStyle name="Standaard 58 3 2 2 2 3 3" xfId="39021"/>
    <cellStyle name="Standaard 58 3 2 2 2 3 3 2" xfId="39022"/>
    <cellStyle name="Standaard 58 3 2 2 2 3 4" xfId="39023"/>
    <cellStyle name="Standaard 58 3 2 2 2 4" xfId="39024"/>
    <cellStyle name="Standaard 58 3 2 2 2 4 2" xfId="39025"/>
    <cellStyle name="Standaard 58 3 2 2 2 4 2 2" xfId="39026"/>
    <cellStyle name="Standaard 58 3 2 2 2 4 3" xfId="39027"/>
    <cellStyle name="Standaard 58 3 2 2 2 5" xfId="39028"/>
    <cellStyle name="Standaard 58 3 2 2 2 5 2" xfId="39029"/>
    <cellStyle name="Standaard 58 3 2 2 2 6" xfId="39030"/>
    <cellStyle name="Standaard 58 3 2 2 2 7" xfId="39031"/>
    <cellStyle name="Standaard 58 3 2 2 3" xfId="39032"/>
    <cellStyle name="Standaard 58 3 2 2 3 2" xfId="39033"/>
    <cellStyle name="Standaard 58 3 2 2 3 2 2" xfId="39034"/>
    <cellStyle name="Standaard 58 3 2 2 3 2 2 2" xfId="39035"/>
    <cellStyle name="Standaard 58 3 2 2 3 2 2 2 2" xfId="39036"/>
    <cellStyle name="Standaard 58 3 2 2 3 2 2 3" xfId="39037"/>
    <cellStyle name="Standaard 58 3 2 2 3 2 3" xfId="39038"/>
    <cellStyle name="Standaard 58 3 2 2 3 2 3 2" xfId="39039"/>
    <cellStyle name="Standaard 58 3 2 2 3 2 4" xfId="39040"/>
    <cellStyle name="Standaard 58 3 2 2 3 3" xfId="39041"/>
    <cellStyle name="Standaard 58 3 2 2 3 3 2" xfId="39042"/>
    <cellStyle name="Standaard 58 3 2 2 3 3 2 2" xfId="39043"/>
    <cellStyle name="Standaard 58 3 2 2 3 3 3" xfId="39044"/>
    <cellStyle name="Standaard 58 3 2 2 3 4" xfId="39045"/>
    <cellStyle name="Standaard 58 3 2 2 3 4 2" xfId="39046"/>
    <cellStyle name="Standaard 58 3 2 2 3 5" xfId="39047"/>
    <cellStyle name="Standaard 58 3 2 2 3 6" xfId="39048"/>
    <cellStyle name="Standaard 58 3 2 2 4" xfId="39049"/>
    <cellStyle name="Standaard 58 3 2 2 4 2" xfId="39050"/>
    <cellStyle name="Standaard 58 3 2 2 4 2 2" xfId="39051"/>
    <cellStyle name="Standaard 58 3 2 2 4 2 2 2" xfId="39052"/>
    <cellStyle name="Standaard 58 3 2 2 4 2 3" xfId="39053"/>
    <cellStyle name="Standaard 58 3 2 2 4 3" xfId="39054"/>
    <cellStyle name="Standaard 58 3 2 2 4 3 2" xfId="39055"/>
    <cellStyle name="Standaard 58 3 2 2 4 4" xfId="39056"/>
    <cellStyle name="Standaard 58 3 2 2 5" xfId="39057"/>
    <cellStyle name="Standaard 58 3 2 2 5 2" xfId="39058"/>
    <cellStyle name="Standaard 58 3 2 2 5 2 2" xfId="39059"/>
    <cellStyle name="Standaard 58 3 2 2 5 3" xfId="39060"/>
    <cellStyle name="Standaard 58 3 2 2 6" xfId="39061"/>
    <cellStyle name="Standaard 58 3 2 2 6 2" xfId="39062"/>
    <cellStyle name="Standaard 58 3 2 2 7" xfId="39063"/>
    <cellStyle name="Standaard 58 3 2 2 8" xfId="39064"/>
    <cellStyle name="Standaard 58 3 2 3" xfId="39065"/>
    <cellStyle name="Standaard 58 3 2 3 2" xfId="39066"/>
    <cellStyle name="Standaard 58 3 2 3 2 2" xfId="39067"/>
    <cellStyle name="Standaard 58 3 2 3 2 2 2" xfId="39068"/>
    <cellStyle name="Standaard 58 3 2 3 2 2 2 2" xfId="39069"/>
    <cellStyle name="Standaard 58 3 2 3 2 2 2 2 2" xfId="39070"/>
    <cellStyle name="Standaard 58 3 2 3 2 2 2 3" xfId="39071"/>
    <cellStyle name="Standaard 58 3 2 3 2 2 3" xfId="39072"/>
    <cellStyle name="Standaard 58 3 2 3 2 2 3 2" xfId="39073"/>
    <cellStyle name="Standaard 58 3 2 3 2 2 4" xfId="39074"/>
    <cellStyle name="Standaard 58 3 2 3 2 3" xfId="39075"/>
    <cellStyle name="Standaard 58 3 2 3 2 3 2" xfId="39076"/>
    <cellStyle name="Standaard 58 3 2 3 2 3 2 2" xfId="39077"/>
    <cellStyle name="Standaard 58 3 2 3 2 3 3" xfId="39078"/>
    <cellStyle name="Standaard 58 3 2 3 2 4" xfId="39079"/>
    <cellStyle name="Standaard 58 3 2 3 2 4 2" xfId="39080"/>
    <cellStyle name="Standaard 58 3 2 3 2 5" xfId="39081"/>
    <cellStyle name="Standaard 58 3 2 3 2 6" xfId="39082"/>
    <cellStyle name="Standaard 58 3 2 3 3" xfId="39083"/>
    <cellStyle name="Standaard 58 3 2 3 3 2" xfId="39084"/>
    <cellStyle name="Standaard 58 3 2 3 3 2 2" xfId="39085"/>
    <cellStyle name="Standaard 58 3 2 3 3 2 2 2" xfId="39086"/>
    <cellStyle name="Standaard 58 3 2 3 3 2 3" xfId="39087"/>
    <cellStyle name="Standaard 58 3 2 3 3 3" xfId="39088"/>
    <cellStyle name="Standaard 58 3 2 3 3 3 2" xfId="39089"/>
    <cellStyle name="Standaard 58 3 2 3 3 4" xfId="39090"/>
    <cellStyle name="Standaard 58 3 2 3 4" xfId="39091"/>
    <cellStyle name="Standaard 58 3 2 3 4 2" xfId="39092"/>
    <cellStyle name="Standaard 58 3 2 3 4 2 2" xfId="39093"/>
    <cellStyle name="Standaard 58 3 2 3 4 3" xfId="39094"/>
    <cellStyle name="Standaard 58 3 2 3 5" xfId="39095"/>
    <cellStyle name="Standaard 58 3 2 3 5 2" xfId="39096"/>
    <cellStyle name="Standaard 58 3 2 3 6" xfId="39097"/>
    <cellStyle name="Standaard 58 3 2 3 7" xfId="39098"/>
    <cellStyle name="Standaard 58 3 2 4" xfId="39099"/>
    <cellStyle name="Standaard 58 3 2 4 2" xfId="39100"/>
    <cellStyle name="Standaard 58 3 2 4 2 2" xfId="39101"/>
    <cellStyle name="Standaard 58 3 2 4 2 2 2" xfId="39102"/>
    <cellStyle name="Standaard 58 3 2 4 2 2 2 2" xfId="39103"/>
    <cellStyle name="Standaard 58 3 2 4 2 2 3" xfId="39104"/>
    <cellStyle name="Standaard 58 3 2 4 2 3" xfId="39105"/>
    <cellStyle name="Standaard 58 3 2 4 2 3 2" xfId="39106"/>
    <cellStyle name="Standaard 58 3 2 4 2 4" xfId="39107"/>
    <cellStyle name="Standaard 58 3 2 4 3" xfId="39108"/>
    <cellStyle name="Standaard 58 3 2 4 3 2" xfId="39109"/>
    <cellStyle name="Standaard 58 3 2 4 3 2 2" xfId="39110"/>
    <cellStyle name="Standaard 58 3 2 4 3 3" xfId="39111"/>
    <cellStyle name="Standaard 58 3 2 4 4" xfId="39112"/>
    <cellStyle name="Standaard 58 3 2 4 4 2" xfId="39113"/>
    <cellStyle name="Standaard 58 3 2 4 5" xfId="39114"/>
    <cellStyle name="Standaard 58 3 2 4 6" xfId="39115"/>
    <cellStyle name="Standaard 58 3 2 5" xfId="39116"/>
    <cellStyle name="Standaard 58 3 2 5 2" xfId="39117"/>
    <cellStyle name="Standaard 58 3 2 5 2 2" xfId="39118"/>
    <cellStyle name="Standaard 58 3 2 5 2 2 2" xfId="39119"/>
    <cellStyle name="Standaard 58 3 2 5 2 3" xfId="39120"/>
    <cellStyle name="Standaard 58 3 2 5 3" xfId="39121"/>
    <cellStyle name="Standaard 58 3 2 5 3 2" xfId="39122"/>
    <cellStyle name="Standaard 58 3 2 5 4" xfId="39123"/>
    <cellStyle name="Standaard 58 3 2 6" xfId="39124"/>
    <cellStyle name="Standaard 58 3 2 6 2" xfId="39125"/>
    <cellStyle name="Standaard 58 3 2 6 2 2" xfId="39126"/>
    <cellStyle name="Standaard 58 3 2 6 3" xfId="39127"/>
    <cellStyle name="Standaard 58 3 2 7" xfId="39128"/>
    <cellStyle name="Standaard 58 3 2 7 2" xfId="39129"/>
    <cellStyle name="Standaard 58 3 2 8" xfId="39130"/>
    <cellStyle name="Standaard 58 3 2 9" xfId="39131"/>
    <cellStyle name="Standaard 58 3 3" xfId="39132"/>
    <cellStyle name="Standaard 58 3 3 2" xfId="39133"/>
    <cellStyle name="Standaard 58 3 3 2 2" xfId="39134"/>
    <cellStyle name="Standaard 58 3 3 2 2 2" xfId="39135"/>
    <cellStyle name="Standaard 58 3 3 2 2 2 2" xfId="39136"/>
    <cellStyle name="Standaard 58 3 3 2 2 2 2 2" xfId="39137"/>
    <cellStyle name="Standaard 58 3 3 2 2 2 2 2 2" xfId="39138"/>
    <cellStyle name="Standaard 58 3 3 2 2 2 2 3" xfId="39139"/>
    <cellStyle name="Standaard 58 3 3 2 2 2 3" xfId="39140"/>
    <cellStyle name="Standaard 58 3 3 2 2 2 3 2" xfId="39141"/>
    <cellStyle name="Standaard 58 3 3 2 2 2 4" xfId="39142"/>
    <cellStyle name="Standaard 58 3 3 2 2 3" xfId="39143"/>
    <cellStyle name="Standaard 58 3 3 2 2 3 2" xfId="39144"/>
    <cellStyle name="Standaard 58 3 3 2 2 3 2 2" xfId="39145"/>
    <cellStyle name="Standaard 58 3 3 2 2 3 3" xfId="39146"/>
    <cellStyle name="Standaard 58 3 3 2 2 4" xfId="39147"/>
    <cellStyle name="Standaard 58 3 3 2 2 4 2" xfId="39148"/>
    <cellStyle name="Standaard 58 3 3 2 2 5" xfId="39149"/>
    <cellStyle name="Standaard 58 3 3 2 2 6" xfId="39150"/>
    <cellStyle name="Standaard 58 3 3 2 3" xfId="39151"/>
    <cellStyle name="Standaard 58 3 3 2 3 2" xfId="39152"/>
    <cellStyle name="Standaard 58 3 3 2 3 2 2" xfId="39153"/>
    <cellStyle name="Standaard 58 3 3 2 3 2 2 2" xfId="39154"/>
    <cellStyle name="Standaard 58 3 3 2 3 2 3" xfId="39155"/>
    <cellStyle name="Standaard 58 3 3 2 3 3" xfId="39156"/>
    <cellStyle name="Standaard 58 3 3 2 3 3 2" xfId="39157"/>
    <cellStyle name="Standaard 58 3 3 2 3 4" xfId="39158"/>
    <cellStyle name="Standaard 58 3 3 2 4" xfId="39159"/>
    <cellStyle name="Standaard 58 3 3 2 4 2" xfId="39160"/>
    <cellStyle name="Standaard 58 3 3 2 4 2 2" xfId="39161"/>
    <cellStyle name="Standaard 58 3 3 2 4 3" xfId="39162"/>
    <cellStyle name="Standaard 58 3 3 2 5" xfId="39163"/>
    <cellStyle name="Standaard 58 3 3 2 5 2" xfId="39164"/>
    <cellStyle name="Standaard 58 3 3 2 6" xfId="39165"/>
    <cellStyle name="Standaard 58 3 3 2 7" xfId="39166"/>
    <cellStyle name="Standaard 58 3 3 3" xfId="39167"/>
    <cellStyle name="Standaard 58 3 3 3 2" xfId="39168"/>
    <cellStyle name="Standaard 58 3 3 3 2 2" xfId="39169"/>
    <cellStyle name="Standaard 58 3 3 3 2 2 2" xfId="39170"/>
    <cellStyle name="Standaard 58 3 3 3 2 2 2 2" xfId="39171"/>
    <cellStyle name="Standaard 58 3 3 3 2 2 3" xfId="39172"/>
    <cellStyle name="Standaard 58 3 3 3 2 3" xfId="39173"/>
    <cellStyle name="Standaard 58 3 3 3 2 3 2" xfId="39174"/>
    <cellStyle name="Standaard 58 3 3 3 2 4" xfId="39175"/>
    <cellStyle name="Standaard 58 3 3 3 3" xfId="39176"/>
    <cellStyle name="Standaard 58 3 3 3 3 2" xfId="39177"/>
    <cellStyle name="Standaard 58 3 3 3 3 2 2" xfId="39178"/>
    <cellStyle name="Standaard 58 3 3 3 3 3" xfId="39179"/>
    <cellStyle name="Standaard 58 3 3 3 4" xfId="39180"/>
    <cellStyle name="Standaard 58 3 3 3 4 2" xfId="39181"/>
    <cellStyle name="Standaard 58 3 3 3 5" xfId="39182"/>
    <cellStyle name="Standaard 58 3 3 3 6" xfId="39183"/>
    <cellStyle name="Standaard 58 3 3 4" xfId="39184"/>
    <cellStyle name="Standaard 58 3 3 4 2" xfId="39185"/>
    <cellStyle name="Standaard 58 3 3 4 2 2" xfId="39186"/>
    <cellStyle name="Standaard 58 3 3 4 2 2 2" xfId="39187"/>
    <cellStyle name="Standaard 58 3 3 4 2 3" xfId="39188"/>
    <cellStyle name="Standaard 58 3 3 4 3" xfId="39189"/>
    <cellStyle name="Standaard 58 3 3 4 3 2" xfId="39190"/>
    <cellStyle name="Standaard 58 3 3 4 4" xfId="39191"/>
    <cellStyle name="Standaard 58 3 3 5" xfId="39192"/>
    <cellStyle name="Standaard 58 3 3 5 2" xfId="39193"/>
    <cellStyle name="Standaard 58 3 3 5 2 2" xfId="39194"/>
    <cellStyle name="Standaard 58 3 3 5 3" xfId="39195"/>
    <cellStyle name="Standaard 58 3 3 6" xfId="39196"/>
    <cellStyle name="Standaard 58 3 3 6 2" xfId="39197"/>
    <cellStyle name="Standaard 58 3 3 7" xfId="39198"/>
    <cellStyle name="Standaard 58 3 3 8" xfId="39199"/>
    <cellStyle name="Standaard 58 3 4" xfId="39200"/>
    <cellStyle name="Standaard 58 3 4 2" xfId="39201"/>
    <cellStyle name="Standaard 58 3 4 2 2" xfId="39202"/>
    <cellStyle name="Standaard 58 3 4 2 2 2" xfId="39203"/>
    <cellStyle name="Standaard 58 3 4 2 2 2 2" xfId="39204"/>
    <cellStyle name="Standaard 58 3 4 2 2 2 2 2" xfId="39205"/>
    <cellStyle name="Standaard 58 3 4 2 2 2 2 2 2" xfId="39206"/>
    <cellStyle name="Standaard 58 3 4 2 2 2 2 3" xfId="39207"/>
    <cellStyle name="Standaard 58 3 4 2 2 2 3" xfId="39208"/>
    <cellStyle name="Standaard 58 3 4 2 2 2 3 2" xfId="39209"/>
    <cellStyle name="Standaard 58 3 4 2 2 2 4" xfId="39210"/>
    <cellStyle name="Standaard 58 3 4 2 2 3" xfId="39211"/>
    <cellStyle name="Standaard 58 3 4 2 2 3 2" xfId="39212"/>
    <cellStyle name="Standaard 58 3 4 2 2 3 2 2" xfId="39213"/>
    <cellStyle name="Standaard 58 3 4 2 2 3 3" xfId="39214"/>
    <cellStyle name="Standaard 58 3 4 2 2 4" xfId="39215"/>
    <cellStyle name="Standaard 58 3 4 2 2 4 2" xfId="39216"/>
    <cellStyle name="Standaard 58 3 4 2 2 5" xfId="39217"/>
    <cellStyle name="Standaard 58 3 4 2 2 6" xfId="39218"/>
    <cellStyle name="Standaard 58 3 4 2 3" xfId="39219"/>
    <cellStyle name="Standaard 58 3 4 2 3 2" xfId="39220"/>
    <cellStyle name="Standaard 58 3 4 2 3 2 2" xfId="39221"/>
    <cellStyle name="Standaard 58 3 4 2 3 2 2 2" xfId="39222"/>
    <cellStyle name="Standaard 58 3 4 2 3 2 3" xfId="39223"/>
    <cellStyle name="Standaard 58 3 4 2 3 3" xfId="39224"/>
    <cellStyle name="Standaard 58 3 4 2 3 3 2" xfId="39225"/>
    <cellStyle name="Standaard 58 3 4 2 3 4" xfId="39226"/>
    <cellStyle name="Standaard 58 3 4 2 4" xfId="39227"/>
    <cellStyle name="Standaard 58 3 4 2 4 2" xfId="39228"/>
    <cellStyle name="Standaard 58 3 4 2 4 2 2" xfId="39229"/>
    <cellStyle name="Standaard 58 3 4 2 4 3" xfId="39230"/>
    <cellStyle name="Standaard 58 3 4 2 5" xfId="39231"/>
    <cellStyle name="Standaard 58 3 4 2 5 2" xfId="39232"/>
    <cellStyle name="Standaard 58 3 4 2 6" xfId="39233"/>
    <cellStyle name="Standaard 58 3 4 2 7" xfId="39234"/>
    <cellStyle name="Standaard 58 3 4 3" xfId="39235"/>
    <cellStyle name="Standaard 58 3 4 3 2" xfId="39236"/>
    <cellStyle name="Standaard 58 3 4 3 2 2" xfId="39237"/>
    <cellStyle name="Standaard 58 3 4 3 2 2 2" xfId="39238"/>
    <cellStyle name="Standaard 58 3 4 3 2 2 2 2" xfId="39239"/>
    <cellStyle name="Standaard 58 3 4 3 2 2 3" xfId="39240"/>
    <cellStyle name="Standaard 58 3 4 3 2 3" xfId="39241"/>
    <cellStyle name="Standaard 58 3 4 3 2 3 2" xfId="39242"/>
    <cellStyle name="Standaard 58 3 4 3 2 4" xfId="39243"/>
    <cellStyle name="Standaard 58 3 4 3 3" xfId="39244"/>
    <cellStyle name="Standaard 58 3 4 3 3 2" xfId="39245"/>
    <cellStyle name="Standaard 58 3 4 3 3 2 2" xfId="39246"/>
    <cellStyle name="Standaard 58 3 4 3 3 3" xfId="39247"/>
    <cellStyle name="Standaard 58 3 4 3 4" xfId="39248"/>
    <cellStyle name="Standaard 58 3 4 3 4 2" xfId="39249"/>
    <cellStyle name="Standaard 58 3 4 3 5" xfId="39250"/>
    <cellStyle name="Standaard 58 3 4 3 6" xfId="39251"/>
    <cellStyle name="Standaard 58 3 4 4" xfId="39252"/>
    <cellStyle name="Standaard 58 3 4 4 2" xfId="39253"/>
    <cellStyle name="Standaard 58 3 4 4 2 2" xfId="39254"/>
    <cellStyle name="Standaard 58 3 4 4 2 2 2" xfId="39255"/>
    <cellStyle name="Standaard 58 3 4 4 2 3" xfId="39256"/>
    <cellStyle name="Standaard 58 3 4 4 3" xfId="39257"/>
    <cellStyle name="Standaard 58 3 4 4 3 2" xfId="39258"/>
    <cellStyle name="Standaard 58 3 4 4 4" xfId="39259"/>
    <cellStyle name="Standaard 58 3 4 5" xfId="39260"/>
    <cellStyle name="Standaard 58 3 4 5 2" xfId="39261"/>
    <cellStyle name="Standaard 58 3 4 5 2 2" xfId="39262"/>
    <cellStyle name="Standaard 58 3 4 5 3" xfId="39263"/>
    <cellStyle name="Standaard 58 3 4 6" xfId="39264"/>
    <cellStyle name="Standaard 58 3 4 6 2" xfId="39265"/>
    <cellStyle name="Standaard 58 3 4 7" xfId="39266"/>
    <cellStyle name="Standaard 58 3 4 8" xfId="39267"/>
    <cellStyle name="Standaard 58 3 5" xfId="39268"/>
    <cellStyle name="Standaard 58 3 5 2" xfId="39269"/>
    <cellStyle name="Standaard 58 3 5 2 2" xfId="39270"/>
    <cellStyle name="Standaard 58 3 5 2 2 2" xfId="39271"/>
    <cellStyle name="Standaard 58 3 5 2 2 2 2" xfId="39272"/>
    <cellStyle name="Standaard 58 3 5 2 2 2 2 2" xfId="39273"/>
    <cellStyle name="Standaard 58 3 5 2 2 2 3" xfId="39274"/>
    <cellStyle name="Standaard 58 3 5 2 2 3" xfId="39275"/>
    <cellStyle name="Standaard 58 3 5 2 2 3 2" xfId="39276"/>
    <cellStyle name="Standaard 58 3 5 2 2 4" xfId="39277"/>
    <cellStyle name="Standaard 58 3 5 2 3" xfId="39278"/>
    <cellStyle name="Standaard 58 3 5 2 3 2" xfId="39279"/>
    <cellStyle name="Standaard 58 3 5 2 3 2 2" xfId="39280"/>
    <cellStyle name="Standaard 58 3 5 2 3 3" xfId="39281"/>
    <cellStyle name="Standaard 58 3 5 2 4" xfId="39282"/>
    <cellStyle name="Standaard 58 3 5 2 4 2" xfId="39283"/>
    <cellStyle name="Standaard 58 3 5 2 5" xfId="39284"/>
    <cellStyle name="Standaard 58 3 5 2 6" xfId="39285"/>
    <cellStyle name="Standaard 58 3 5 3" xfId="39286"/>
    <cellStyle name="Standaard 58 3 5 3 2" xfId="39287"/>
    <cellStyle name="Standaard 58 3 5 3 2 2" xfId="39288"/>
    <cellStyle name="Standaard 58 3 5 3 2 2 2" xfId="39289"/>
    <cellStyle name="Standaard 58 3 5 3 2 3" xfId="39290"/>
    <cellStyle name="Standaard 58 3 5 3 3" xfId="39291"/>
    <cellStyle name="Standaard 58 3 5 3 3 2" xfId="39292"/>
    <cellStyle name="Standaard 58 3 5 3 4" xfId="39293"/>
    <cellStyle name="Standaard 58 3 5 4" xfId="39294"/>
    <cellStyle name="Standaard 58 3 5 4 2" xfId="39295"/>
    <cellStyle name="Standaard 58 3 5 4 2 2" xfId="39296"/>
    <cellStyle name="Standaard 58 3 5 4 3" xfId="39297"/>
    <cellStyle name="Standaard 58 3 5 5" xfId="39298"/>
    <cellStyle name="Standaard 58 3 5 5 2" xfId="39299"/>
    <cellStyle name="Standaard 58 3 5 6" xfId="39300"/>
    <cellStyle name="Standaard 58 3 5 7" xfId="39301"/>
    <cellStyle name="Standaard 58 3 6" xfId="39302"/>
    <cellStyle name="Standaard 58 3 6 2" xfId="39303"/>
    <cellStyle name="Standaard 58 3 6 2 2" xfId="39304"/>
    <cellStyle name="Standaard 58 3 6 2 2 2" xfId="39305"/>
    <cellStyle name="Standaard 58 3 6 2 2 2 2" xfId="39306"/>
    <cellStyle name="Standaard 58 3 6 2 2 3" xfId="39307"/>
    <cellStyle name="Standaard 58 3 6 2 3" xfId="39308"/>
    <cellStyle name="Standaard 58 3 6 2 3 2" xfId="39309"/>
    <cellStyle name="Standaard 58 3 6 2 4" xfId="39310"/>
    <cellStyle name="Standaard 58 3 6 3" xfId="39311"/>
    <cellStyle name="Standaard 58 3 6 3 2" xfId="39312"/>
    <cellStyle name="Standaard 58 3 6 3 2 2" xfId="39313"/>
    <cellStyle name="Standaard 58 3 6 3 3" xfId="39314"/>
    <cellStyle name="Standaard 58 3 6 4" xfId="39315"/>
    <cellStyle name="Standaard 58 3 6 4 2" xfId="39316"/>
    <cellStyle name="Standaard 58 3 6 5" xfId="39317"/>
    <cellStyle name="Standaard 58 3 6 6" xfId="39318"/>
    <cellStyle name="Standaard 58 3 7" xfId="39319"/>
    <cellStyle name="Standaard 58 3 7 2" xfId="39320"/>
    <cellStyle name="Standaard 58 3 7 2 2" xfId="39321"/>
    <cellStyle name="Standaard 58 3 7 2 2 2" xfId="39322"/>
    <cellStyle name="Standaard 58 3 7 2 3" xfId="39323"/>
    <cellStyle name="Standaard 58 3 7 3" xfId="39324"/>
    <cellStyle name="Standaard 58 3 7 3 2" xfId="39325"/>
    <cellStyle name="Standaard 58 3 7 4" xfId="39326"/>
    <cellStyle name="Standaard 58 3 8" xfId="39327"/>
    <cellStyle name="Standaard 58 3 8 2" xfId="39328"/>
    <cellStyle name="Standaard 58 3 8 2 2" xfId="39329"/>
    <cellStyle name="Standaard 58 3 8 3" xfId="39330"/>
    <cellStyle name="Standaard 58 3 9" xfId="39331"/>
    <cellStyle name="Standaard 58 3 9 2" xfId="39332"/>
    <cellStyle name="Standaard 58 4" xfId="39333"/>
    <cellStyle name="Standaard 58 4 2" xfId="39334"/>
    <cellStyle name="Standaard 58 4 2 2" xfId="39335"/>
    <cellStyle name="Standaard 58 4 2 2 2" xfId="39336"/>
    <cellStyle name="Standaard 58 4 2 2 2 2" xfId="39337"/>
    <cellStyle name="Standaard 58 4 2 2 2 2 2" xfId="39338"/>
    <cellStyle name="Standaard 58 4 2 2 2 2 2 2" xfId="39339"/>
    <cellStyle name="Standaard 58 4 2 2 2 2 2 2 2" xfId="39340"/>
    <cellStyle name="Standaard 58 4 2 2 2 2 2 3" xfId="39341"/>
    <cellStyle name="Standaard 58 4 2 2 2 2 3" xfId="39342"/>
    <cellStyle name="Standaard 58 4 2 2 2 2 3 2" xfId="39343"/>
    <cellStyle name="Standaard 58 4 2 2 2 2 4" xfId="39344"/>
    <cellStyle name="Standaard 58 4 2 2 2 3" xfId="39345"/>
    <cellStyle name="Standaard 58 4 2 2 2 3 2" xfId="39346"/>
    <cellStyle name="Standaard 58 4 2 2 2 3 2 2" xfId="39347"/>
    <cellStyle name="Standaard 58 4 2 2 2 3 3" xfId="39348"/>
    <cellStyle name="Standaard 58 4 2 2 2 4" xfId="39349"/>
    <cellStyle name="Standaard 58 4 2 2 2 4 2" xfId="39350"/>
    <cellStyle name="Standaard 58 4 2 2 2 5" xfId="39351"/>
    <cellStyle name="Standaard 58 4 2 2 2 6" xfId="39352"/>
    <cellStyle name="Standaard 58 4 2 2 3" xfId="39353"/>
    <cellStyle name="Standaard 58 4 2 2 3 2" xfId="39354"/>
    <cellStyle name="Standaard 58 4 2 2 3 2 2" xfId="39355"/>
    <cellStyle name="Standaard 58 4 2 2 3 2 2 2" xfId="39356"/>
    <cellStyle name="Standaard 58 4 2 2 3 2 3" xfId="39357"/>
    <cellStyle name="Standaard 58 4 2 2 3 3" xfId="39358"/>
    <cellStyle name="Standaard 58 4 2 2 3 3 2" xfId="39359"/>
    <cellStyle name="Standaard 58 4 2 2 3 4" xfId="39360"/>
    <cellStyle name="Standaard 58 4 2 2 4" xfId="39361"/>
    <cellStyle name="Standaard 58 4 2 2 4 2" xfId="39362"/>
    <cellStyle name="Standaard 58 4 2 2 4 2 2" xfId="39363"/>
    <cellStyle name="Standaard 58 4 2 2 4 3" xfId="39364"/>
    <cellStyle name="Standaard 58 4 2 2 5" xfId="39365"/>
    <cellStyle name="Standaard 58 4 2 2 5 2" xfId="39366"/>
    <cellStyle name="Standaard 58 4 2 2 6" xfId="39367"/>
    <cellStyle name="Standaard 58 4 2 2 7" xfId="39368"/>
    <cellStyle name="Standaard 58 4 2 3" xfId="39369"/>
    <cellStyle name="Standaard 58 4 2 3 2" xfId="39370"/>
    <cellStyle name="Standaard 58 4 2 3 2 2" xfId="39371"/>
    <cellStyle name="Standaard 58 4 2 3 2 2 2" xfId="39372"/>
    <cellStyle name="Standaard 58 4 2 3 2 2 2 2" xfId="39373"/>
    <cellStyle name="Standaard 58 4 2 3 2 2 3" xfId="39374"/>
    <cellStyle name="Standaard 58 4 2 3 2 3" xfId="39375"/>
    <cellStyle name="Standaard 58 4 2 3 2 3 2" xfId="39376"/>
    <cellStyle name="Standaard 58 4 2 3 2 4" xfId="39377"/>
    <cellStyle name="Standaard 58 4 2 3 3" xfId="39378"/>
    <cellStyle name="Standaard 58 4 2 3 3 2" xfId="39379"/>
    <cellStyle name="Standaard 58 4 2 3 3 2 2" xfId="39380"/>
    <cellStyle name="Standaard 58 4 2 3 3 3" xfId="39381"/>
    <cellStyle name="Standaard 58 4 2 3 4" xfId="39382"/>
    <cellStyle name="Standaard 58 4 2 3 4 2" xfId="39383"/>
    <cellStyle name="Standaard 58 4 2 3 5" xfId="39384"/>
    <cellStyle name="Standaard 58 4 2 3 6" xfId="39385"/>
    <cellStyle name="Standaard 58 4 2 4" xfId="39386"/>
    <cellStyle name="Standaard 58 4 2 4 2" xfId="39387"/>
    <cellStyle name="Standaard 58 4 2 4 2 2" xfId="39388"/>
    <cellStyle name="Standaard 58 4 2 4 2 2 2" xfId="39389"/>
    <cellStyle name="Standaard 58 4 2 4 2 3" xfId="39390"/>
    <cellStyle name="Standaard 58 4 2 4 3" xfId="39391"/>
    <cellStyle name="Standaard 58 4 2 4 3 2" xfId="39392"/>
    <cellStyle name="Standaard 58 4 2 4 4" xfId="39393"/>
    <cellStyle name="Standaard 58 4 2 5" xfId="39394"/>
    <cellStyle name="Standaard 58 4 2 5 2" xfId="39395"/>
    <cellStyle name="Standaard 58 4 2 5 2 2" xfId="39396"/>
    <cellStyle name="Standaard 58 4 2 5 3" xfId="39397"/>
    <cellStyle name="Standaard 58 4 2 6" xfId="39398"/>
    <cellStyle name="Standaard 58 4 2 6 2" xfId="39399"/>
    <cellStyle name="Standaard 58 4 2 7" xfId="39400"/>
    <cellStyle name="Standaard 58 4 2 8" xfId="39401"/>
    <cellStyle name="Standaard 58 4 3" xfId="39402"/>
    <cellStyle name="Standaard 58 4 3 2" xfId="39403"/>
    <cellStyle name="Standaard 58 4 3 2 2" xfId="39404"/>
    <cellStyle name="Standaard 58 4 3 2 2 2" xfId="39405"/>
    <cellStyle name="Standaard 58 4 3 2 2 2 2" xfId="39406"/>
    <cellStyle name="Standaard 58 4 3 2 2 2 2 2" xfId="39407"/>
    <cellStyle name="Standaard 58 4 3 2 2 2 3" xfId="39408"/>
    <cellStyle name="Standaard 58 4 3 2 2 3" xfId="39409"/>
    <cellStyle name="Standaard 58 4 3 2 2 3 2" xfId="39410"/>
    <cellStyle name="Standaard 58 4 3 2 2 4" xfId="39411"/>
    <cellStyle name="Standaard 58 4 3 2 3" xfId="39412"/>
    <cellStyle name="Standaard 58 4 3 2 3 2" xfId="39413"/>
    <cellStyle name="Standaard 58 4 3 2 3 2 2" xfId="39414"/>
    <cellStyle name="Standaard 58 4 3 2 3 3" xfId="39415"/>
    <cellStyle name="Standaard 58 4 3 2 4" xfId="39416"/>
    <cellStyle name="Standaard 58 4 3 2 4 2" xfId="39417"/>
    <cellStyle name="Standaard 58 4 3 2 5" xfId="39418"/>
    <cellStyle name="Standaard 58 4 3 2 6" xfId="39419"/>
    <cellStyle name="Standaard 58 4 3 3" xfId="39420"/>
    <cellStyle name="Standaard 58 4 3 3 2" xfId="39421"/>
    <cellStyle name="Standaard 58 4 3 3 2 2" xfId="39422"/>
    <cellStyle name="Standaard 58 4 3 3 2 2 2" xfId="39423"/>
    <cellStyle name="Standaard 58 4 3 3 2 3" xfId="39424"/>
    <cellStyle name="Standaard 58 4 3 3 3" xfId="39425"/>
    <cellStyle name="Standaard 58 4 3 3 3 2" xfId="39426"/>
    <cellStyle name="Standaard 58 4 3 3 4" xfId="39427"/>
    <cellStyle name="Standaard 58 4 3 4" xfId="39428"/>
    <cellStyle name="Standaard 58 4 3 4 2" xfId="39429"/>
    <cellStyle name="Standaard 58 4 3 4 2 2" xfId="39430"/>
    <cellStyle name="Standaard 58 4 3 4 3" xfId="39431"/>
    <cellStyle name="Standaard 58 4 3 5" xfId="39432"/>
    <cellStyle name="Standaard 58 4 3 5 2" xfId="39433"/>
    <cellStyle name="Standaard 58 4 3 6" xfId="39434"/>
    <cellStyle name="Standaard 58 4 3 7" xfId="39435"/>
    <cellStyle name="Standaard 58 4 4" xfId="39436"/>
    <cellStyle name="Standaard 58 4 4 2" xfId="39437"/>
    <cellStyle name="Standaard 58 4 4 2 2" xfId="39438"/>
    <cellStyle name="Standaard 58 4 4 2 2 2" xfId="39439"/>
    <cellStyle name="Standaard 58 4 4 2 2 2 2" xfId="39440"/>
    <cellStyle name="Standaard 58 4 4 2 2 3" xfId="39441"/>
    <cellStyle name="Standaard 58 4 4 2 3" xfId="39442"/>
    <cellStyle name="Standaard 58 4 4 2 3 2" xfId="39443"/>
    <cellStyle name="Standaard 58 4 4 2 4" xfId="39444"/>
    <cellStyle name="Standaard 58 4 4 3" xfId="39445"/>
    <cellStyle name="Standaard 58 4 4 3 2" xfId="39446"/>
    <cellStyle name="Standaard 58 4 4 3 2 2" xfId="39447"/>
    <cellStyle name="Standaard 58 4 4 3 3" xfId="39448"/>
    <cellStyle name="Standaard 58 4 4 4" xfId="39449"/>
    <cellStyle name="Standaard 58 4 4 4 2" xfId="39450"/>
    <cellStyle name="Standaard 58 4 4 5" xfId="39451"/>
    <cellStyle name="Standaard 58 4 4 6" xfId="39452"/>
    <cellStyle name="Standaard 58 4 5" xfId="39453"/>
    <cellStyle name="Standaard 58 4 5 2" xfId="39454"/>
    <cellStyle name="Standaard 58 4 5 2 2" xfId="39455"/>
    <cellStyle name="Standaard 58 4 5 2 2 2" xfId="39456"/>
    <cellStyle name="Standaard 58 4 5 2 3" xfId="39457"/>
    <cellStyle name="Standaard 58 4 5 3" xfId="39458"/>
    <cellStyle name="Standaard 58 4 5 3 2" xfId="39459"/>
    <cellStyle name="Standaard 58 4 5 4" xfId="39460"/>
    <cellStyle name="Standaard 58 4 6" xfId="39461"/>
    <cellStyle name="Standaard 58 4 6 2" xfId="39462"/>
    <cellStyle name="Standaard 58 4 6 2 2" xfId="39463"/>
    <cellStyle name="Standaard 58 4 6 3" xfId="39464"/>
    <cellStyle name="Standaard 58 4 7" xfId="39465"/>
    <cellStyle name="Standaard 58 4 7 2" xfId="39466"/>
    <cellStyle name="Standaard 58 4 8" xfId="39467"/>
    <cellStyle name="Standaard 58 4 9" xfId="39468"/>
    <cellStyle name="Standaard 58 5" xfId="39469"/>
    <cellStyle name="Standaard 58 5 2" xfId="39470"/>
    <cellStyle name="Standaard 58 5 2 2" xfId="39471"/>
    <cellStyle name="Standaard 58 5 2 2 2" xfId="39472"/>
    <cellStyle name="Standaard 58 5 2 2 2 2" xfId="39473"/>
    <cellStyle name="Standaard 58 5 2 2 2 2 2" xfId="39474"/>
    <cellStyle name="Standaard 58 5 2 2 2 2 2 2" xfId="39475"/>
    <cellStyle name="Standaard 58 5 2 2 2 2 3" xfId="39476"/>
    <cellStyle name="Standaard 58 5 2 2 2 3" xfId="39477"/>
    <cellStyle name="Standaard 58 5 2 2 2 3 2" xfId="39478"/>
    <cellStyle name="Standaard 58 5 2 2 2 4" xfId="39479"/>
    <cellStyle name="Standaard 58 5 2 2 3" xfId="39480"/>
    <cellStyle name="Standaard 58 5 2 2 3 2" xfId="39481"/>
    <cellStyle name="Standaard 58 5 2 2 3 2 2" xfId="39482"/>
    <cellStyle name="Standaard 58 5 2 2 3 3" xfId="39483"/>
    <cellStyle name="Standaard 58 5 2 2 4" xfId="39484"/>
    <cellStyle name="Standaard 58 5 2 2 4 2" xfId="39485"/>
    <cellStyle name="Standaard 58 5 2 2 5" xfId="39486"/>
    <cellStyle name="Standaard 58 5 2 2 6" xfId="39487"/>
    <cellStyle name="Standaard 58 5 2 3" xfId="39488"/>
    <cellStyle name="Standaard 58 5 2 3 2" xfId="39489"/>
    <cellStyle name="Standaard 58 5 2 3 2 2" xfId="39490"/>
    <cellStyle name="Standaard 58 5 2 3 2 2 2" xfId="39491"/>
    <cellStyle name="Standaard 58 5 2 3 2 3" xfId="39492"/>
    <cellStyle name="Standaard 58 5 2 3 3" xfId="39493"/>
    <cellStyle name="Standaard 58 5 2 3 3 2" xfId="39494"/>
    <cellStyle name="Standaard 58 5 2 3 4" xfId="39495"/>
    <cellStyle name="Standaard 58 5 2 4" xfId="39496"/>
    <cellStyle name="Standaard 58 5 2 4 2" xfId="39497"/>
    <cellStyle name="Standaard 58 5 2 4 2 2" xfId="39498"/>
    <cellStyle name="Standaard 58 5 2 4 3" xfId="39499"/>
    <cellStyle name="Standaard 58 5 2 5" xfId="39500"/>
    <cellStyle name="Standaard 58 5 2 5 2" xfId="39501"/>
    <cellStyle name="Standaard 58 5 2 6" xfId="39502"/>
    <cellStyle name="Standaard 58 5 2 7" xfId="39503"/>
    <cellStyle name="Standaard 58 5 3" xfId="39504"/>
    <cellStyle name="Standaard 58 5 3 2" xfId="39505"/>
    <cellStyle name="Standaard 58 5 3 2 2" xfId="39506"/>
    <cellStyle name="Standaard 58 5 3 2 2 2" xfId="39507"/>
    <cellStyle name="Standaard 58 5 3 2 2 2 2" xfId="39508"/>
    <cellStyle name="Standaard 58 5 3 2 2 3" xfId="39509"/>
    <cellStyle name="Standaard 58 5 3 2 3" xfId="39510"/>
    <cellStyle name="Standaard 58 5 3 2 3 2" xfId="39511"/>
    <cellStyle name="Standaard 58 5 3 2 4" xfId="39512"/>
    <cellStyle name="Standaard 58 5 3 3" xfId="39513"/>
    <cellStyle name="Standaard 58 5 3 3 2" xfId="39514"/>
    <cellStyle name="Standaard 58 5 3 3 2 2" xfId="39515"/>
    <cellStyle name="Standaard 58 5 3 3 3" xfId="39516"/>
    <cellStyle name="Standaard 58 5 3 4" xfId="39517"/>
    <cellStyle name="Standaard 58 5 3 4 2" xfId="39518"/>
    <cellStyle name="Standaard 58 5 3 5" xfId="39519"/>
    <cellStyle name="Standaard 58 5 3 6" xfId="39520"/>
    <cellStyle name="Standaard 58 5 4" xfId="39521"/>
    <cellStyle name="Standaard 58 5 4 2" xfId="39522"/>
    <cellStyle name="Standaard 58 5 4 2 2" xfId="39523"/>
    <cellStyle name="Standaard 58 5 4 2 2 2" xfId="39524"/>
    <cellStyle name="Standaard 58 5 4 2 3" xfId="39525"/>
    <cellStyle name="Standaard 58 5 4 3" xfId="39526"/>
    <cellStyle name="Standaard 58 5 4 3 2" xfId="39527"/>
    <cellStyle name="Standaard 58 5 4 4" xfId="39528"/>
    <cellStyle name="Standaard 58 5 5" xfId="39529"/>
    <cellStyle name="Standaard 58 5 5 2" xfId="39530"/>
    <cellStyle name="Standaard 58 5 5 2 2" xfId="39531"/>
    <cellStyle name="Standaard 58 5 5 3" xfId="39532"/>
    <cellStyle name="Standaard 58 5 6" xfId="39533"/>
    <cellStyle name="Standaard 58 5 6 2" xfId="39534"/>
    <cellStyle name="Standaard 58 5 7" xfId="39535"/>
    <cellStyle name="Standaard 58 5 8" xfId="39536"/>
    <cellStyle name="Standaard 58 6" xfId="39537"/>
    <cellStyle name="Standaard 58 6 2" xfId="39538"/>
    <cellStyle name="Standaard 58 6 2 2" xfId="39539"/>
    <cellStyle name="Standaard 58 6 2 2 2" xfId="39540"/>
    <cellStyle name="Standaard 58 6 2 2 2 2" xfId="39541"/>
    <cellStyle name="Standaard 58 6 2 2 2 2 2" xfId="39542"/>
    <cellStyle name="Standaard 58 6 2 2 2 2 2 2" xfId="39543"/>
    <cellStyle name="Standaard 58 6 2 2 2 2 3" xfId="39544"/>
    <cellStyle name="Standaard 58 6 2 2 2 3" xfId="39545"/>
    <cellStyle name="Standaard 58 6 2 2 2 3 2" xfId="39546"/>
    <cellStyle name="Standaard 58 6 2 2 2 4" xfId="39547"/>
    <cellStyle name="Standaard 58 6 2 2 3" xfId="39548"/>
    <cellStyle name="Standaard 58 6 2 2 3 2" xfId="39549"/>
    <cellStyle name="Standaard 58 6 2 2 3 2 2" xfId="39550"/>
    <cellStyle name="Standaard 58 6 2 2 3 3" xfId="39551"/>
    <cellStyle name="Standaard 58 6 2 2 4" xfId="39552"/>
    <cellStyle name="Standaard 58 6 2 2 4 2" xfId="39553"/>
    <cellStyle name="Standaard 58 6 2 2 5" xfId="39554"/>
    <cellStyle name="Standaard 58 6 2 2 6" xfId="39555"/>
    <cellStyle name="Standaard 58 6 2 3" xfId="39556"/>
    <cellStyle name="Standaard 58 6 2 3 2" xfId="39557"/>
    <cellStyle name="Standaard 58 6 2 3 2 2" xfId="39558"/>
    <cellStyle name="Standaard 58 6 2 3 2 2 2" xfId="39559"/>
    <cellStyle name="Standaard 58 6 2 3 2 3" xfId="39560"/>
    <cellStyle name="Standaard 58 6 2 3 3" xfId="39561"/>
    <cellStyle name="Standaard 58 6 2 3 3 2" xfId="39562"/>
    <cellStyle name="Standaard 58 6 2 3 4" xfId="39563"/>
    <cellStyle name="Standaard 58 6 2 4" xfId="39564"/>
    <cellStyle name="Standaard 58 6 2 4 2" xfId="39565"/>
    <cellStyle name="Standaard 58 6 2 4 2 2" xfId="39566"/>
    <cellStyle name="Standaard 58 6 2 4 3" xfId="39567"/>
    <cellStyle name="Standaard 58 6 2 5" xfId="39568"/>
    <cellStyle name="Standaard 58 6 2 5 2" xfId="39569"/>
    <cellStyle name="Standaard 58 6 2 6" xfId="39570"/>
    <cellStyle name="Standaard 58 6 2 7" xfId="39571"/>
    <cellStyle name="Standaard 58 6 3" xfId="39572"/>
    <cellStyle name="Standaard 58 6 3 2" xfId="39573"/>
    <cellStyle name="Standaard 58 6 3 2 2" xfId="39574"/>
    <cellStyle name="Standaard 58 6 3 2 2 2" xfId="39575"/>
    <cellStyle name="Standaard 58 6 3 2 2 2 2" xfId="39576"/>
    <cellStyle name="Standaard 58 6 3 2 2 3" xfId="39577"/>
    <cellStyle name="Standaard 58 6 3 2 3" xfId="39578"/>
    <cellStyle name="Standaard 58 6 3 2 3 2" xfId="39579"/>
    <cellStyle name="Standaard 58 6 3 2 4" xfId="39580"/>
    <cellStyle name="Standaard 58 6 3 3" xfId="39581"/>
    <cellStyle name="Standaard 58 6 3 3 2" xfId="39582"/>
    <cellStyle name="Standaard 58 6 3 3 2 2" xfId="39583"/>
    <cellStyle name="Standaard 58 6 3 3 3" xfId="39584"/>
    <cellStyle name="Standaard 58 6 3 4" xfId="39585"/>
    <cellStyle name="Standaard 58 6 3 4 2" xfId="39586"/>
    <cellStyle name="Standaard 58 6 3 5" xfId="39587"/>
    <cellStyle name="Standaard 58 6 3 6" xfId="39588"/>
    <cellStyle name="Standaard 58 6 4" xfId="39589"/>
    <cellStyle name="Standaard 58 6 4 2" xfId="39590"/>
    <cellStyle name="Standaard 58 6 4 2 2" xfId="39591"/>
    <cellStyle name="Standaard 58 6 4 2 2 2" xfId="39592"/>
    <cellStyle name="Standaard 58 6 4 2 3" xfId="39593"/>
    <cellStyle name="Standaard 58 6 4 3" xfId="39594"/>
    <cellStyle name="Standaard 58 6 4 3 2" xfId="39595"/>
    <cellStyle name="Standaard 58 6 4 4" xfId="39596"/>
    <cellStyle name="Standaard 58 6 5" xfId="39597"/>
    <cellStyle name="Standaard 58 6 5 2" xfId="39598"/>
    <cellStyle name="Standaard 58 6 5 2 2" xfId="39599"/>
    <cellStyle name="Standaard 58 6 5 3" xfId="39600"/>
    <cellStyle name="Standaard 58 6 6" xfId="39601"/>
    <cellStyle name="Standaard 58 6 6 2" xfId="39602"/>
    <cellStyle name="Standaard 58 6 7" xfId="39603"/>
    <cellStyle name="Standaard 58 6 8" xfId="39604"/>
    <cellStyle name="Standaard 58 7" xfId="39605"/>
    <cellStyle name="Standaard 58 7 2" xfId="39606"/>
    <cellStyle name="Standaard 58 7 2 2" xfId="39607"/>
    <cellStyle name="Standaard 58 7 2 2 2" xfId="39608"/>
    <cellStyle name="Standaard 58 7 2 2 2 2" xfId="39609"/>
    <cellStyle name="Standaard 58 7 2 2 2 2 2" xfId="39610"/>
    <cellStyle name="Standaard 58 7 2 2 2 3" xfId="39611"/>
    <cellStyle name="Standaard 58 7 2 2 3" xfId="39612"/>
    <cellStyle name="Standaard 58 7 2 2 3 2" xfId="39613"/>
    <cellStyle name="Standaard 58 7 2 2 4" xfId="39614"/>
    <cellStyle name="Standaard 58 7 2 3" xfId="39615"/>
    <cellStyle name="Standaard 58 7 2 3 2" xfId="39616"/>
    <cellStyle name="Standaard 58 7 2 3 2 2" xfId="39617"/>
    <cellStyle name="Standaard 58 7 2 3 3" xfId="39618"/>
    <cellStyle name="Standaard 58 7 2 4" xfId="39619"/>
    <cellStyle name="Standaard 58 7 2 4 2" xfId="39620"/>
    <cellStyle name="Standaard 58 7 2 5" xfId="39621"/>
    <cellStyle name="Standaard 58 7 2 6" xfId="39622"/>
    <cellStyle name="Standaard 58 7 3" xfId="39623"/>
    <cellStyle name="Standaard 58 7 3 2" xfId="39624"/>
    <cellStyle name="Standaard 58 7 3 2 2" xfId="39625"/>
    <cellStyle name="Standaard 58 7 3 2 2 2" xfId="39626"/>
    <cellStyle name="Standaard 58 7 3 2 3" xfId="39627"/>
    <cellStyle name="Standaard 58 7 3 3" xfId="39628"/>
    <cellStyle name="Standaard 58 7 3 3 2" xfId="39629"/>
    <cellStyle name="Standaard 58 7 3 4" xfId="39630"/>
    <cellStyle name="Standaard 58 7 4" xfId="39631"/>
    <cellStyle name="Standaard 58 7 4 2" xfId="39632"/>
    <cellStyle name="Standaard 58 7 4 2 2" xfId="39633"/>
    <cellStyle name="Standaard 58 7 4 3" xfId="39634"/>
    <cellStyle name="Standaard 58 7 5" xfId="39635"/>
    <cellStyle name="Standaard 58 7 5 2" xfId="39636"/>
    <cellStyle name="Standaard 58 7 6" xfId="39637"/>
    <cellStyle name="Standaard 58 7 7" xfId="39638"/>
    <cellStyle name="Standaard 58 8" xfId="39639"/>
    <cellStyle name="Standaard 58 8 2" xfId="39640"/>
    <cellStyle name="Standaard 58 8 2 2" xfId="39641"/>
    <cellStyle name="Standaard 58 8 2 2 2" xfId="39642"/>
    <cellStyle name="Standaard 58 8 2 2 2 2" xfId="39643"/>
    <cellStyle name="Standaard 58 8 2 2 3" xfId="39644"/>
    <cellStyle name="Standaard 58 8 2 3" xfId="39645"/>
    <cellStyle name="Standaard 58 8 2 3 2" xfId="39646"/>
    <cellStyle name="Standaard 58 8 2 4" xfId="39647"/>
    <cellStyle name="Standaard 58 8 3" xfId="39648"/>
    <cellStyle name="Standaard 58 8 3 2" xfId="39649"/>
    <cellStyle name="Standaard 58 8 3 2 2" xfId="39650"/>
    <cellStyle name="Standaard 58 8 3 3" xfId="39651"/>
    <cellStyle name="Standaard 58 8 4" xfId="39652"/>
    <cellStyle name="Standaard 58 8 4 2" xfId="39653"/>
    <cellStyle name="Standaard 58 8 5" xfId="39654"/>
    <cellStyle name="Standaard 58 8 6" xfId="39655"/>
    <cellStyle name="Standaard 58 9" xfId="39656"/>
    <cellStyle name="Standaard 58 9 2" xfId="39657"/>
    <cellStyle name="Standaard 58 9 2 2" xfId="39658"/>
    <cellStyle name="Standaard 58 9 2 2 2" xfId="39659"/>
    <cellStyle name="Standaard 58 9 2 3" xfId="39660"/>
    <cellStyle name="Standaard 58 9 3" xfId="39661"/>
    <cellStyle name="Standaard 58 9 3 2" xfId="39662"/>
    <cellStyle name="Standaard 58 9 4" xfId="39663"/>
    <cellStyle name="Standaard 59" xfId="39664"/>
    <cellStyle name="Standaard 59 10" xfId="39665"/>
    <cellStyle name="Standaard 59 10 2" xfId="39666"/>
    <cellStyle name="Standaard 59 10 2 2" xfId="39667"/>
    <cellStyle name="Standaard 59 10 3" xfId="39668"/>
    <cellStyle name="Standaard 59 11" xfId="39669"/>
    <cellStyle name="Standaard 59 11 2" xfId="39670"/>
    <cellStyle name="Standaard 59 12" xfId="39671"/>
    <cellStyle name="Standaard 59 13" xfId="39672"/>
    <cellStyle name="Standaard 59 2" xfId="39673"/>
    <cellStyle name="Standaard 59 2 10" xfId="39674"/>
    <cellStyle name="Standaard 59 2 10 2" xfId="39675"/>
    <cellStyle name="Standaard 59 2 11" xfId="39676"/>
    <cellStyle name="Standaard 59 2 12" xfId="39677"/>
    <cellStyle name="Standaard 59 2 2" xfId="39678"/>
    <cellStyle name="Standaard 59 2 2 10" xfId="39679"/>
    <cellStyle name="Standaard 59 2 2 11" xfId="39680"/>
    <cellStyle name="Standaard 59 2 2 2" xfId="39681"/>
    <cellStyle name="Standaard 59 2 2 2 2" xfId="39682"/>
    <cellStyle name="Standaard 59 2 2 2 2 2" xfId="39683"/>
    <cellStyle name="Standaard 59 2 2 2 2 2 2" xfId="39684"/>
    <cellStyle name="Standaard 59 2 2 2 2 2 2 2" xfId="39685"/>
    <cellStyle name="Standaard 59 2 2 2 2 2 2 2 2" xfId="39686"/>
    <cellStyle name="Standaard 59 2 2 2 2 2 2 2 2 2" xfId="39687"/>
    <cellStyle name="Standaard 59 2 2 2 2 2 2 2 2 2 2" xfId="39688"/>
    <cellStyle name="Standaard 59 2 2 2 2 2 2 2 2 3" xfId="39689"/>
    <cellStyle name="Standaard 59 2 2 2 2 2 2 2 3" xfId="39690"/>
    <cellStyle name="Standaard 59 2 2 2 2 2 2 2 3 2" xfId="39691"/>
    <cellStyle name="Standaard 59 2 2 2 2 2 2 2 4" xfId="39692"/>
    <cellStyle name="Standaard 59 2 2 2 2 2 2 3" xfId="39693"/>
    <cellStyle name="Standaard 59 2 2 2 2 2 2 3 2" xfId="39694"/>
    <cellStyle name="Standaard 59 2 2 2 2 2 2 3 2 2" xfId="39695"/>
    <cellStyle name="Standaard 59 2 2 2 2 2 2 3 3" xfId="39696"/>
    <cellStyle name="Standaard 59 2 2 2 2 2 2 4" xfId="39697"/>
    <cellStyle name="Standaard 59 2 2 2 2 2 2 4 2" xfId="39698"/>
    <cellStyle name="Standaard 59 2 2 2 2 2 2 5" xfId="39699"/>
    <cellStyle name="Standaard 59 2 2 2 2 2 2 6" xfId="39700"/>
    <cellStyle name="Standaard 59 2 2 2 2 2 3" xfId="39701"/>
    <cellStyle name="Standaard 59 2 2 2 2 2 3 2" xfId="39702"/>
    <cellStyle name="Standaard 59 2 2 2 2 2 3 2 2" xfId="39703"/>
    <cellStyle name="Standaard 59 2 2 2 2 2 3 2 2 2" xfId="39704"/>
    <cellStyle name="Standaard 59 2 2 2 2 2 3 2 3" xfId="39705"/>
    <cellStyle name="Standaard 59 2 2 2 2 2 3 3" xfId="39706"/>
    <cellStyle name="Standaard 59 2 2 2 2 2 3 3 2" xfId="39707"/>
    <cellStyle name="Standaard 59 2 2 2 2 2 3 4" xfId="39708"/>
    <cellStyle name="Standaard 59 2 2 2 2 2 4" xfId="39709"/>
    <cellStyle name="Standaard 59 2 2 2 2 2 4 2" xfId="39710"/>
    <cellStyle name="Standaard 59 2 2 2 2 2 4 2 2" xfId="39711"/>
    <cellStyle name="Standaard 59 2 2 2 2 2 4 3" xfId="39712"/>
    <cellStyle name="Standaard 59 2 2 2 2 2 5" xfId="39713"/>
    <cellStyle name="Standaard 59 2 2 2 2 2 5 2" xfId="39714"/>
    <cellStyle name="Standaard 59 2 2 2 2 2 6" xfId="39715"/>
    <cellStyle name="Standaard 59 2 2 2 2 2 7" xfId="39716"/>
    <cellStyle name="Standaard 59 2 2 2 2 3" xfId="39717"/>
    <cellStyle name="Standaard 59 2 2 2 2 3 2" xfId="39718"/>
    <cellStyle name="Standaard 59 2 2 2 2 3 2 2" xfId="39719"/>
    <cellStyle name="Standaard 59 2 2 2 2 3 2 2 2" xfId="39720"/>
    <cellStyle name="Standaard 59 2 2 2 2 3 2 2 2 2" xfId="39721"/>
    <cellStyle name="Standaard 59 2 2 2 2 3 2 2 3" xfId="39722"/>
    <cellStyle name="Standaard 59 2 2 2 2 3 2 3" xfId="39723"/>
    <cellStyle name="Standaard 59 2 2 2 2 3 2 3 2" xfId="39724"/>
    <cellStyle name="Standaard 59 2 2 2 2 3 2 4" xfId="39725"/>
    <cellStyle name="Standaard 59 2 2 2 2 3 3" xfId="39726"/>
    <cellStyle name="Standaard 59 2 2 2 2 3 3 2" xfId="39727"/>
    <cellStyle name="Standaard 59 2 2 2 2 3 3 2 2" xfId="39728"/>
    <cellStyle name="Standaard 59 2 2 2 2 3 3 3" xfId="39729"/>
    <cellStyle name="Standaard 59 2 2 2 2 3 4" xfId="39730"/>
    <cellStyle name="Standaard 59 2 2 2 2 3 4 2" xfId="39731"/>
    <cellStyle name="Standaard 59 2 2 2 2 3 5" xfId="39732"/>
    <cellStyle name="Standaard 59 2 2 2 2 3 6" xfId="39733"/>
    <cellStyle name="Standaard 59 2 2 2 2 4" xfId="39734"/>
    <cellStyle name="Standaard 59 2 2 2 2 4 2" xfId="39735"/>
    <cellStyle name="Standaard 59 2 2 2 2 4 2 2" xfId="39736"/>
    <cellStyle name="Standaard 59 2 2 2 2 4 2 2 2" xfId="39737"/>
    <cellStyle name="Standaard 59 2 2 2 2 4 2 3" xfId="39738"/>
    <cellStyle name="Standaard 59 2 2 2 2 4 3" xfId="39739"/>
    <cellStyle name="Standaard 59 2 2 2 2 4 3 2" xfId="39740"/>
    <cellStyle name="Standaard 59 2 2 2 2 4 4" xfId="39741"/>
    <cellStyle name="Standaard 59 2 2 2 2 5" xfId="39742"/>
    <cellStyle name="Standaard 59 2 2 2 2 5 2" xfId="39743"/>
    <cellStyle name="Standaard 59 2 2 2 2 5 2 2" xfId="39744"/>
    <cellStyle name="Standaard 59 2 2 2 2 5 3" xfId="39745"/>
    <cellStyle name="Standaard 59 2 2 2 2 6" xfId="39746"/>
    <cellStyle name="Standaard 59 2 2 2 2 6 2" xfId="39747"/>
    <cellStyle name="Standaard 59 2 2 2 2 7" xfId="39748"/>
    <cellStyle name="Standaard 59 2 2 2 2 8" xfId="39749"/>
    <cellStyle name="Standaard 59 2 2 2 3" xfId="39750"/>
    <cellStyle name="Standaard 59 2 2 2 3 2" xfId="39751"/>
    <cellStyle name="Standaard 59 2 2 2 3 2 2" xfId="39752"/>
    <cellStyle name="Standaard 59 2 2 2 3 2 2 2" xfId="39753"/>
    <cellStyle name="Standaard 59 2 2 2 3 2 2 2 2" xfId="39754"/>
    <cellStyle name="Standaard 59 2 2 2 3 2 2 2 2 2" xfId="39755"/>
    <cellStyle name="Standaard 59 2 2 2 3 2 2 2 3" xfId="39756"/>
    <cellStyle name="Standaard 59 2 2 2 3 2 2 3" xfId="39757"/>
    <cellStyle name="Standaard 59 2 2 2 3 2 2 3 2" xfId="39758"/>
    <cellStyle name="Standaard 59 2 2 2 3 2 2 4" xfId="39759"/>
    <cellStyle name="Standaard 59 2 2 2 3 2 3" xfId="39760"/>
    <cellStyle name="Standaard 59 2 2 2 3 2 3 2" xfId="39761"/>
    <cellStyle name="Standaard 59 2 2 2 3 2 3 2 2" xfId="39762"/>
    <cellStyle name="Standaard 59 2 2 2 3 2 3 3" xfId="39763"/>
    <cellStyle name="Standaard 59 2 2 2 3 2 4" xfId="39764"/>
    <cellStyle name="Standaard 59 2 2 2 3 2 4 2" xfId="39765"/>
    <cellStyle name="Standaard 59 2 2 2 3 2 5" xfId="39766"/>
    <cellStyle name="Standaard 59 2 2 2 3 2 6" xfId="39767"/>
    <cellStyle name="Standaard 59 2 2 2 3 3" xfId="39768"/>
    <cellStyle name="Standaard 59 2 2 2 3 3 2" xfId="39769"/>
    <cellStyle name="Standaard 59 2 2 2 3 3 2 2" xfId="39770"/>
    <cellStyle name="Standaard 59 2 2 2 3 3 2 2 2" xfId="39771"/>
    <cellStyle name="Standaard 59 2 2 2 3 3 2 3" xfId="39772"/>
    <cellStyle name="Standaard 59 2 2 2 3 3 3" xfId="39773"/>
    <cellStyle name="Standaard 59 2 2 2 3 3 3 2" xfId="39774"/>
    <cellStyle name="Standaard 59 2 2 2 3 3 4" xfId="39775"/>
    <cellStyle name="Standaard 59 2 2 2 3 4" xfId="39776"/>
    <cellStyle name="Standaard 59 2 2 2 3 4 2" xfId="39777"/>
    <cellStyle name="Standaard 59 2 2 2 3 4 2 2" xfId="39778"/>
    <cellStyle name="Standaard 59 2 2 2 3 4 3" xfId="39779"/>
    <cellStyle name="Standaard 59 2 2 2 3 5" xfId="39780"/>
    <cellStyle name="Standaard 59 2 2 2 3 5 2" xfId="39781"/>
    <cellStyle name="Standaard 59 2 2 2 3 6" xfId="39782"/>
    <cellStyle name="Standaard 59 2 2 2 3 7" xfId="39783"/>
    <cellStyle name="Standaard 59 2 2 2 4" xfId="39784"/>
    <cellStyle name="Standaard 59 2 2 2 4 2" xfId="39785"/>
    <cellStyle name="Standaard 59 2 2 2 4 2 2" xfId="39786"/>
    <cellStyle name="Standaard 59 2 2 2 4 2 2 2" xfId="39787"/>
    <cellStyle name="Standaard 59 2 2 2 4 2 2 2 2" xfId="39788"/>
    <cellStyle name="Standaard 59 2 2 2 4 2 2 3" xfId="39789"/>
    <cellStyle name="Standaard 59 2 2 2 4 2 3" xfId="39790"/>
    <cellStyle name="Standaard 59 2 2 2 4 2 3 2" xfId="39791"/>
    <cellStyle name="Standaard 59 2 2 2 4 2 4" xfId="39792"/>
    <cellStyle name="Standaard 59 2 2 2 4 3" xfId="39793"/>
    <cellStyle name="Standaard 59 2 2 2 4 3 2" xfId="39794"/>
    <cellStyle name="Standaard 59 2 2 2 4 3 2 2" xfId="39795"/>
    <cellStyle name="Standaard 59 2 2 2 4 3 3" xfId="39796"/>
    <cellStyle name="Standaard 59 2 2 2 4 4" xfId="39797"/>
    <cellStyle name="Standaard 59 2 2 2 4 4 2" xfId="39798"/>
    <cellStyle name="Standaard 59 2 2 2 4 5" xfId="39799"/>
    <cellStyle name="Standaard 59 2 2 2 4 6" xfId="39800"/>
    <cellStyle name="Standaard 59 2 2 2 5" xfId="39801"/>
    <cellStyle name="Standaard 59 2 2 2 5 2" xfId="39802"/>
    <cellStyle name="Standaard 59 2 2 2 5 2 2" xfId="39803"/>
    <cellStyle name="Standaard 59 2 2 2 5 2 2 2" xfId="39804"/>
    <cellStyle name="Standaard 59 2 2 2 5 2 3" xfId="39805"/>
    <cellStyle name="Standaard 59 2 2 2 5 3" xfId="39806"/>
    <cellStyle name="Standaard 59 2 2 2 5 3 2" xfId="39807"/>
    <cellStyle name="Standaard 59 2 2 2 5 4" xfId="39808"/>
    <cellStyle name="Standaard 59 2 2 2 6" xfId="39809"/>
    <cellStyle name="Standaard 59 2 2 2 6 2" xfId="39810"/>
    <cellStyle name="Standaard 59 2 2 2 6 2 2" xfId="39811"/>
    <cellStyle name="Standaard 59 2 2 2 6 3" xfId="39812"/>
    <cellStyle name="Standaard 59 2 2 2 7" xfId="39813"/>
    <cellStyle name="Standaard 59 2 2 2 7 2" xfId="39814"/>
    <cellStyle name="Standaard 59 2 2 2 8" xfId="39815"/>
    <cellStyle name="Standaard 59 2 2 2 9" xfId="39816"/>
    <cellStyle name="Standaard 59 2 2 3" xfId="39817"/>
    <cellStyle name="Standaard 59 2 2 3 2" xfId="39818"/>
    <cellStyle name="Standaard 59 2 2 3 2 2" xfId="39819"/>
    <cellStyle name="Standaard 59 2 2 3 2 2 2" xfId="39820"/>
    <cellStyle name="Standaard 59 2 2 3 2 2 2 2" xfId="39821"/>
    <cellStyle name="Standaard 59 2 2 3 2 2 2 2 2" xfId="39822"/>
    <cellStyle name="Standaard 59 2 2 3 2 2 2 2 2 2" xfId="39823"/>
    <cellStyle name="Standaard 59 2 2 3 2 2 2 2 3" xfId="39824"/>
    <cellStyle name="Standaard 59 2 2 3 2 2 2 3" xfId="39825"/>
    <cellStyle name="Standaard 59 2 2 3 2 2 2 3 2" xfId="39826"/>
    <cellStyle name="Standaard 59 2 2 3 2 2 2 4" xfId="39827"/>
    <cellStyle name="Standaard 59 2 2 3 2 2 3" xfId="39828"/>
    <cellStyle name="Standaard 59 2 2 3 2 2 3 2" xfId="39829"/>
    <cellStyle name="Standaard 59 2 2 3 2 2 3 2 2" xfId="39830"/>
    <cellStyle name="Standaard 59 2 2 3 2 2 3 3" xfId="39831"/>
    <cellStyle name="Standaard 59 2 2 3 2 2 4" xfId="39832"/>
    <cellStyle name="Standaard 59 2 2 3 2 2 4 2" xfId="39833"/>
    <cellStyle name="Standaard 59 2 2 3 2 2 5" xfId="39834"/>
    <cellStyle name="Standaard 59 2 2 3 2 2 6" xfId="39835"/>
    <cellStyle name="Standaard 59 2 2 3 2 3" xfId="39836"/>
    <cellStyle name="Standaard 59 2 2 3 2 3 2" xfId="39837"/>
    <cellStyle name="Standaard 59 2 2 3 2 3 2 2" xfId="39838"/>
    <cellStyle name="Standaard 59 2 2 3 2 3 2 2 2" xfId="39839"/>
    <cellStyle name="Standaard 59 2 2 3 2 3 2 3" xfId="39840"/>
    <cellStyle name="Standaard 59 2 2 3 2 3 3" xfId="39841"/>
    <cellStyle name="Standaard 59 2 2 3 2 3 3 2" xfId="39842"/>
    <cellStyle name="Standaard 59 2 2 3 2 3 4" xfId="39843"/>
    <cellStyle name="Standaard 59 2 2 3 2 4" xfId="39844"/>
    <cellStyle name="Standaard 59 2 2 3 2 4 2" xfId="39845"/>
    <cellStyle name="Standaard 59 2 2 3 2 4 2 2" xfId="39846"/>
    <cellStyle name="Standaard 59 2 2 3 2 4 3" xfId="39847"/>
    <cellStyle name="Standaard 59 2 2 3 2 5" xfId="39848"/>
    <cellStyle name="Standaard 59 2 2 3 2 5 2" xfId="39849"/>
    <cellStyle name="Standaard 59 2 2 3 2 6" xfId="39850"/>
    <cellStyle name="Standaard 59 2 2 3 2 7" xfId="39851"/>
    <cellStyle name="Standaard 59 2 2 3 3" xfId="39852"/>
    <cellStyle name="Standaard 59 2 2 3 3 2" xfId="39853"/>
    <cellStyle name="Standaard 59 2 2 3 3 2 2" xfId="39854"/>
    <cellStyle name="Standaard 59 2 2 3 3 2 2 2" xfId="39855"/>
    <cellStyle name="Standaard 59 2 2 3 3 2 2 2 2" xfId="39856"/>
    <cellStyle name="Standaard 59 2 2 3 3 2 2 3" xfId="39857"/>
    <cellStyle name="Standaard 59 2 2 3 3 2 3" xfId="39858"/>
    <cellStyle name="Standaard 59 2 2 3 3 2 3 2" xfId="39859"/>
    <cellStyle name="Standaard 59 2 2 3 3 2 4" xfId="39860"/>
    <cellStyle name="Standaard 59 2 2 3 3 3" xfId="39861"/>
    <cellStyle name="Standaard 59 2 2 3 3 3 2" xfId="39862"/>
    <cellStyle name="Standaard 59 2 2 3 3 3 2 2" xfId="39863"/>
    <cellStyle name="Standaard 59 2 2 3 3 3 3" xfId="39864"/>
    <cellStyle name="Standaard 59 2 2 3 3 4" xfId="39865"/>
    <cellStyle name="Standaard 59 2 2 3 3 4 2" xfId="39866"/>
    <cellStyle name="Standaard 59 2 2 3 3 5" xfId="39867"/>
    <cellStyle name="Standaard 59 2 2 3 3 6" xfId="39868"/>
    <cellStyle name="Standaard 59 2 2 3 4" xfId="39869"/>
    <cellStyle name="Standaard 59 2 2 3 4 2" xfId="39870"/>
    <cellStyle name="Standaard 59 2 2 3 4 2 2" xfId="39871"/>
    <cellStyle name="Standaard 59 2 2 3 4 2 2 2" xfId="39872"/>
    <cellStyle name="Standaard 59 2 2 3 4 2 3" xfId="39873"/>
    <cellStyle name="Standaard 59 2 2 3 4 3" xfId="39874"/>
    <cellStyle name="Standaard 59 2 2 3 4 3 2" xfId="39875"/>
    <cellStyle name="Standaard 59 2 2 3 4 4" xfId="39876"/>
    <cellStyle name="Standaard 59 2 2 3 5" xfId="39877"/>
    <cellStyle name="Standaard 59 2 2 3 5 2" xfId="39878"/>
    <cellStyle name="Standaard 59 2 2 3 5 2 2" xfId="39879"/>
    <cellStyle name="Standaard 59 2 2 3 5 3" xfId="39880"/>
    <cellStyle name="Standaard 59 2 2 3 6" xfId="39881"/>
    <cellStyle name="Standaard 59 2 2 3 6 2" xfId="39882"/>
    <cellStyle name="Standaard 59 2 2 3 7" xfId="39883"/>
    <cellStyle name="Standaard 59 2 2 3 8" xfId="39884"/>
    <cellStyle name="Standaard 59 2 2 4" xfId="39885"/>
    <cellStyle name="Standaard 59 2 2 4 2" xfId="39886"/>
    <cellStyle name="Standaard 59 2 2 4 2 2" xfId="39887"/>
    <cellStyle name="Standaard 59 2 2 4 2 2 2" xfId="39888"/>
    <cellStyle name="Standaard 59 2 2 4 2 2 2 2" xfId="39889"/>
    <cellStyle name="Standaard 59 2 2 4 2 2 2 2 2" xfId="39890"/>
    <cellStyle name="Standaard 59 2 2 4 2 2 2 2 2 2" xfId="39891"/>
    <cellStyle name="Standaard 59 2 2 4 2 2 2 2 3" xfId="39892"/>
    <cellStyle name="Standaard 59 2 2 4 2 2 2 3" xfId="39893"/>
    <cellStyle name="Standaard 59 2 2 4 2 2 2 3 2" xfId="39894"/>
    <cellStyle name="Standaard 59 2 2 4 2 2 2 4" xfId="39895"/>
    <cellStyle name="Standaard 59 2 2 4 2 2 3" xfId="39896"/>
    <cellStyle name="Standaard 59 2 2 4 2 2 3 2" xfId="39897"/>
    <cellStyle name="Standaard 59 2 2 4 2 2 3 2 2" xfId="39898"/>
    <cellStyle name="Standaard 59 2 2 4 2 2 3 3" xfId="39899"/>
    <cellStyle name="Standaard 59 2 2 4 2 2 4" xfId="39900"/>
    <cellStyle name="Standaard 59 2 2 4 2 2 4 2" xfId="39901"/>
    <cellStyle name="Standaard 59 2 2 4 2 2 5" xfId="39902"/>
    <cellStyle name="Standaard 59 2 2 4 2 2 6" xfId="39903"/>
    <cellStyle name="Standaard 59 2 2 4 2 3" xfId="39904"/>
    <cellStyle name="Standaard 59 2 2 4 2 3 2" xfId="39905"/>
    <cellStyle name="Standaard 59 2 2 4 2 3 2 2" xfId="39906"/>
    <cellStyle name="Standaard 59 2 2 4 2 3 2 2 2" xfId="39907"/>
    <cellStyle name="Standaard 59 2 2 4 2 3 2 3" xfId="39908"/>
    <cellStyle name="Standaard 59 2 2 4 2 3 3" xfId="39909"/>
    <cellStyle name="Standaard 59 2 2 4 2 3 3 2" xfId="39910"/>
    <cellStyle name="Standaard 59 2 2 4 2 3 4" xfId="39911"/>
    <cellStyle name="Standaard 59 2 2 4 2 4" xfId="39912"/>
    <cellStyle name="Standaard 59 2 2 4 2 4 2" xfId="39913"/>
    <cellStyle name="Standaard 59 2 2 4 2 4 2 2" xfId="39914"/>
    <cellStyle name="Standaard 59 2 2 4 2 4 3" xfId="39915"/>
    <cellStyle name="Standaard 59 2 2 4 2 5" xfId="39916"/>
    <cellStyle name="Standaard 59 2 2 4 2 5 2" xfId="39917"/>
    <cellStyle name="Standaard 59 2 2 4 2 6" xfId="39918"/>
    <cellStyle name="Standaard 59 2 2 4 2 7" xfId="39919"/>
    <cellStyle name="Standaard 59 2 2 4 3" xfId="39920"/>
    <cellStyle name="Standaard 59 2 2 4 3 2" xfId="39921"/>
    <cellStyle name="Standaard 59 2 2 4 3 2 2" xfId="39922"/>
    <cellStyle name="Standaard 59 2 2 4 3 2 2 2" xfId="39923"/>
    <cellStyle name="Standaard 59 2 2 4 3 2 2 2 2" xfId="39924"/>
    <cellStyle name="Standaard 59 2 2 4 3 2 2 3" xfId="39925"/>
    <cellStyle name="Standaard 59 2 2 4 3 2 3" xfId="39926"/>
    <cellStyle name="Standaard 59 2 2 4 3 2 3 2" xfId="39927"/>
    <cellStyle name="Standaard 59 2 2 4 3 2 4" xfId="39928"/>
    <cellStyle name="Standaard 59 2 2 4 3 3" xfId="39929"/>
    <cellStyle name="Standaard 59 2 2 4 3 3 2" xfId="39930"/>
    <cellStyle name="Standaard 59 2 2 4 3 3 2 2" xfId="39931"/>
    <cellStyle name="Standaard 59 2 2 4 3 3 3" xfId="39932"/>
    <cellStyle name="Standaard 59 2 2 4 3 4" xfId="39933"/>
    <cellStyle name="Standaard 59 2 2 4 3 4 2" xfId="39934"/>
    <cellStyle name="Standaard 59 2 2 4 3 5" xfId="39935"/>
    <cellStyle name="Standaard 59 2 2 4 3 6" xfId="39936"/>
    <cellStyle name="Standaard 59 2 2 4 4" xfId="39937"/>
    <cellStyle name="Standaard 59 2 2 4 4 2" xfId="39938"/>
    <cellStyle name="Standaard 59 2 2 4 4 2 2" xfId="39939"/>
    <cellStyle name="Standaard 59 2 2 4 4 2 2 2" xfId="39940"/>
    <cellStyle name="Standaard 59 2 2 4 4 2 3" xfId="39941"/>
    <cellStyle name="Standaard 59 2 2 4 4 3" xfId="39942"/>
    <cellStyle name="Standaard 59 2 2 4 4 3 2" xfId="39943"/>
    <cellStyle name="Standaard 59 2 2 4 4 4" xfId="39944"/>
    <cellStyle name="Standaard 59 2 2 4 5" xfId="39945"/>
    <cellStyle name="Standaard 59 2 2 4 5 2" xfId="39946"/>
    <cellStyle name="Standaard 59 2 2 4 5 2 2" xfId="39947"/>
    <cellStyle name="Standaard 59 2 2 4 5 3" xfId="39948"/>
    <cellStyle name="Standaard 59 2 2 4 6" xfId="39949"/>
    <cellStyle name="Standaard 59 2 2 4 6 2" xfId="39950"/>
    <cellStyle name="Standaard 59 2 2 4 7" xfId="39951"/>
    <cellStyle name="Standaard 59 2 2 4 8" xfId="39952"/>
    <cellStyle name="Standaard 59 2 2 5" xfId="39953"/>
    <cellStyle name="Standaard 59 2 2 5 2" xfId="39954"/>
    <cellStyle name="Standaard 59 2 2 5 2 2" xfId="39955"/>
    <cellStyle name="Standaard 59 2 2 5 2 2 2" xfId="39956"/>
    <cellStyle name="Standaard 59 2 2 5 2 2 2 2" xfId="39957"/>
    <cellStyle name="Standaard 59 2 2 5 2 2 2 2 2" xfId="39958"/>
    <cellStyle name="Standaard 59 2 2 5 2 2 2 3" xfId="39959"/>
    <cellStyle name="Standaard 59 2 2 5 2 2 3" xfId="39960"/>
    <cellStyle name="Standaard 59 2 2 5 2 2 3 2" xfId="39961"/>
    <cellStyle name="Standaard 59 2 2 5 2 2 4" xfId="39962"/>
    <cellStyle name="Standaard 59 2 2 5 2 3" xfId="39963"/>
    <cellStyle name="Standaard 59 2 2 5 2 3 2" xfId="39964"/>
    <cellStyle name="Standaard 59 2 2 5 2 3 2 2" xfId="39965"/>
    <cellStyle name="Standaard 59 2 2 5 2 3 3" xfId="39966"/>
    <cellStyle name="Standaard 59 2 2 5 2 4" xfId="39967"/>
    <cellStyle name="Standaard 59 2 2 5 2 4 2" xfId="39968"/>
    <cellStyle name="Standaard 59 2 2 5 2 5" xfId="39969"/>
    <cellStyle name="Standaard 59 2 2 5 2 6" xfId="39970"/>
    <cellStyle name="Standaard 59 2 2 5 3" xfId="39971"/>
    <cellStyle name="Standaard 59 2 2 5 3 2" xfId="39972"/>
    <cellStyle name="Standaard 59 2 2 5 3 2 2" xfId="39973"/>
    <cellStyle name="Standaard 59 2 2 5 3 2 2 2" xfId="39974"/>
    <cellStyle name="Standaard 59 2 2 5 3 2 3" xfId="39975"/>
    <cellStyle name="Standaard 59 2 2 5 3 3" xfId="39976"/>
    <cellStyle name="Standaard 59 2 2 5 3 3 2" xfId="39977"/>
    <cellStyle name="Standaard 59 2 2 5 3 4" xfId="39978"/>
    <cellStyle name="Standaard 59 2 2 5 4" xfId="39979"/>
    <cellStyle name="Standaard 59 2 2 5 4 2" xfId="39980"/>
    <cellStyle name="Standaard 59 2 2 5 4 2 2" xfId="39981"/>
    <cellStyle name="Standaard 59 2 2 5 4 3" xfId="39982"/>
    <cellStyle name="Standaard 59 2 2 5 5" xfId="39983"/>
    <cellStyle name="Standaard 59 2 2 5 5 2" xfId="39984"/>
    <cellStyle name="Standaard 59 2 2 5 6" xfId="39985"/>
    <cellStyle name="Standaard 59 2 2 5 7" xfId="39986"/>
    <cellStyle name="Standaard 59 2 2 6" xfId="39987"/>
    <cellStyle name="Standaard 59 2 2 6 2" xfId="39988"/>
    <cellStyle name="Standaard 59 2 2 6 2 2" xfId="39989"/>
    <cellStyle name="Standaard 59 2 2 6 2 2 2" xfId="39990"/>
    <cellStyle name="Standaard 59 2 2 6 2 2 2 2" xfId="39991"/>
    <cellStyle name="Standaard 59 2 2 6 2 2 3" xfId="39992"/>
    <cellStyle name="Standaard 59 2 2 6 2 3" xfId="39993"/>
    <cellStyle name="Standaard 59 2 2 6 2 3 2" xfId="39994"/>
    <cellStyle name="Standaard 59 2 2 6 2 4" xfId="39995"/>
    <cellStyle name="Standaard 59 2 2 6 3" xfId="39996"/>
    <cellStyle name="Standaard 59 2 2 6 3 2" xfId="39997"/>
    <cellStyle name="Standaard 59 2 2 6 3 2 2" xfId="39998"/>
    <cellStyle name="Standaard 59 2 2 6 3 3" xfId="39999"/>
    <cellStyle name="Standaard 59 2 2 6 4" xfId="40000"/>
    <cellStyle name="Standaard 59 2 2 6 4 2" xfId="40001"/>
    <cellStyle name="Standaard 59 2 2 6 5" xfId="40002"/>
    <cellStyle name="Standaard 59 2 2 6 6" xfId="40003"/>
    <cellStyle name="Standaard 59 2 2 7" xfId="40004"/>
    <cellStyle name="Standaard 59 2 2 7 2" xfId="40005"/>
    <cellStyle name="Standaard 59 2 2 7 2 2" xfId="40006"/>
    <cellStyle name="Standaard 59 2 2 7 2 2 2" xfId="40007"/>
    <cellStyle name="Standaard 59 2 2 7 2 3" xfId="40008"/>
    <cellStyle name="Standaard 59 2 2 7 3" xfId="40009"/>
    <cellStyle name="Standaard 59 2 2 7 3 2" xfId="40010"/>
    <cellStyle name="Standaard 59 2 2 7 4" xfId="40011"/>
    <cellStyle name="Standaard 59 2 2 8" xfId="40012"/>
    <cellStyle name="Standaard 59 2 2 8 2" xfId="40013"/>
    <cellStyle name="Standaard 59 2 2 8 2 2" xfId="40014"/>
    <cellStyle name="Standaard 59 2 2 8 3" xfId="40015"/>
    <cellStyle name="Standaard 59 2 2 9" xfId="40016"/>
    <cellStyle name="Standaard 59 2 2 9 2" xfId="40017"/>
    <cellStyle name="Standaard 59 2 3" xfId="40018"/>
    <cellStyle name="Standaard 59 2 3 2" xfId="40019"/>
    <cellStyle name="Standaard 59 2 3 2 2" xfId="40020"/>
    <cellStyle name="Standaard 59 2 3 2 2 2" xfId="40021"/>
    <cellStyle name="Standaard 59 2 3 2 2 2 2" xfId="40022"/>
    <cellStyle name="Standaard 59 2 3 2 2 2 2 2" xfId="40023"/>
    <cellStyle name="Standaard 59 2 3 2 2 2 2 2 2" xfId="40024"/>
    <cellStyle name="Standaard 59 2 3 2 2 2 2 2 2 2" xfId="40025"/>
    <cellStyle name="Standaard 59 2 3 2 2 2 2 2 3" xfId="40026"/>
    <cellStyle name="Standaard 59 2 3 2 2 2 2 3" xfId="40027"/>
    <cellStyle name="Standaard 59 2 3 2 2 2 2 3 2" xfId="40028"/>
    <cellStyle name="Standaard 59 2 3 2 2 2 2 4" xfId="40029"/>
    <cellStyle name="Standaard 59 2 3 2 2 2 3" xfId="40030"/>
    <cellStyle name="Standaard 59 2 3 2 2 2 3 2" xfId="40031"/>
    <cellStyle name="Standaard 59 2 3 2 2 2 3 2 2" xfId="40032"/>
    <cellStyle name="Standaard 59 2 3 2 2 2 3 3" xfId="40033"/>
    <cellStyle name="Standaard 59 2 3 2 2 2 4" xfId="40034"/>
    <cellStyle name="Standaard 59 2 3 2 2 2 4 2" xfId="40035"/>
    <cellStyle name="Standaard 59 2 3 2 2 2 5" xfId="40036"/>
    <cellStyle name="Standaard 59 2 3 2 2 2 6" xfId="40037"/>
    <cellStyle name="Standaard 59 2 3 2 2 3" xfId="40038"/>
    <cellStyle name="Standaard 59 2 3 2 2 3 2" xfId="40039"/>
    <cellStyle name="Standaard 59 2 3 2 2 3 2 2" xfId="40040"/>
    <cellStyle name="Standaard 59 2 3 2 2 3 2 2 2" xfId="40041"/>
    <cellStyle name="Standaard 59 2 3 2 2 3 2 3" xfId="40042"/>
    <cellStyle name="Standaard 59 2 3 2 2 3 3" xfId="40043"/>
    <cellStyle name="Standaard 59 2 3 2 2 3 3 2" xfId="40044"/>
    <cellStyle name="Standaard 59 2 3 2 2 3 4" xfId="40045"/>
    <cellStyle name="Standaard 59 2 3 2 2 4" xfId="40046"/>
    <cellStyle name="Standaard 59 2 3 2 2 4 2" xfId="40047"/>
    <cellStyle name="Standaard 59 2 3 2 2 4 2 2" xfId="40048"/>
    <cellStyle name="Standaard 59 2 3 2 2 4 3" xfId="40049"/>
    <cellStyle name="Standaard 59 2 3 2 2 5" xfId="40050"/>
    <cellStyle name="Standaard 59 2 3 2 2 5 2" xfId="40051"/>
    <cellStyle name="Standaard 59 2 3 2 2 6" xfId="40052"/>
    <cellStyle name="Standaard 59 2 3 2 2 7" xfId="40053"/>
    <cellStyle name="Standaard 59 2 3 2 3" xfId="40054"/>
    <cellStyle name="Standaard 59 2 3 2 3 2" xfId="40055"/>
    <cellStyle name="Standaard 59 2 3 2 3 2 2" xfId="40056"/>
    <cellStyle name="Standaard 59 2 3 2 3 2 2 2" xfId="40057"/>
    <cellStyle name="Standaard 59 2 3 2 3 2 2 2 2" xfId="40058"/>
    <cellStyle name="Standaard 59 2 3 2 3 2 2 3" xfId="40059"/>
    <cellStyle name="Standaard 59 2 3 2 3 2 3" xfId="40060"/>
    <cellStyle name="Standaard 59 2 3 2 3 2 3 2" xfId="40061"/>
    <cellStyle name="Standaard 59 2 3 2 3 2 4" xfId="40062"/>
    <cellStyle name="Standaard 59 2 3 2 3 3" xfId="40063"/>
    <cellStyle name="Standaard 59 2 3 2 3 3 2" xfId="40064"/>
    <cellStyle name="Standaard 59 2 3 2 3 3 2 2" xfId="40065"/>
    <cellStyle name="Standaard 59 2 3 2 3 3 3" xfId="40066"/>
    <cellStyle name="Standaard 59 2 3 2 3 4" xfId="40067"/>
    <cellStyle name="Standaard 59 2 3 2 3 4 2" xfId="40068"/>
    <cellStyle name="Standaard 59 2 3 2 3 5" xfId="40069"/>
    <cellStyle name="Standaard 59 2 3 2 3 6" xfId="40070"/>
    <cellStyle name="Standaard 59 2 3 2 4" xfId="40071"/>
    <cellStyle name="Standaard 59 2 3 2 4 2" xfId="40072"/>
    <cellStyle name="Standaard 59 2 3 2 4 2 2" xfId="40073"/>
    <cellStyle name="Standaard 59 2 3 2 4 2 2 2" xfId="40074"/>
    <cellStyle name="Standaard 59 2 3 2 4 2 3" xfId="40075"/>
    <cellStyle name="Standaard 59 2 3 2 4 3" xfId="40076"/>
    <cellStyle name="Standaard 59 2 3 2 4 3 2" xfId="40077"/>
    <cellStyle name="Standaard 59 2 3 2 4 4" xfId="40078"/>
    <cellStyle name="Standaard 59 2 3 2 5" xfId="40079"/>
    <cellStyle name="Standaard 59 2 3 2 5 2" xfId="40080"/>
    <cellStyle name="Standaard 59 2 3 2 5 2 2" xfId="40081"/>
    <cellStyle name="Standaard 59 2 3 2 5 3" xfId="40082"/>
    <cellStyle name="Standaard 59 2 3 2 6" xfId="40083"/>
    <cellStyle name="Standaard 59 2 3 2 6 2" xfId="40084"/>
    <cellStyle name="Standaard 59 2 3 2 7" xfId="40085"/>
    <cellStyle name="Standaard 59 2 3 2 8" xfId="40086"/>
    <cellStyle name="Standaard 59 2 3 3" xfId="40087"/>
    <cellStyle name="Standaard 59 2 3 3 2" xfId="40088"/>
    <cellStyle name="Standaard 59 2 3 3 2 2" xfId="40089"/>
    <cellStyle name="Standaard 59 2 3 3 2 2 2" xfId="40090"/>
    <cellStyle name="Standaard 59 2 3 3 2 2 2 2" xfId="40091"/>
    <cellStyle name="Standaard 59 2 3 3 2 2 2 2 2" xfId="40092"/>
    <cellStyle name="Standaard 59 2 3 3 2 2 2 3" xfId="40093"/>
    <cellStyle name="Standaard 59 2 3 3 2 2 3" xfId="40094"/>
    <cellStyle name="Standaard 59 2 3 3 2 2 3 2" xfId="40095"/>
    <cellStyle name="Standaard 59 2 3 3 2 2 4" xfId="40096"/>
    <cellStyle name="Standaard 59 2 3 3 2 3" xfId="40097"/>
    <cellStyle name="Standaard 59 2 3 3 2 3 2" xfId="40098"/>
    <cellStyle name="Standaard 59 2 3 3 2 3 2 2" xfId="40099"/>
    <cellStyle name="Standaard 59 2 3 3 2 3 3" xfId="40100"/>
    <cellStyle name="Standaard 59 2 3 3 2 4" xfId="40101"/>
    <cellStyle name="Standaard 59 2 3 3 2 4 2" xfId="40102"/>
    <cellStyle name="Standaard 59 2 3 3 2 5" xfId="40103"/>
    <cellStyle name="Standaard 59 2 3 3 2 6" xfId="40104"/>
    <cellStyle name="Standaard 59 2 3 3 3" xfId="40105"/>
    <cellStyle name="Standaard 59 2 3 3 3 2" xfId="40106"/>
    <cellStyle name="Standaard 59 2 3 3 3 2 2" xfId="40107"/>
    <cellStyle name="Standaard 59 2 3 3 3 2 2 2" xfId="40108"/>
    <cellStyle name="Standaard 59 2 3 3 3 2 3" xfId="40109"/>
    <cellStyle name="Standaard 59 2 3 3 3 3" xfId="40110"/>
    <cellStyle name="Standaard 59 2 3 3 3 3 2" xfId="40111"/>
    <cellStyle name="Standaard 59 2 3 3 3 4" xfId="40112"/>
    <cellStyle name="Standaard 59 2 3 3 4" xfId="40113"/>
    <cellStyle name="Standaard 59 2 3 3 4 2" xfId="40114"/>
    <cellStyle name="Standaard 59 2 3 3 4 2 2" xfId="40115"/>
    <cellStyle name="Standaard 59 2 3 3 4 3" xfId="40116"/>
    <cellStyle name="Standaard 59 2 3 3 5" xfId="40117"/>
    <cellStyle name="Standaard 59 2 3 3 5 2" xfId="40118"/>
    <cellStyle name="Standaard 59 2 3 3 6" xfId="40119"/>
    <cellStyle name="Standaard 59 2 3 3 7" xfId="40120"/>
    <cellStyle name="Standaard 59 2 3 4" xfId="40121"/>
    <cellStyle name="Standaard 59 2 3 4 2" xfId="40122"/>
    <cellStyle name="Standaard 59 2 3 4 2 2" xfId="40123"/>
    <cellStyle name="Standaard 59 2 3 4 2 2 2" xfId="40124"/>
    <cellStyle name="Standaard 59 2 3 4 2 2 2 2" xfId="40125"/>
    <cellStyle name="Standaard 59 2 3 4 2 2 3" xfId="40126"/>
    <cellStyle name="Standaard 59 2 3 4 2 3" xfId="40127"/>
    <cellStyle name="Standaard 59 2 3 4 2 3 2" xfId="40128"/>
    <cellStyle name="Standaard 59 2 3 4 2 4" xfId="40129"/>
    <cellStyle name="Standaard 59 2 3 4 3" xfId="40130"/>
    <cellStyle name="Standaard 59 2 3 4 3 2" xfId="40131"/>
    <cellStyle name="Standaard 59 2 3 4 3 2 2" xfId="40132"/>
    <cellStyle name="Standaard 59 2 3 4 3 3" xfId="40133"/>
    <cellStyle name="Standaard 59 2 3 4 4" xfId="40134"/>
    <cellStyle name="Standaard 59 2 3 4 4 2" xfId="40135"/>
    <cellStyle name="Standaard 59 2 3 4 5" xfId="40136"/>
    <cellStyle name="Standaard 59 2 3 4 6" xfId="40137"/>
    <cellStyle name="Standaard 59 2 3 5" xfId="40138"/>
    <cellStyle name="Standaard 59 2 3 5 2" xfId="40139"/>
    <cellStyle name="Standaard 59 2 3 5 2 2" xfId="40140"/>
    <cellStyle name="Standaard 59 2 3 5 2 2 2" xfId="40141"/>
    <cellStyle name="Standaard 59 2 3 5 2 3" xfId="40142"/>
    <cellStyle name="Standaard 59 2 3 5 3" xfId="40143"/>
    <cellStyle name="Standaard 59 2 3 5 3 2" xfId="40144"/>
    <cellStyle name="Standaard 59 2 3 5 4" xfId="40145"/>
    <cellStyle name="Standaard 59 2 3 6" xfId="40146"/>
    <cellStyle name="Standaard 59 2 3 6 2" xfId="40147"/>
    <cellStyle name="Standaard 59 2 3 6 2 2" xfId="40148"/>
    <cellStyle name="Standaard 59 2 3 6 3" xfId="40149"/>
    <cellStyle name="Standaard 59 2 3 7" xfId="40150"/>
    <cellStyle name="Standaard 59 2 3 7 2" xfId="40151"/>
    <cellStyle name="Standaard 59 2 3 8" xfId="40152"/>
    <cellStyle name="Standaard 59 2 3 9" xfId="40153"/>
    <cellStyle name="Standaard 59 2 4" xfId="40154"/>
    <cellStyle name="Standaard 59 2 4 2" xfId="40155"/>
    <cellStyle name="Standaard 59 2 4 2 2" xfId="40156"/>
    <cellStyle name="Standaard 59 2 4 2 2 2" xfId="40157"/>
    <cellStyle name="Standaard 59 2 4 2 2 2 2" xfId="40158"/>
    <cellStyle name="Standaard 59 2 4 2 2 2 2 2" xfId="40159"/>
    <cellStyle name="Standaard 59 2 4 2 2 2 2 2 2" xfId="40160"/>
    <cellStyle name="Standaard 59 2 4 2 2 2 2 3" xfId="40161"/>
    <cellStyle name="Standaard 59 2 4 2 2 2 3" xfId="40162"/>
    <cellStyle name="Standaard 59 2 4 2 2 2 3 2" xfId="40163"/>
    <cellStyle name="Standaard 59 2 4 2 2 2 4" xfId="40164"/>
    <cellStyle name="Standaard 59 2 4 2 2 3" xfId="40165"/>
    <cellStyle name="Standaard 59 2 4 2 2 3 2" xfId="40166"/>
    <cellStyle name="Standaard 59 2 4 2 2 3 2 2" xfId="40167"/>
    <cellStyle name="Standaard 59 2 4 2 2 3 3" xfId="40168"/>
    <cellStyle name="Standaard 59 2 4 2 2 4" xfId="40169"/>
    <cellStyle name="Standaard 59 2 4 2 2 4 2" xfId="40170"/>
    <cellStyle name="Standaard 59 2 4 2 2 5" xfId="40171"/>
    <cellStyle name="Standaard 59 2 4 2 2 6" xfId="40172"/>
    <cellStyle name="Standaard 59 2 4 2 3" xfId="40173"/>
    <cellStyle name="Standaard 59 2 4 2 3 2" xfId="40174"/>
    <cellStyle name="Standaard 59 2 4 2 3 2 2" xfId="40175"/>
    <cellStyle name="Standaard 59 2 4 2 3 2 2 2" xfId="40176"/>
    <cellStyle name="Standaard 59 2 4 2 3 2 3" xfId="40177"/>
    <cellStyle name="Standaard 59 2 4 2 3 3" xfId="40178"/>
    <cellStyle name="Standaard 59 2 4 2 3 3 2" xfId="40179"/>
    <cellStyle name="Standaard 59 2 4 2 3 4" xfId="40180"/>
    <cellStyle name="Standaard 59 2 4 2 4" xfId="40181"/>
    <cellStyle name="Standaard 59 2 4 2 4 2" xfId="40182"/>
    <cellStyle name="Standaard 59 2 4 2 4 2 2" xfId="40183"/>
    <cellStyle name="Standaard 59 2 4 2 4 3" xfId="40184"/>
    <cellStyle name="Standaard 59 2 4 2 5" xfId="40185"/>
    <cellStyle name="Standaard 59 2 4 2 5 2" xfId="40186"/>
    <cellStyle name="Standaard 59 2 4 2 6" xfId="40187"/>
    <cellStyle name="Standaard 59 2 4 2 7" xfId="40188"/>
    <cellStyle name="Standaard 59 2 4 3" xfId="40189"/>
    <cellStyle name="Standaard 59 2 4 3 2" xfId="40190"/>
    <cellStyle name="Standaard 59 2 4 3 2 2" xfId="40191"/>
    <cellStyle name="Standaard 59 2 4 3 2 2 2" xfId="40192"/>
    <cellStyle name="Standaard 59 2 4 3 2 2 2 2" xfId="40193"/>
    <cellStyle name="Standaard 59 2 4 3 2 2 3" xfId="40194"/>
    <cellStyle name="Standaard 59 2 4 3 2 3" xfId="40195"/>
    <cellStyle name="Standaard 59 2 4 3 2 3 2" xfId="40196"/>
    <cellStyle name="Standaard 59 2 4 3 2 4" xfId="40197"/>
    <cellStyle name="Standaard 59 2 4 3 3" xfId="40198"/>
    <cellStyle name="Standaard 59 2 4 3 3 2" xfId="40199"/>
    <cellStyle name="Standaard 59 2 4 3 3 2 2" xfId="40200"/>
    <cellStyle name="Standaard 59 2 4 3 3 3" xfId="40201"/>
    <cellStyle name="Standaard 59 2 4 3 4" xfId="40202"/>
    <cellStyle name="Standaard 59 2 4 3 4 2" xfId="40203"/>
    <cellStyle name="Standaard 59 2 4 3 5" xfId="40204"/>
    <cellStyle name="Standaard 59 2 4 3 6" xfId="40205"/>
    <cellStyle name="Standaard 59 2 4 4" xfId="40206"/>
    <cellStyle name="Standaard 59 2 4 4 2" xfId="40207"/>
    <cellStyle name="Standaard 59 2 4 4 2 2" xfId="40208"/>
    <cellStyle name="Standaard 59 2 4 4 2 2 2" xfId="40209"/>
    <cellStyle name="Standaard 59 2 4 4 2 3" xfId="40210"/>
    <cellStyle name="Standaard 59 2 4 4 3" xfId="40211"/>
    <cellStyle name="Standaard 59 2 4 4 3 2" xfId="40212"/>
    <cellStyle name="Standaard 59 2 4 4 4" xfId="40213"/>
    <cellStyle name="Standaard 59 2 4 5" xfId="40214"/>
    <cellStyle name="Standaard 59 2 4 5 2" xfId="40215"/>
    <cellStyle name="Standaard 59 2 4 5 2 2" xfId="40216"/>
    <cellStyle name="Standaard 59 2 4 5 3" xfId="40217"/>
    <cellStyle name="Standaard 59 2 4 6" xfId="40218"/>
    <cellStyle name="Standaard 59 2 4 6 2" xfId="40219"/>
    <cellStyle name="Standaard 59 2 4 7" xfId="40220"/>
    <cellStyle name="Standaard 59 2 4 8" xfId="40221"/>
    <cellStyle name="Standaard 59 2 5" xfId="40222"/>
    <cellStyle name="Standaard 59 2 5 2" xfId="40223"/>
    <cellStyle name="Standaard 59 2 5 2 2" xfId="40224"/>
    <cellStyle name="Standaard 59 2 5 2 2 2" xfId="40225"/>
    <cellStyle name="Standaard 59 2 5 2 2 2 2" xfId="40226"/>
    <cellStyle name="Standaard 59 2 5 2 2 2 2 2" xfId="40227"/>
    <cellStyle name="Standaard 59 2 5 2 2 2 2 2 2" xfId="40228"/>
    <cellStyle name="Standaard 59 2 5 2 2 2 2 3" xfId="40229"/>
    <cellStyle name="Standaard 59 2 5 2 2 2 3" xfId="40230"/>
    <cellStyle name="Standaard 59 2 5 2 2 2 3 2" xfId="40231"/>
    <cellStyle name="Standaard 59 2 5 2 2 2 4" xfId="40232"/>
    <cellStyle name="Standaard 59 2 5 2 2 3" xfId="40233"/>
    <cellStyle name="Standaard 59 2 5 2 2 3 2" xfId="40234"/>
    <cellStyle name="Standaard 59 2 5 2 2 3 2 2" xfId="40235"/>
    <cellStyle name="Standaard 59 2 5 2 2 3 3" xfId="40236"/>
    <cellStyle name="Standaard 59 2 5 2 2 4" xfId="40237"/>
    <cellStyle name="Standaard 59 2 5 2 2 4 2" xfId="40238"/>
    <cellStyle name="Standaard 59 2 5 2 2 5" xfId="40239"/>
    <cellStyle name="Standaard 59 2 5 2 2 6" xfId="40240"/>
    <cellStyle name="Standaard 59 2 5 2 3" xfId="40241"/>
    <cellStyle name="Standaard 59 2 5 2 3 2" xfId="40242"/>
    <cellStyle name="Standaard 59 2 5 2 3 2 2" xfId="40243"/>
    <cellStyle name="Standaard 59 2 5 2 3 2 2 2" xfId="40244"/>
    <cellStyle name="Standaard 59 2 5 2 3 2 3" xfId="40245"/>
    <cellStyle name="Standaard 59 2 5 2 3 3" xfId="40246"/>
    <cellStyle name="Standaard 59 2 5 2 3 3 2" xfId="40247"/>
    <cellStyle name="Standaard 59 2 5 2 3 4" xfId="40248"/>
    <cellStyle name="Standaard 59 2 5 2 4" xfId="40249"/>
    <cellStyle name="Standaard 59 2 5 2 4 2" xfId="40250"/>
    <cellStyle name="Standaard 59 2 5 2 4 2 2" xfId="40251"/>
    <cellStyle name="Standaard 59 2 5 2 4 3" xfId="40252"/>
    <cellStyle name="Standaard 59 2 5 2 5" xfId="40253"/>
    <cellStyle name="Standaard 59 2 5 2 5 2" xfId="40254"/>
    <cellStyle name="Standaard 59 2 5 2 6" xfId="40255"/>
    <cellStyle name="Standaard 59 2 5 2 7" xfId="40256"/>
    <cellStyle name="Standaard 59 2 5 3" xfId="40257"/>
    <cellStyle name="Standaard 59 2 5 3 2" xfId="40258"/>
    <cellStyle name="Standaard 59 2 5 3 2 2" xfId="40259"/>
    <cellStyle name="Standaard 59 2 5 3 2 2 2" xfId="40260"/>
    <cellStyle name="Standaard 59 2 5 3 2 2 2 2" xfId="40261"/>
    <cellStyle name="Standaard 59 2 5 3 2 2 3" xfId="40262"/>
    <cellStyle name="Standaard 59 2 5 3 2 3" xfId="40263"/>
    <cellStyle name="Standaard 59 2 5 3 2 3 2" xfId="40264"/>
    <cellStyle name="Standaard 59 2 5 3 2 4" xfId="40265"/>
    <cellStyle name="Standaard 59 2 5 3 3" xfId="40266"/>
    <cellStyle name="Standaard 59 2 5 3 3 2" xfId="40267"/>
    <cellStyle name="Standaard 59 2 5 3 3 2 2" xfId="40268"/>
    <cellStyle name="Standaard 59 2 5 3 3 3" xfId="40269"/>
    <cellStyle name="Standaard 59 2 5 3 4" xfId="40270"/>
    <cellStyle name="Standaard 59 2 5 3 4 2" xfId="40271"/>
    <cellStyle name="Standaard 59 2 5 3 5" xfId="40272"/>
    <cellStyle name="Standaard 59 2 5 3 6" xfId="40273"/>
    <cellStyle name="Standaard 59 2 5 4" xfId="40274"/>
    <cellStyle name="Standaard 59 2 5 4 2" xfId="40275"/>
    <cellStyle name="Standaard 59 2 5 4 2 2" xfId="40276"/>
    <cellStyle name="Standaard 59 2 5 4 2 2 2" xfId="40277"/>
    <cellStyle name="Standaard 59 2 5 4 2 3" xfId="40278"/>
    <cellStyle name="Standaard 59 2 5 4 3" xfId="40279"/>
    <cellStyle name="Standaard 59 2 5 4 3 2" xfId="40280"/>
    <cellStyle name="Standaard 59 2 5 4 4" xfId="40281"/>
    <cellStyle name="Standaard 59 2 5 5" xfId="40282"/>
    <cellStyle name="Standaard 59 2 5 5 2" xfId="40283"/>
    <cellStyle name="Standaard 59 2 5 5 2 2" xfId="40284"/>
    <cellStyle name="Standaard 59 2 5 5 3" xfId="40285"/>
    <cellStyle name="Standaard 59 2 5 6" xfId="40286"/>
    <cellStyle name="Standaard 59 2 5 6 2" xfId="40287"/>
    <cellStyle name="Standaard 59 2 5 7" xfId="40288"/>
    <cellStyle name="Standaard 59 2 5 8" xfId="40289"/>
    <cellStyle name="Standaard 59 2 6" xfId="40290"/>
    <cellStyle name="Standaard 59 2 6 2" xfId="40291"/>
    <cellStyle name="Standaard 59 2 6 2 2" xfId="40292"/>
    <cellStyle name="Standaard 59 2 6 2 2 2" xfId="40293"/>
    <cellStyle name="Standaard 59 2 6 2 2 2 2" xfId="40294"/>
    <cellStyle name="Standaard 59 2 6 2 2 2 2 2" xfId="40295"/>
    <cellStyle name="Standaard 59 2 6 2 2 2 3" xfId="40296"/>
    <cellStyle name="Standaard 59 2 6 2 2 3" xfId="40297"/>
    <cellStyle name="Standaard 59 2 6 2 2 3 2" xfId="40298"/>
    <cellStyle name="Standaard 59 2 6 2 2 4" xfId="40299"/>
    <cellStyle name="Standaard 59 2 6 2 3" xfId="40300"/>
    <cellStyle name="Standaard 59 2 6 2 3 2" xfId="40301"/>
    <cellStyle name="Standaard 59 2 6 2 3 2 2" xfId="40302"/>
    <cellStyle name="Standaard 59 2 6 2 3 3" xfId="40303"/>
    <cellStyle name="Standaard 59 2 6 2 4" xfId="40304"/>
    <cellStyle name="Standaard 59 2 6 2 4 2" xfId="40305"/>
    <cellStyle name="Standaard 59 2 6 2 5" xfId="40306"/>
    <cellStyle name="Standaard 59 2 6 2 6" xfId="40307"/>
    <cellStyle name="Standaard 59 2 6 3" xfId="40308"/>
    <cellStyle name="Standaard 59 2 6 3 2" xfId="40309"/>
    <cellStyle name="Standaard 59 2 6 3 2 2" xfId="40310"/>
    <cellStyle name="Standaard 59 2 6 3 2 2 2" xfId="40311"/>
    <cellStyle name="Standaard 59 2 6 3 2 3" xfId="40312"/>
    <cellStyle name="Standaard 59 2 6 3 3" xfId="40313"/>
    <cellStyle name="Standaard 59 2 6 3 3 2" xfId="40314"/>
    <cellStyle name="Standaard 59 2 6 3 4" xfId="40315"/>
    <cellStyle name="Standaard 59 2 6 4" xfId="40316"/>
    <cellStyle name="Standaard 59 2 6 4 2" xfId="40317"/>
    <cellStyle name="Standaard 59 2 6 4 2 2" xfId="40318"/>
    <cellStyle name="Standaard 59 2 6 4 3" xfId="40319"/>
    <cellStyle name="Standaard 59 2 6 5" xfId="40320"/>
    <cellStyle name="Standaard 59 2 6 5 2" xfId="40321"/>
    <cellStyle name="Standaard 59 2 6 6" xfId="40322"/>
    <cellStyle name="Standaard 59 2 6 7" xfId="40323"/>
    <cellStyle name="Standaard 59 2 7" xfId="40324"/>
    <cellStyle name="Standaard 59 2 7 2" xfId="40325"/>
    <cellStyle name="Standaard 59 2 7 2 2" xfId="40326"/>
    <cellStyle name="Standaard 59 2 7 2 2 2" xfId="40327"/>
    <cellStyle name="Standaard 59 2 7 2 2 2 2" xfId="40328"/>
    <cellStyle name="Standaard 59 2 7 2 2 3" xfId="40329"/>
    <cellStyle name="Standaard 59 2 7 2 3" xfId="40330"/>
    <cellStyle name="Standaard 59 2 7 2 3 2" xfId="40331"/>
    <cellStyle name="Standaard 59 2 7 2 4" xfId="40332"/>
    <cellStyle name="Standaard 59 2 7 3" xfId="40333"/>
    <cellStyle name="Standaard 59 2 7 3 2" xfId="40334"/>
    <cellStyle name="Standaard 59 2 7 3 2 2" xfId="40335"/>
    <cellStyle name="Standaard 59 2 7 3 3" xfId="40336"/>
    <cellStyle name="Standaard 59 2 7 4" xfId="40337"/>
    <cellStyle name="Standaard 59 2 7 4 2" xfId="40338"/>
    <cellStyle name="Standaard 59 2 7 5" xfId="40339"/>
    <cellStyle name="Standaard 59 2 7 6" xfId="40340"/>
    <cellStyle name="Standaard 59 2 8" xfId="40341"/>
    <cellStyle name="Standaard 59 2 8 2" xfId="40342"/>
    <cellStyle name="Standaard 59 2 8 2 2" xfId="40343"/>
    <cellStyle name="Standaard 59 2 8 2 2 2" xfId="40344"/>
    <cellStyle name="Standaard 59 2 8 2 3" xfId="40345"/>
    <cellStyle name="Standaard 59 2 8 3" xfId="40346"/>
    <cellStyle name="Standaard 59 2 8 3 2" xfId="40347"/>
    <cellStyle name="Standaard 59 2 8 4" xfId="40348"/>
    <cellStyle name="Standaard 59 2 9" xfId="40349"/>
    <cellStyle name="Standaard 59 2 9 2" xfId="40350"/>
    <cellStyle name="Standaard 59 2 9 2 2" xfId="40351"/>
    <cellStyle name="Standaard 59 2 9 3" xfId="40352"/>
    <cellStyle name="Standaard 59 3" xfId="40353"/>
    <cellStyle name="Standaard 59 3 10" xfId="40354"/>
    <cellStyle name="Standaard 59 3 11" xfId="40355"/>
    <cellStyle name="Standaard 59 3 2" xfId="40356"/>
    <cellStyle name="Standaard 59 3 2 2" xfId="40357"/>
    <cellStyle name="Standaard 59 3 2 2 2" xfId="40358"/>
    <cellStyle name="Standaard 59 3 2 2 2 2" xfId="40359"/>
    <cellStyle name="Standaard 59 3 2 2 2 2 2" xfId="40360"/>
    <cellStyle name="Standaard 59 3 2 2 2 2 2 2" xfId="40361"/>
    <cellStyle name="Standaard 59 3 2 2 2 2 2 2 2" xfId="40362"/>
    <cellStyle name="Standaard 59 3 2 2 2 2 2 2 2 2" xfId="40363"/>
    <cellStyle name="Standaard 59 3 2 2 2 2 2 2 3" xfId="40364"/>
    <cellStyle name="Standaard 59 3 2 2 2 2 2 3" xfId="40365"/>
    <cellStyle name="Standaard 59 3 2 2 2 2 2 3 2" xfId="40366"/>
    <cellStyle name="Standaard 59 3 2 2 2 2 2 4" xfId="40367"/>
    <cellStyle name="Standaard 59 3 2 2 2 2 3" xfId="40368"/>
    <cellStyle name="Standaard 59 3 2 2 2 2 3 2" xfId="40369"/>
    <cellStyle name="Standaard 59 3 2 2 2 2 3 2 2" xfId="40370"/>
    <cellStyle name="Standaard 59 3 2 2 2 2 3 3" xfId="40371"/>
    <cellStyle name="Standaard 59 3 2 2 2 2 4" xfId="40372"/>
    <cellStyle name="Standaard 59 3 2 2 2 2 4 2" xfId="40373"/>
    <cellStyle name="Standaard 59 3 2 2 2 2 5" xfId="40374"/>
    <cellStyle name="Standaard 59 3 2 2 2 2 6" xfId="40375"/>
    <cellStyle name="Standaard 59 3 2 2 2 3" xfId="40376"/>
    <cellStyle name="Standaard 59 3 2 2 2 3 2" xfId="40377"/>
    <cellStyle name="Standaard 59 3 2 2 2 3 2 2" xfId="40378"/>
    <cellStyle name="Standaard 59 3 2 2 2 3 2 2 2" xfId="40379"/>
    <cellStyle name="Standaard 59 3 2 2 2 3 2 3" xfId="40380"/>
    <cellStyle name="Standaard 59 3 2 2 2 3 3" xfId="40381"/>
    <cellStyle name="Standaard 59 3 2 2 2 3 3 2" xfId="40382"/>
    <cellStyle name="Standaard 59 3 2 2 2 3 4" xfId="40383"/>
    <cellStyle name="Standaard 59 3 2 2 2 4" xfId="40384"/>
    <cellStyle name="Standaard 59 3 2 2 2 4 2" xfId="40385"/>
    <cellStyle name="Standaard 59 3 2 2 2 4 2 2" xfId="40386"/>
    <cellStyle name="Standaard 59 3 2 2 2 4 3" xfId="40387"/>
    <cellStyle name="Standaard 59 3 2 2 2 5" xfId="40388"/>
    <cellStyle name="Standaard 59 3 2 2 2 5 2" xfId="40389"/>
    <cellStyle name="Standaard 59 3 2 2 2 6" xfId="40390"/>
    <cellStyle name="Standaard 59 3 2 2 2 7" xfId="40391"/>
    <cellStyle name="Standaard 59 3 2 2 3" xfId="40392"/>
    <cellStyle name="Standaard 59 3 2 2 3 2" xfId="40393"/>
    <cellStyle name="Standaard 59 3 2 2 3 2 2" xfId="40394"/>
    <cellStyle name="Standaard 59 3 2 2 3 2 2 2" xfId="40395"/>
    <cellStyle name="Standaard 59 3 2 2 3 2 2 2 2" xfId="40396"/>
    <cellStyle name="Standaard 59 3 2 2 3 2 2 3" xfId="40397"/>
    <cellStyle name="Standaard 59 3 2 2 3 2 3" xfId="40398"/>
    <cellStyle name="Standaard 59 3 2 2 3 2 3 2" xfId="40399"/>
    <cellStyle name="Standaard 59 3 2 2 3 2 4" xfId="40400"/>
    <cellStyle name="Standaard 59 3 2 2 3 3" xfId="40401"/>
    <cellStyle name="Standaard 59 3 2 2 3 3 2" xfId="40402"/>
    <cellStyle name="Standaard 59 3 2 2 3 3 2 2" xfId="40403"/>
    <cellStyle name="Standaard 59 3 2 2 3 3 3" xfId="40404"/>
    <cellStyle name="Standaard 59 3 2 2 3 4" xfId="40405"/>
    <cellStyle name="Standaard 59 3 2 2 3 4 2" xfId="40406"/>
    <cellStyle name="Standaard 59 3 2 2 3 5" xfId="40407"/>
    <cellStyle name="Standaard 59 3 2 2 3 6" xfId="40408"/>
    <cellStyle name="Standaard 59 3 2 2 4" xfId="40409"/>
    <cellStyle name="Standaard 59 3 2 2 4 2" xfId="40410"/>
    <cellStyle name="Standaard 59 3 2 2 4 2 2" xfId="40411"/>
    <cellStyle name="Standaard 59 3 2 2 4 2 2 2" xfId="40412"/>
    <cellStyle name="Standaard 59 3 2 2 4 2 3" xfId="40413"/>
    <cellStyle name="Standaard 59 3 2 2 4 3" xfId="40414"/>
    <cellStyle name="Standaard 59 3 2 2 4 3 2" xfId="40415"/>
    <cellStyle name="Standaard 59 3 2 2 4 4" xfId="40416"/>
    <cellStyle name="Standaard 59 3 2 2 5" xfId="40417"/>
    <cellStyle name="Standaard 59 3 2 2 5 2" xfId="40418"/>
    <cellStyle name="Standaard 59 3 2 2 5 2 2" xfId="40419"/>
    <cellStyle name="Standaard 59 3 2 2 5 3" xfId="40420"/>
    <cellStyle name="Standaard 59 3 2 2 6" xfId="40421"/>
    <cellStyle name="Standaard 59 3 2 2 6 2" xfId="40422"/>
    <cellStyle name="Standaard 59 3 2 2 7" xfId="40423"/>
    <cellStyle name="Standaard 59 3 2 2 8" xfId="40424"/>
    <cellStyle name="Standaard 59 3 2 3" xfId="40425"/>
    <cellStyle name="Standaard 59 3 2 3 2" xfId="40426"/>
    <cellStyle name="Standaard 59 3 2 3 2 2" xfId="40427"/>
    <cellStyle name="Standaard 59 3 2 3 2 2 2" xfId="40428"/>
    <cellStyle name="Standaard 59 3 2 3 2 2 2 2" xfId="40429"/>
    <cellStyle name="Standaard 59 3 2 3 2 2 2 2 2" xfId="40430"/>
    <cellStyle name="Standaard 59 3 2 3 2 2 2 3" xfId="40431"/>
    <cellStyle name="Standaard 59 3 2 3 2 2 3" xfId="40432"/>
    <cellStyle name="Standaard 59 3 2 3 2 2 3 2" xfId="40433"/>
    <cellStyle name="Standaard 59 3 2 3 2 2 4" xfId="40434"/>
    <cellStyle name="Standaard 59 3 2 3 2 3" xfId="40435"/>
    <cellStyle name="Standaard 59 3 2 3 2 3 2" xfId="40436"/>
    <cellStyle name="Standaard 59 3 2 3 2 3 2 2" xfId="40437"/>
    <cellStyle name="Standaard 59 3 2 3 2 3 3" xfId="40438"/>
    <cellStyle name="Standaard 59 3 2 3 2 4" xfId="40439"/>
    <cellStyle name="Standaard 59 3 2 3 2 4 2" xfId="40440"/>
    <cellStyle name="Standaard 59 3 2 3 2 5" xfId="40441"/>
    <cellStyle name="Standaard 59 3 2 3 2 6" xfId="40442"/>
    <cellStyle name="Standaard 59 3 2 3 3" xfId="40443"/>
    <cellStyle name="Standaard 59 3 2 3 3 2" xfId="40444"/>
    <cellStyle name="Standaard 59 3 2 3 3 2 2" xfId="40445"/>
    <cellStyle name="Standaard 59 3 2 3 3 2 2 2" xfId="40446"/>
    <cellStyle name="Standaard 59 3 2 3 3 2 3" xfId="40447"/>
    <cellStyle name="Standaard 59 3 2 3 3 3" xfId="40448"/>
    <cellStyle name="Standaard 59 3 2 3 3 3 2" xfId="40449"/>
    <cellStyle name="Standaard 59 3 2 3 3 4" xfId="40450"/>
    <cellStyle name="Standaard 59 3 2 3 4" xfId="40451"/>
    <cellStyle name="Standaard 59 3 2 3 4 2" xfId="40452"/>
    <cellStyle name="Standaard 59 3 2 3 4 2 2" xfId="40453"/>
    <cellStyle name="Standaard 59 3 2 3 4 3" xfId="40454"/>
    <cellStyle name="Standaard 59 3 2 3 5" xfId="40455"/>
    <cellStyle name="Standaard 59 3 2 3 5 2" xfId="40456"/>
    <cellStyle name="Standaard 59 3 2 3 6" xfId="40457"/>
    <cellStyle name="Standaard 59 3 2 3 7" xfId="40458"/>
    <cellStyle name="Standaard 59 3 2 4" xfId="40459"/>
    <cellStyle name="Standaard 59 3 2 4 2" xfId="40460"/>
    <cellStyle name="Standaard 59 3 2 4 2 2" xfId="40461"/>
    <cellStyle name="Standaard 59 3 2 4 2 2 2" xfId="40462"/>
    <cellStyle name="Standaard 59 3 2 4 2 2 2 2" xfId="40463"/>
    <cellStyle name="Standaard 59 3 2 4 2 2 3" xfId="40464"/>
    <cellStyle name="Standaard 59 3 2 4 2 3" xfId="40465"/>
    <cellStyle name="Standaard 59 3 2 4 2 3 2" xfId="40466"/>
    <cellStyle name="Standaard 59 3 2 4 2 4" xfId="40467"/>
    <cellStyle name="Standaard 59 3 2 4 3" xfId="40468"/>
    <cellStyle name="Standaard 59 3 2 4 3 2" xfId="40469"/>
    <cellStyle name="Standaard 59 3 2 4 3 2 2" xfId="40470"/>
    <cellStyle name="Standaard 59 3 2 4 3 3" xfId="40471"/>
    <cellStyle name="Standaard 59 3 2 4 4" xfId="40472"/>
    <cellStyle name="Standaard 59 3 2 4 4 2" xfId="40473"/>
    <cellStyle name="Standaard 59 3 2 4 5" xfId="40474"/>
    <cellStyle name="Standaard 59 3 2 4 6" xfId="40475"/>
    <cellStyle name="Standaard 59 3 2 5" xfId="40476"/>
    <cellStyle name="Standaard 59 3 2 5 2" xfId="40477"/>
    <cellStyle name="Standaard 59 3 2 5 2 2" xfId="40478"/>
    <cellStyle name="Standaard 59 3 2 5 2 2 2" xfId="40479"/>
    <cellStyle name="Standaard 59 3 2 5 2 3" xfId="40480"/>
    <cellStyle name="Standaard 59 3 2 5 3" xfId="40481"/>
    <cellStyle name="Standaard 59 3 2 5 3 2" xfId="40482"/>
    <cellStyle name="Standaard 59 3 2 5 4" xfId="40483"/>
    <cellStyle name="Standaard 59 3 2 6" xfId="40484"/>
    <cellStyle name="Standaard 59 3 2 6 2" xfId="40485"/>
    <cellStyle name="Standaard 59 3 2 6 2 2" xfId="40486"/>
    <cellStyle name="Standaard 59 3 2 6 3" xfId="40487"/>
    <cellStyle name="Standaard 59 3 2 7" xfId="40488"/>
    <cellStyle name="Standaard 59 3 2 7 2" xfId="40489"/>
    <cellStyle name="Standaard 59 3 2 8" xfId="40490"/>
    <cellStyle name="Standaard 59 3 2 9" xfId="40491"/>
    <cellStyle name="Standaard 59 3 3" xfId="40492"/>
    <cellStyle name="Standaard 59 3 3 2" xfId="40493"/>
    <cellStyle name="Standaard 59 3 3 2 2" xfId="40494"/>
    <cellStyle name="Standaard 59 3 3 2 2 2" xfId="40495"/>
    <cellStyle name="Standaard 59 3 3 2 2 2 2" xfId="40496"/>
    <cellStyle name="Standaard 59 3 3 2 2 2 2 2" xfId="40497"/>
    <cellStyle name="Standaard 59 3 3 2 2 2 2 2 2" xfId="40498"/>
    <cellStyle name="Standaard 59 3 3 2 2 2 2 3" xfId="40499"/>
    <cellStyle name="Standaard 59 3 3 2 2 2 3" xfId="40500"/>
    <cellStyle name="Standaard 59 3 3 2 2 2 3 2" xfId="40501"/>
    <cellStyle name="Standaard 59 3 3 2 2 2 4" xfId="40502"/>
    <cellStyle name="Standaard 59 3 3 2 2 3" xfId="40503"/>
    <cellStyle name="Standaard 59 3 3 2 2 3 2" xfId="40504"/>
    <cellStyle name="Standaard 59 3 3 2 2 3 2 2" xfId="40505"/>
    <cellStyle name="Standaard 59 3 3 2 2 3 3" xfId="40506"/>
    <cellStyle name="Standaard 59 3 3 2 2 4" xfId="40507"/>
    <cellStyle name="Standaard 59 3 3 2 2 4 2" xfId="40508"/>
    <cellStyle name="Standaard 59 3 3 2 2 5" xfId="40509"/>
    <cellStyle name="Standaard 59 3 3 2 2 6" xfId="40510"/>
    <cellStyle name="Standaard 59 3 3 2 3" xfId="40511"/>
    <cellStyle name="Standaard 59 3 3 2 3 2" xfId="40512"/>
    <cellStyle name="Standaard 59 3 3 2 3 2 2" xfId="40513"/>
    <cellStyle name="Standaard 59 3 3 2 3 2 2 2" xfId="40514"/>
    <cellStyle name="Standaard 59 3 3 2 3 2 3" xfId="40515"/>
    <cellStyle name="Standaard 59 3 3 2 3 3" xfId="40516"/>
    <cellStyle name="Standaard 59 3 3 2 3 3 2" xfId="40517"/>
    <cellStyle name="Standaard 59 3 3 2 3 4" xfId="40518"/>
    <cellStyle name="Standaard 59 3 3 2 4" xfId="40519"/>
    <cellStyle name="Standaard 59 3 3 2 4 2" xfId="40520"/>
    <cellStyle name="Standaard 59 3 3 2 4 2 2" xfId="40521"/>
    <cellStyle name="Standaard 59 3 3 2 4 3" xfId="40522"/>
    <cellStyle name="Standaard 59 3 3 2 5" xfId="40523"/>
    <cellStyle name="Standaard 59 3 3 2 5 2" xfId="40524"/>
    <cellStyle name="Standaard 59 3 3 2 6" xfId="40525"/>
    <cellStyle name="Standaard 59 3 3 2 7" xfId="40526"/>
    <cellStyle name="Standaard 59 3 3 3" xfId="40527"/>
    <cellStyle name="Standaard 59 3 3 3 2" xfId="40528"/>
    <cellStyle name="Standaard 59 3 3 3 2 2" xfId="40529"/>
    <cellStyle name="Standaard 59 3 3 3 2 2 2" xfId="40530"/>
    <cellStyle name="Standaard 59 3 3 3 2 2 2 2" xfId="40531"/>
    <cellStyle name="Standaard 59 3 3 3 2 2 3" xfId="40532"/>
    <cellStyle name="Standaard 59 3 3 3 2 3" xfId="40533"/>
    <cellStyle name="Standaard 59 3 3 3 2 3 2" xfId="40534"/>
    <cellStyle name="Standaard 59 3 3 3 2 4" xfId="40535"/>
    <cellStyle name="Standaard 59 3 3 3 3" xfId="40536"/>
    <cellStyle name="Standaard 59 3 3 3 3 2" xfId="40537"/>
    <cellStyle name="Standaard 59 3 3 3 3 2 2" xfId="40538"/>
    <cellStyle name="Standaard 59 3 3 3 3 3" xfId="40539"/>
    <cellStyle name="Standaard 59 3 3 3 4" xfId="40540"/>
    <cellStyle name="Standaard 59 3 3 3 4 2" xfId="40541"/>
    <cellStyle name="Standaard 59 3 3 3 5" xfId="40542"/>
    <cellStyle name="Standaard 59 3 3 3 6" xfId="40543"/>
    <cellStyle name="Standaard 59 3 3 4" xfId="40544"/>
    <cellStyle name="Standaard 59 3 3 4 2" xfId="40545"/>
    <cellStyle name="Standaard 59 3 3 4 2 2" xfId="40546"/>
    <cellStyle name="Standaard 59 3 3 4 2 2 2" xfId="40547"/>
    <cellStyle name="Standaard 59 3 3 4 2 3" xfId="40548"/>
    <cellStyle name="Standaard 59 3 3 4 3" xfId="40549"/>
    <cellStyle name="Standaard 59 3 3 4 3 2" xfId="40550"/>
    <cellStyle name="Standaard 59 3 3 4 4" xfId="40551"/>
    <cellStyle name="Standaard 59 3 3 5" xfId="40552"/>
    <cellStyle name="Standaard 59 3 3 5 2" xfId="40553"/>
    <cellStyle name="Standaard 59 3 3 5 2 2" xfId="40554"/>
    <cellStyle name="Standaard 59 3 3 5 3" xfId="40555"/>
    <cellStyle name="Standaard 59 3 3 6" xfId="40556"/>
    <cellStyle name="Standaard 59 3 3 6 2" xfId="40557"/>
    <cellStyle name="Standaard 59 3 3 7" xfId="40558"/>
    <cellStyle name="Standaard 59 3 3 8" xfId="40559"/>
    <cellStyle name="Standaard 59 3 4" xfId="40560"/>
    <cellStyle name="Standaard 59 3 4 2" xfId="40561"/>
    <cellStyle name="Standaard 59 3 4 2 2" xfId="40562"/>
    <cellStyle name="Standaard 59 3 4 2 2 2" xfId="40563"/>
    <cellStyle name="Standaard 59 3 4 2 2 2 2" xfId="40564"/>
    <cellStyle name="Standaard 59 3 4 2 2 2 2 2" xfId="40565"/>
    <cellStyle name="Standaard 59 3 4 2 2 2 2 2 2" xfId="40566"/>
    <cellStyle name="Standaard 59 3 4 2 2 2 2 3" xfId="40567"/>
    <cellStyle name="Standaard 59 3 4 2 2 2 3" xfId="40568"/>
    <cellStyle name="Standaard 59 3 4 2 2 2 3 2" xfId="40569"/>
    <cellStyle name="Standaard 59 3 4 2 2 2 4" xfId="40570"/>
    <cellStyle name="Standaard 59 3 4 2 2 3" xfId="40571"/>
    <cellStyle name="Standaard 59 3 4 2 2 3 2" xfId="40572"/>
    <cellStyle name="Standaard 59 3 4 2 2 3 2 2" xfId="40573"/>
    <cellStyle name="Standaard 59 3 4 2 2 3 3" xfId="40574"/>
    <cellStyle name="Standaard 59 3 4 2 2 4" xfId="40575"/>
    <cellStyle name="Standaard 59 3 4 2 2 4 2" xfId="40576"/>
    <cellStyle name="Standaard 59 3 4 2 2 5" xfId="40577"/>
    <cellStyle name="Standaard 59 3 4 2 2 6" xfId="40578"/>
    <cellStyle name="Standaard 59 3 4 2 3" xfId="40579"/>
    <cellStyle name="Standaard 59 3 4 2 3 2" xfId="40580"/>
    <cellStyle name="Standaard 59 3 4 2 3 2 2" xfId="40581"/>
    <cellStyle name="Standaard 59 3 4 2 3 2 2 2" xfId="40582"/>
    <cellStyle name="Standaard 59 3 4 2 3 2 3" xfId="40583"/>
    <cellStyle name="Standaard 59 3 4 2 3 3" xfId="40584"/>
    <cellStyle name="Standaard 59 3 4 2 3 3 2" xfId="40585"/>
    <cellStyle name="Standaard 59 3 4 2 3 4" xfId="40586"/>
    <cellStyle name="Standaard 59 3 4 2 4" xfId="40587"/>
    <cellStyle name="Standaard 59 3 4 2 4 2" xfId="40588"/>
    <cellStyle name="Standaard 59 3 4 2 4 2 2" xfId="40589"/>
    <cellStyle name="Standaard 59 3 4 2 4 3" xfId="40590"/>
    <cellStyle name="Standaard 59 3 4 2 5" xfId="40591"/>
    <cellStyle name="Standaard 59 3 4 2 5 2" xfId="40592"/>
    <cellStyle name="Standaard 59 3 4 2 6" xfId="40593"/>
    <cellStyle name="Standaard 59 3 4 2 7" xfId="40594"/>
    <cellStyle name="Standaard 59 3 4 3" xfId="40595"/>
    <cellStyle name="Standaard 59 3 4 3 2" xfId="40596"/>
    <cellStyle name="Standaard 59 3 4 3 2 2" xfId="40597"/>
    <cellStyle name="Standaard 59 3 4 3 2 2 2" xfId="40598"/>
    <cellStyle name="Standaard 59 3 4 3 2 2 2 2" xfId="40599"/>
    <cellStyle name="Standaard 59 3 4 3 2 2 3" xfId="40600"/>
    <cellStyle name="Standaard 59 3 4 3 2 3" xfId="40601"/>
    <cellStyle name="Standaard 59 3 4 3 2 3 2" xfId="40602"/>
    <cellStyle name="Standaard 59 3 4 3 2 4" xfId="40603"/>
    <cellStyle name="Standaard 59 3 4 3 3" xfId="40604"/>
    <cellStyle name="Standaard 59 3 4 3 3 2" xfId="40605"/>
    <cellStyle name="Standaard 59 3 4 3 3 2 2" xfId="40606"/>
    <cellStyle name="Standaard 59 3 4 3 3 3" xfId="40607"/>
    <cellStyle name="Standaard 59 3 4 3 4" xfId="40608"/>
    <cellStyle name="Standaard 59 3 4 3 4 2" xfId="40609"/>
    <cellStyle name="Standaard 59 3 4 3 5" xfId="40610"/>
    <cellStyle name="Standaard 59 3 4 3 6" xfId="40611"/>
    <cellStyle name="Standaard 59 3 4 4" xfId="40612"/>
    <cellStyle name="Standaard 59 3 4 4 2" xfId="40613"/>
    <cellStyle name="Standaard 59 3 4 4 2 2" xfId="40614"/>
    <cellStyle name="Standaard 59 3 4 4 2 2 2" xfId="40615"/>
    <cellStyle name="Standaard 59 3 4 4 2 3" xfId="40616"/>
    <cellStyle name="Standaard 59 3 4 4 3" xfId="40617"/>
    <cellStyle name="Standaard 59 3 4 4 3 2" xfId="40618"/>
    <cellStyle name="Standaard 59 3 4 4 4" xfId="40619"/>
    <cellStyle name="Standaard 59 3 4 5" xfId="40620"/>
    <cellStyle name="Standaard 59 3 4 5 2" xfId="40621"/>
    <cellStyle name="Standaard 59 3 4 5 2 2" xfId="40622"/>
    <cellStyle name="Standaard 59 3 4 5 3" xfId="40623"/>
    <cellStyle name="Standaard 59 3 4 6" xfId="40624"/>
    <cellStyle name="Standaard 59 3 4 6 2" xfId="40625"/>
    <cellStyle name="Standaard 59 3 4 7" xfId="40626"/>
    <cellStyle name="Standaard 59 3 4 8" xfId="40627"/>
    <cellStyle name="Standaard 59 3 5" xfId="40628"/>
    <cellStyle name="Standaard 59 3 5 2" xfId="40629"/>
    <cellStyle name="Standaard 59 3 5 2 2" xfId="40630"/>
    <cellStyle name="Standaard 59 3 5 2 2 2" xfId="40631"/>
    <cellStyle name="Standaard 59 3 5 2 2 2 2" xfId="40632"/>
    <cellStyle name="Standaard 59 3 5 2 2 2 2 2" xfId="40633"/>
    <cellStyle name="Standaard 59 3 5 2 2 2 3" xfId="40634"/>
    <cellStyle name="Standaard 59 3 5 2 2 3" xfId="40635"/>
    <cellStyle name="Standaard 59 3 5 2 2 3 2" xfId="40636"/>
    <cellStyle name="Standaard 59 3 5 2 2 4" xfId="40637"/>
    <cellStyle name="Standaard 59 3 5 2 3" xfId="40638"/>
    <cellStyle name="Standaard 59 3 5 2 3 2" xfId="40639"/>
    <cellStyle name="Standaard 59 3 5 2 3 2 2" xfId="40640"/>
    <cellStyle name="Standaard 59 3 5 2 3 3" xfId="40641"/>
    <cellStyle name="Standaard 59 3 5 2 4" xfId="40642"/>
    <cellStyle name="Standaard 59 3 5 2 4 2" xfId="40643"/>
    <cellStyle name="Standaard 59 3 5 2 5" xfId="40644"/>
    <cellStyle name="Standaard 59 3 5 2 6" xfId="40645"/>
    <cellStyle name="Standaard 59 3 5 3" xfId="40646"/>
    <cellStyle name="Standaard 59 3 5 3 2" xfId="40647"/>
    <cellStyle name="Standaard 59 3 5 3 2 2" xfId="40648"/>
    <cellStyle name="Standaard 59 3 5 3 2 2 2" xfId="40649"/>
    <cellStyle name="Standaard 59 3 5 3 2 3" xfId="40650"/>
    <cellStyle name="Standaard 59 3 5 3 3" xfId="40651"/>
    <cellStyle name="Standaard 59 3 5 3 3 2" xfId="40652"/>
    <cellStyle name="Standaard 59 3 5 3 4" xfId="40653"/>
    <cellStyle name="Standaard 59 3 5 4" xfId="40654"/>
    <cellStyle name="Standaard 59 3 5 4 2" xfId="40655"/>
    <cellStyle name="Standaard 59 3 5 4 2 2" xfId="40656"/>
    <cellStyle name="Standaard 59 3 5 4 3" xfId="40657"/>
    <cellStyle name="Standaard 59 3 5 5" xfId="40658"/>
    <cellStyle name="Standaard 59 3 5 5 2" xfId="40659"/>
    <cellStyle name="Standaard 59 3 5 6" xfId="40660"/>
    <cellStyle name="Standaard 59 3 5 7" xfId="40661"/>
    <cellStyle name="Standaard 59 3 6" xfId="40662"/>
    <cellStyle name="Standaard 59 3 6 2" xfId="40663"/>
    <cellStyle name="Standaard 59 3 6 2 2" xfId="40664"/>
    <cellStyle name="Standaard 59 3 6 2 2 2" xfId="40665"/>
    <cellStyle name="Standaard 59 3 6 2 2 2 2" xfId="40666"/>
    <cellStyle name="Standaard 59 3 6 2 2 3" xfId="40667"/>
    <cellStyle name="Standaard 59 3 6 2 3" xfId="40668"/>
    <cellStyle name="Standaard 59 3 6 2 3 2" xfId="40669"/>
    <cellStyle name="Standaard 59 3 6 2 4" xfId="40670"/>
    <cellStyle name="Standaard 59 3 6 3" xfId="40671"/>
    <cellStyle name="Standaard 59 3 6 3 2" xfId="40672"/>
    <cellStyle name="Standaard 59 3 6 3 2 2" xfId="40673"/>
    <cellStyle name="Standaard 59 3 6 3 3" xfId="40674"/>
    <cellStyle name="Standaard 59 3 6 4" xfId="40675"/>
    <cellStyle name="Standaard 59 3 6 4 2" xfId="40676"/>
    <cellStyle name="Standaard 59 3 6 5" xfId="40677"/>
    <cellStyle name="Standaard 59 3 6 6" xfId="40678"/>
    <cellStyle name="Standaard 59 3 7" xfId="40679"/>
    <cellStyle name="Standaard 59 3 7 2" xfId="40680"/>
    <cellStyle name="Standaard 59 3 7 2 2" xfId="40681"/>
    <cellStyle name="Standaard 59 3 7 2 2 2" xfId="40682"/>
    <cellStyle name="Standaard 59 3 7 2 3" xfId="40683"/>
    <cellStyle name="Standaard 59 3 7 3" xfId="40684"/>
    <cellStyle name="Standaard 59 3 7 3 2" xfId="40685"/>
    <cellStyle name="Standaard 59 3 7 4" xfId="40686"/>
    <cellStyle name="Standaard 59 3 8" xfId="40687"/>
    <cellStyle name="Standaard 59 3 8 2" xfId="40688"/>
    <cellStyle name="Standaard 59 3 8 2 2" xfId="40689"/>
    <cellStyle name="Standaard 59 3 8 3" xfId="40690"/>
    <cellStyle name="Standaard 59 3 9" xfId="40691"/>
    <cellStyle name="Standaard 59 3 9 2" xfId="40692"/>
    <cellStyle name="Standaard 59 4" xfId="40693"/>
    <cellStyle name="Standaard 59 4 2" xfId="40694"/>
    <cellStyle name="Standaard 59 4 2 2" xfId="40695"/>
    <cellStyle name="Standaard 59 4 2 2 2" xfId="40696"/>
    <cellStyle name="Standaard 59 4 2 2 2 2" xfId="40697"/>
    <cellStyle name="Standaard 59 4 2 2 2 2 2" xfId="40698"/>
    <cellStyle name="Standaard 59 4 2 2 2 2 2 2" xfId="40699"/>
    <cellStyle name="Standaard 59 4 2 2 2 2 2 2 2" xfId="40700"/>
    <cellStyle name="Standaard 59 4 2 2 2 2 2 3" xfId="40701"/>
    <cellStyle name="Standaard 59 4 2 2 2 2 3" xfId="40702"/>
    <cellStyle name="Standaard 59 4 2 2 2 2 3 2" xfId="40703"/>
    <cellStyle name="Standaard 59 4 2 2 2 2 4" xfId="40704"/>
    <cellStyle name="Standaard 59 4 2 2 2 3" xfId="40705"/>
    <cellStyle name="Standaard 59 4 2 2 2 3 2" xfId="40706"/>
    <cellStyle name="Standaard 59 4 2 2 2 3 2 2" xfId="40707"/>
    <cellStyle name="Standaard 59 4 2 2 2 3 3" xfId="40708"/>
    <cellStyle name="Standaard 59 4 2 2 2 4" xfId="40709"/>
    <cellStyle name="Standaard 59 4 2 2 2 4 2" xfId="40710"/>
    <cellStyle name="Standaard 59 4 2 2 2 5" xfId="40711"/>
    <cellStyle name="Standaard 59 4 2 2 2 6" xfId="40712"/>
    <cellStyle name="Standaard 59 4 2 2 3" xfId="40713"/>
    <cellStyle name="Standaard 59 4 2 2 3 2" xfId="40714"/>
    <cellStyle name="Standaard 59 4 2 2 3 2 2" xfId="40715"/>
    <cellStyle name="Standaard 59 4 2 2 3 2 2 2" xfId="40716"/>
    <cellStyle name="Standaard 59 4 2 2 3 2 3" xfId="40717"/>
    <cellStyle name="Standaard 59 4 2 2 3 3" xfId="40718"/>
    <cellStyle name="Standaard 59 4 2 2 3 3 2" xfId="40719"/>
    <cellStyle name="Standaard 59 4 2 2 3 4" xfId="40720"/>
    <cellStyle name="Standaard 59 4 2 2 4" xfId="40721"/>
    <cellStyle name="Standaard 59 4 2 2 4 2" xfId="40722"/>
    <cellStyle name="Standaard 59 4 2 2 4 2 2" xfId="40723"/>
    <cellStyle name="Standaard 59 4 2 2 4 3" xfId="40724"/>
    <cellStyle name="Standaard 59 4 2 2 5" xfId="40725"/>
    <cellStyle name="Standaard 59 4 2 2 5 2" xfId="40726"/>
    <cellStyle name="Standaard 59 4 2 2 6" xfId="40727"/>
    <cellStyle name="Standaard 59 4 2 2 7" xfId="40728"/>
    <cellStyle name="Standaard 59 4 2 3" xfId="40729"/>
    <cellStyle name="Standaard 59 4 2 3 2" xfId="40730"/>
    <cellStyle name="Standaard 59 4 2 3 2 2" xfId="40731"/>
    <cellStyle name="Standaard 59 4 2 3 2 2 2" xfId="40732"/>
    <cellStyle name="Standaard 59 4 2 3 2 2 2 2" xfId="40733"/>
    <cellStyle name="Standaard 59 4 2 3 2 2 3" xfId="40734"/>
    <cellStyle name="Standaard 59 4 2 3 2 3" xfId="40735"/>
    <cellStyle name="Standaard 59 4 2 3 2 3 2" xfId="40736"/>
    <cellStyle name="Standaard 59 4 2 3 2 4" xfId="40737"/>
    <cellStyle name="Standaard 59 4 2 3 3" xfId="40738"/>
    <cellStyle name="Standaard 59 4 2 3 3 2" xfId="40739"/>
    <cellStyle name="Standaard 59 4 2 3 3 2 2" xfId="40740"/>
    <cellStyle name="Standaard 59 4 2 3 3 3" xfId="40741"/>
    <cellStyle name="Standaard 59 4 2 3 4" xfId="40742"/>
    <cellStyle name="Standaard 59 4 2 3 4 2" xfId="40743"/>
    <cellStyle name="Standaard 59 4 2 3 5" xfId="40744"/>
    <cellStyle name="Standaard 59 4 2 3 6" xfId="40745"/>
    <cellStyle name="Standaard 59 4 2 4" xfId="40746"/>
    <cellStyle name="Standaard 59 4 2 4 2" xfId="40747"/>
    <cellStyle name="Standaard 59 4 2 4 2 2" xfId="40748"/>
    <cellStyle name="Standaard 59 4 2 4 2 2 2" xfId="40749"/>
    <cellStyle name="Standaard 59 4 2 4 2 3" xfId="40750"/>
    <cellStyle name="Standaard 59 4 2 4 3" xfId="40751"/>
    <cellStyle name="Standaard 59 4 2 4 3 2" xfId="40752"/>
    <cellStyle name="Standaard 59 4 2 4 4" xfId="40753"/>
    <cellStyle name="Standaard 59 4 2 5" xfId="40754"/>
    <cellStyle name="Standaard 59 4 2 5 2" xfId="40755"/>
    <cellStyle name="Standaard 59 4 2 5 2 2" xfId="40756"/>
    <cellStyle name="Standaard 59 4 2 5 3" xfId="40757"/>
    <cellStyle name="Standaard 59 4 2 6" xfId="40758"/>
    <cellStyle name="Standaard 59 4 2 6 2" xfId="40759"/>
    <cellStyle name="Standaard 59 4 2 7" xfId="40760"/>
    <cellStyle name="Standaard 59 4 2 8" xfId="40761"/>
    <cellStyle name="Standaard 59 4 3" xfId="40762"/>
    <cellStyle name="Standaard 59 4 3 2" xfId="40763"/>
    <cellStyle name="Standaard 59 4 3 2 2" xfId="40764"/>
    <cellStyle name="Standaard 59 4 3 2 2 2" xfId="40765"/>
    <cellStyle name="Standaard 59 4 3 2 2 2 2" xfId="40766"/>
    <cellStyle name="Standaard 59 4 3 2 2 2 2 2" xfId="40767"/>
    <cellStyle name="Standaard 59 4 3 2 2 2 3" xfId="40768"/>
    <cellStyle name="Standaard 59 4 3 2 2 3" xfId="40769"/>
    <cellStyle name="Standaard 59 4 3 2 2 3 2" xfId="40770"/>
    <cellStyle name="Standaard 59 4 3 2 2 4" xfId="40771"/>
    <cellStyle name="Standaard 59 4 3 2 3" xfId="40772"/>
    <cellStyle name="Standaard 59 4 3 2 3 2" xfId="40773"/>
    <cellStyle name="Standaard 59 4 3 2 3 2 2" xfId="40774"/>
    <cellStyle name="Standaard 59 4 3 2 3 3" xfId="40775"/>
    <cellStyle name="Standaard 59 4 3 2 4" xfId="40776"/>
    <cellStyle name="Standaard 59 4 3 2 4 2" xfId="40777"/>
    <cellStyle name="Standaard 59 4 3 2 5" xfId="40778"/>
    <cellStyle name="Standaard 59 4 3 2 6" xfId="40779"/>
    <cellStyle name="Standaard 59 4 3 3" xfId="40780"/>
    <cellStyle name="Standaard 59 4 3 3 2" xfId="40781"/>
    <cellStyle name="Standaard 59 4 3 3 2 2" xfId="40782"/>
    <cellStyle name="Standaard 59 4 3 3 2 2 2" xfId="40783"/>
    <cellStyle name="Standaard 59 4 3 3 2 3" xfId="40784"/>
    <cellStyle name="Standaard 59 4 3 3 3" xfId="40785"/>
    <cellStyle name="Standaard 59 4 3 3 3 2" xfId="40786"/>
    <cellStyle name="Standaard 59 4 3 3 4" xfId="40787"/>
    <cellStyle name="Standaard 59 4 3 4" xfId="40788"/>
    <cellStyle name="Standaard 59 4 3 4 2" xfId="40789"/>
    <cellStyle name="Standaard 59 4 3 4 2 2" xfId="40790"/>
    <cellStyle name="Standaard 59 4 3 4 3" xfId="40791"/>
    <cellStyle name="Standaard 59 4 3 5" xfId="40792"/>
    <cellStyle name="Standaard 59 4 3 5 2" xfId="40793"/>
    <cellStyle name="Standaard 59 4 3 6" xfId="40794"/>
    <cellStyle name="Standaard 59 4 3 7" xfId="40795"/>
    <cellStyle name="Standaard 59 4 4" xfId="40796"/>
    <cellStyle name="Standaard 59 4 4 2" xfId="40797"/>
    <cellStyle name="Standaard 59 4 4 2 2" xfId="40798"/>
    <cellStyle name="Standaard 59 4 4 2 2 2" xfId="40799"/>
    <cellStyle name="Standaard 59 4 4 2 2 2 2" xfId="40800"/>
    <cellStyle name="Standaard 59 4 4 2 2 3" xfId="40801"/>
    <cellStyle name="Standaard 59 4 4 2 3" xfId="40802"/>
    <cellStyle name="Standaard 59 4 4 2 3 2" xfId="40803"/>
    <cellStyle name="Standaard 59 4 4 2 4" xfId="40804"/>
    <cellStyle name="Standaard 59 4 4 3" xfId="40805"/>
    <cellStyle name="Standaard 59 4 4 3 2" xfId="40806"/>
    <cellStyle name="Standaard 59 4 4 3 2 2" xfId="40807"/>
    <cellStyle name="Standaard 59 4 4 3 3" xfId="40808"/>
    <cellStyle name="Standaard 59 4 4 4" xfId="40809"/>
    <cellStyle name="Standaard 59 4 4 4 2" xfId="40810"/>
    <cellStyle name="Standaard 59 4 4 5" xfId="40811"/>
    <cellStyle name="Standaard 59 4 4 6" xfId="40812"/>
    <cellStyle name="Standaard 59 4 5" xfId="40813"/>
    <cellStyle name="Standaard 59 4 5 2" xfId="40814"/>
    <cellStyle name="Standaard 59 4 5 2 2" xfId="40815"/>
    <cellStyle name="Standaard 59 4 5 2 2 2" xfId="40816"/>
    <cellStyle name="Standaard 59 4 5 2 3" xfId="40817"/>
    <cellStyle name="Standaard 59 4 5 3" xfId="40818"/>
    <cellStyle name="Standaard 59 4 5 3 2" xfId="40819"/>
    <cellStyle name="Standaard 59 4 5 4" xfId="40820"/>
    <cellStyle name="Standaard 59 4 6" xfId="40821"/>
    <cellStyle name="Standaard 59 4 6 2" xfId="40822"/>
    <cellStyle name="Standaard 59 4 6 2 2" xfId="40823"/>
    <cellStyle name="Standaard 59 4 6 3" xfId="40824"/>
    <cellStyle name="Standaard 59 4 7" xfId="40825"/>
    <cellStyle name="Standaard 59 4 7 2" xfId="40826"/>
    <cellStyle name="Standaard 59 4 8" xfId="40827"/>
    <cellStyle name="Standaard 59 4 9" xfId="40828"/>
    <cellStyle name="Standaard 59 5" xfId="40829"/>
    <cellStyle name="Standaard 59 5 2" xfId="40830"/>
    <cellStyle name="Standaard 59 5 2 2" xfId="40831"/>
    <cellStyle name="Standaard 59 5 2 2 2" xfId="40832"/>
    <cellStyle name="Standaard 59 5 2 2 2 2" xfId="40833"/>
    <cellStyle name="Standaard 59 5 2 2 2 2 2" xfId="40834"/>
    <cellStyle name="Standaard 59 5 2 2 2 2 2 2" xfId="40835"/>
    <cellStyle name="Standaard 59 5 2 2 2 2 3" xfId="40836"/>
    <cellStyle name="Standaard 59 5 2 2 2 3" xfId="40837"/>
    <cellStyle name="Standaard 59 5 2 2 2 3 2" xfId="40838"/>
    <cellStyle name="Standaard 59 5 2 2 2 4" xfId="40839"/>
    <cellStyle name="Standaard 59 5 2 2 3" xfId="40840"/>
    <cellStyle name="Standaard 59 5 2 2 3 2" xfId="40841"/>
    <cellStyle name="Standaard 59 5 2 2 3 2 2" xfId="40842"/>
    <cellStyle name="Standaard 59 5 2 2 3 3" xfId="40843"/>
    <cellStyle name="Standaard 59 5 2 2 4" xfId="40844"/>
    <cellStyle name="Standaard 59 5 2 2 4 2" xfId="40845"/>
    <cellStyle name="Standaard 59 5 2 2 5" xfId="40846"/>
    <cellStyle name="Standaard 59 5 2 2 6" xfId="40847"/>
    <cellStyle name="Standaard 59 5 2 3" xfId="40848"/>
    <cellStyle name="Standaard 59 5 2 3 2" xfId="40849"/>
    <cellStyle name="Standaard 59 5 2 3 2 2" xfId="40850"/>
    <cellStyle name="Standaard 59 5 2 3 2 2 2" xfId="40851"/>
    <cellStyle name="Standaard 59 5 2 3 2 3" xfId="40852"/>
    <cellStyle name="Standaard 59 5 2 3 3" xfId="40853"/>
    <cellStyle name="Standaard 59 5 2 3 3 2" xfId="40854"/>
    <cellStyle name="Standaard 59 5 2 3 4" xfId="40855"/>
    <cellStyle name="Standaard 59 5 2 4" xfId="40856"/>
    <cellStyle name="Standaard 59 5 2 4 2" xfId="40857"/>
    <cellStyle name="Standaard 59 5 2 4 2 2" xfId="40858"/>
    <cellStyle name="Standaard 59 5 2 4 3" xfId="40859"/>
    <cellStyle name="Standaard 59 5 2 5" xfId="40860"/>
    <cellStyle name="Standaard 59 5 2 5 2" xfId="40861"/>
    <cellStyle name="Standaard 59 5 2 6" xfId="40862"/>
    <cellStyle name="Standaard 59 5 2 7" xfId="40863"/>
    <cellStyle name="Standaard 59 5 3" xfId="40864"/>
    <cellStyle name="Standaard 59 5 3 2" xfId="40865"/>
    <cellStyle name="Standaard 59 5 3 2 2" xfId="40866"/>
    <cellStyle name="Standaard 59 5 3 2 2 2" xfId="40867"/>
    <cellStyle name="Standaard 59 5 3 2 2 2 2" xfId="40868"/>
    <cellStyle name="Standaard 59 5 3 2 2 3" xfId="40869"/>
    <cellStyle name="Standaard 59 5 3 2 3" xfId="40870"/>
    <cellStyle name="Standaard 59 5 3 2 3 2" xfId="40871"/>
    <cellStyle name="Standaard 59 5 3 2 4" xfId="40872"/>
    <cellStyle name="Standaard 59 5 3 3" xfId="40873"/>
    <cellStyle name="Standaard 59 5 3 3 2" xfId="40874"/>
    <cellStyle name="Standaard 59 5 3 3 2 2" xfId="40875"/>
    <cellStyle name="Standaard 59 5 3 3 3" xfId="40876"/>
    <cellStyle name="Standaard 59 5 3 4" xfId="40877"/>
    <cellStyle name="Standaard 59 5 3 4 2" xfId="40878"/>
    <cellStyle name="Standaard 59 5 3 5" xfId="40879"/>
    <cellStyle name="Standaard 59 5 3 6" xfId="40880"/>
    <cellStyle name="Standaard 59 5 4" xfId="40881"/>
    <cellStyle name="Standaard 59 5 4 2" xfId="40882"/>
    <cellStyle name="Standaard 59 5 4 2 2" xfId="40883"/>
    <cellStyle name="Standaard 59 5 4 2 2 2" xfId="40884"/>
    <cellStyle name="Standaard 59 5 4 2 3" xfId="40885"/>
    <cellStyle name="Standaard 59 5 4 3" xfId="40886"/>
    <cellStyle name="Standaard 59 5 4 3 2" xfId="40887"/>
    <cellStyle name="Standaard 59 5 4 4" xfId="40888"/>
    <cellStyle name="Standaard 59 5 5" xfId="40889"/>
    <cellStyle name="Standaard 59 5 5 2" xfId="40890"/>
    <cellStyle name="Standaard 59 5 5 2 2" xfId="40891"/>
    <cellStyle name="Standaard 59 5 5 3" xfId="40892"/>
    <cellStyle name="Standaard 59 5 6" xfId="40893"/>
    <cellStyle name="Standaard 59 5 6 2" xfId="40894"/>
    <cellStyle name="Standaard 59 5 7" xfId="40895"/>
    <cellStyle name="Standaard 59 5 8" xfId="40896"/>
    <cellStyle name="Standaard 59 6" xfId="40897"/>
    <cellStyle name="Standaard 59 6 2" xfId="40898"/>
    <cellStyle name="Standaard 59 6 2 2" xfId="40899"/>
    <cellStyle name="Standaard 59 6 2 2 2" xfId="40900"/>
    <cellStyle name="Standaard 59 6 2 2 2 2" xfId="40901"/>
    <cellStyle name="Standaard 59 6 2 2 2 2 2" xfId="40902"/>
    <cellStyle name="Standaard 59 6 2 2 2 2 2 2" xfId="40903"/>
    <cellStyle name="Standaard 59 6 2 2 2 2 3" xfId="40904"/>
    <cellStyle name="Standaard 59 6 2 2 2 3" xfId="40905"/>
    <cellStyle name="Standaard 59 6 2 2 2 3 2" xfId="40906"/>
    <cellStyle name="Standaard 59 6 2 2 2 4" xfId="40907"/>
    <cellStyle name="Standaard 59 6 2 2 3" xfId="40908"/>
    <cellStyle name="Standaard 59 6 2 2 3 2" xfId="40909"/>
    <cellStyle name="Standaard 59 6 2 2 3 2 2" xfId="40910"/>
    <cellStyle name="Standaard 59 6 2 2 3 3" xfId="40911"/>
    <cellStyle name="Standaard 59 6 2 2 4" xfId="40912"/>
    <cellStyle name="Standaard 59 6 2 2 4 2" xfId="40913"/>
    <cellStyle name="Standaard 59 6 2 2 5" xfId="40914"/>
    <cellStyle name="Standaard 59 6 2 2 6" xfId="40915"/>
    <cellStyle name="Standaard 59 6 2 3" xfId="40916"/>
    <cellStyle name="Standaard 59 6 2 3 2" xfId="40917"/>
    <cellStyle name="Standaard 59 6 2 3 2 2" xfId="40918"/>
    <cellStyle name="Standaard 59 6 2 3 2 2 2" xfId="40919"/>
    <cellStyle name="Standaard 59 6 2 3 2 3" xfId="40920"/>
    <cellStyle name="Standaard 59 6 2 3 3" xfId="40921"/>
    <cellStyle name="Standaard 59 6 2 3 3 2" xfId="40922"/>
    <cellStyle name="Standaard 59 6 2 3 4" xfId="40923"/>
    <cellStyle name="Standaard 59 6 2 4" xfId="40924"/>
    <cellStyle name="Standaard 59 6 2 4 2" xfId="40925"/>
    <cellStyle name="Standaard 59 6 2 4 2 2" xfId="40926"/>
    <cellStyle name="Standaard 59 6 2 4 3" xfId="40927"/>
    <cellStyle name="Standaard 59 6 2 5" xfId="40928"/>
    <cellStyle name="Standaard 59 6 2 5 2" xfId="40929"/>
    <cellStyle name="Standaard 59 6 2 6" xfId="40930"/>
    <cellStyle name="Standaard 59 6 2 7" xfId="40931"/>
    <cellStyle name="Standaard 59 6 3" xfId="40932"/>
    <cellStyle name="Standaard 59 6 3 2" xfId="40933"/>
    <cellStyle name="Standaard 59 6 3 2 2" xfId="40934"/>
    <cellStyle name="Standaard 59 6 3 2 2 2" xfId="40935"/>
    <cellStyle name="Standaard 59 6 3 2 2 2 2" xfId="40936"/>
    <cellStyle name="Standaard 59 6 3 2 2 3" xfId="40937"/>
    <cellStyle name="Standaard 59 6 3 2 3" xfId="40938"/>
    <cellStyle name="Standaard 59 6 3 2 3 2" xfId="40939"/>
    <cellStyle name="Standaard 59 6 3 2 4" xfId="40940"/>
    <cellStyle name="Standaard 59 6 3 3" xfId="40941"/>
    <cellStyle name="Standaard 59 6 3 3 2" xfId="40942"/>
    <cellStyle name="Standaard 59 6 3 3 2 2" xfId="40943"/>
    <cellStyle name="Standaard 59 6 3 3 3" xfId="40944"/>
    <cellStyle name="Standaard 59 6 3 4" xfId="40945"/>
    <cellStyle name="Standaard 59 6 3 4 2" xfId="40946"/>
    <cellStyle name="Standaard 59 6 3 5" xfId="40947"/>
    <cellStyle name="Standaard 59 6 3 6" xfId="40948"/>
    <cellStyle name="Standaard 59 6 4" xfId="40949"/>
    <cellStyle name="Standaard 59 6 4 2" xfId="40950"/>
    <cellStyle name="Standaard 59 6 4 2 2" xfId="40951"/>
    <cellStyle name="Standaard 59 6 4 2 2 2" xfId="40952"/>
    <cellStyle name="Standaard 59 6 4 2 3" xfId="40953"/>
    <cellStyle name="Standaard 59 6 4 3" xfId="40954"/>
    <cellStyle name="Standaard 59 6 4 3 2" xfId="40955"/>
    <cellStyle name="Standaard 59 6 4 4" xfId="40956"/>
    <cellStyle name="Standaard 59 6 5" xfId="40957"/>
    <cellStyle name="Standaard 59 6 5 2" xfId="40958"/>
    <cellStyle name="Standaard 59 6 5 2 2" xfId="40959"/>
    <cellStyle name="Standaard 59 6 5 3" xfId="40960"/>
    <cellStyle name="Standaard 59 6 6" xfId="40961"/>
    <cellStyle name="Standaard 59 6 6 2" xfId="40962"/>
    <cellStyle name="Standaard 59 6 7" xfId="40963"/>
    <cellStyle name="Standaard 59 6 8" xfId="40964"/>
    <cellStyle name="Standaard 59 7" xfId="40965"/>
    <cellStyle name="Standaard 59 7 2" xfId="40966"/>
    <cellStyle name="Standaard 59 7 2 2" xfId="40967"/>
    <cellStyle name="Standaard 59 7 2 2 2" xfId="40968"/>
    <cellStyle name="Standaard 59 7 2 2 2 2" xfId="40969"/>
    <cellStyle name="Standaard 59 7 2 2 2 2 2" xfId="40970"/>
    <cellStyle name="Standaard 59 7 2 2 2 3" xfId="40971"/>
    <cellStyle name="Standaard 59 7 2 2 3" xfId="40972"/>
    <cellStyle name="Standaard 59 7 2 2 3 2" xfId="40973"/>
    <cellStyle name="Standaard 59 7 2 2 4" xfId="40974"/>
    <cellStyle name="Standaard 59 7 2 3" xfId="40975"/>
    <cellStyle name="Standaard 59 7 2 3 2" xfId="40976"/>
    <cellStyle name="Standaard 59 7 2 3 2 2" xfId="40977"/>
    <cellStyle name="Standaard 59 7 2 3 3" xfId="40978"/>
    <cellStyle name="Standaard 59 7 2 4" xfId="40979"/>
    <cellStyle name="Standaard 59 7 2 4 2" xfId="40980"/>
    <cellStyle name="Standaard 59 7 2 5" xfId="40981"/>
    <cellStyle name="Standaard 59 7 2 6" xfId="40982"/>
    <cellStyle name="Standaard 59 7 3" xfId="40983"/>
    <cellStyle name="Standaard 59 7 3 2" xfId="40984"/>
    <cellStyle name="Standaard 59 7 3 2 2" xfId="40985"/>
    <cellStyle name="Standaard 59 7 3 2 2 2" xfId="40986"/>
    <cellStyle name="Standaard 59 7 3 2 3" xfId="40987"/>
    <cellStyle name="Standaard 59 7 3 3" xfId="40988"/>
    <cellStyle name="Standaard 59 7 3 3 2" xfId="40989"/>
    <cellStyle name="Standaard 59 7 3 4" xfId="40990"/>
    <cellStyle name="Standaard 59 7 4" xfId="40991"/>
    <cellStyle name="Standaard 59 7 4 2" xfId="40992"/>
    <cellStyle name="Standaard 59 7 4 2 2" xfId="40993"/>
    <cellStyle name="Standaard 59 7 4 3" xfId="40994"/>
    <cellStyle name="Standaard 59 7 5" xfId="40995"/>
    <cellStyle name="Standaard 59 7 5 2" xfId="40996"/>
    <cellStyle name="Standaard 59 7 6" xfId="40997"/>
    <cellStyle name="Standaard 59 7 7" xfId="40998"/>
    <cellStyle name="Standaard 59 8" xfId="40999"/>
    <cellStyle name="Standaard 59 8 2" xfId="41000"/>
    <cellStyle name="Standaard 59 8 2 2" xfId="41001"/>
    <cellStyle name="Standaard 59 8 2 2 2" xfId="41002"/>
    <cellStyle name="Standaard 59 8 2 2 2 2" xfId="41003"/>
    <cellStyle name="Standaard 59 8 2 2 3" xfId="41004"/>
    <cellStyle name="Standaard 59 8 2 3" xfId="41005"/>
    <cellStyle name="Standaard 59 8 2 3 2" xfId="41006"/>
    <cellStyle name="Standaard 59 8 2 4" xfId="41007"/>
    <cellStyle name="Standaard 59 8 3" xfId="41008"/>
    <cellStyle name="Standaard 59 8 3 2" xfId="41009"/>
    <cellStyle name="Standaard 59 8 3 2 2" xfId="41010"/>
    <cellStyle name="Standaard 59 8 3 3" xfId="41011"/>
    <cellStyle name="Standaard 59 8 4" xfId="41012"/>
    <cellStyle name="Standaard 59 8 4 2" xfId="41013"/>
    <cellStyle name="Standaard 59 8 5" xfId="41014"/>
    <cellStyle name="Standaard 59 8 6" xfId="41015"/>
    <cellStyle name="Standaard 59 9" xfId="41016"/>
    <cellStyle name="Standaard 59 9 2" xfId="41017"/>
    <cellStyle name="Standaard 59 9 2 2" xfId="41018"/>
    <cellStyle name="Standaard 59 9 2 2 2" xfId="41019"/>
    <cellStyle name="Standaard 59 9 2 3" xfId="41020"/>
    <cellStyle name="Standaard 59 9 3" xfId="41021"/>
    <cellStyle name="Standaard 59 9 3 2" xfId="41022"/>
    <cellStyle name="Standaard 59 9 4" xfId="41023"/>
    <cellStyle name="Standaard 6" xfId="41024"/>
    <cellStyle name="Standaard 6 10" xfId="41025"/>
    <cellStyle name="Standaard 6 10 2" xfId="41026"/>
    <cellStyle name="Standaard 6 10 2 2" xfId="41027"/>
    <cellStyle name="Standaard 6 10 3" xfId="41028"/>
    <cellStyle name="Standaard 6 11" xfId="41029"/>
    <cellStyle name="Standaard 6 11 2" xfId="41030"/>
    <cellStyle name="Standaard 6 12" xfId="41031"/>
    <cellStyle name="Standaard 6 13" xfId="41032"/>
    <cellStyle name="Standaard 6 2" xfId="41033"/>
    <cellStyle name="Standaard 6 2 10" xfId="41034"/>
    <cellStyle name="Standaard 6 2 10 2" xfId="41035"/>
    <cellStyle name="Standaard 6 2 11" xfId="41036"/>
    <cellStyle name="Standaard 6 2 12" xfId="41037"/>
    <cellStyle name="Standaard 6 2 2" xfId="41038"/>
    <cellStyle name="Standaard 6 2 2 10" xfId="41039"/>
    <cellStyle name="Standaard 6 2 2 11" xfId="41040"/>
    <cellStyle name="Standaard 6 2 2 2" xfId="41041"/>
    <cellStyle name="Standaard 6 2 2 2 2" xfId="41042"/>
    <cellStyle name="Standaard 6 2 2 2 2 2" xfId="41043"/>
    <cellStyle name="Standaard 6 2 2 2 2 2 2" xfId="41044"/>
    <cellStyle name="Standaard 6 2 2 2 2 2 2 2" xfId="41045"/>
    <cellStyle name="Standaard 6 2 2 2 2 2 2 2 2" xfId="41046"/>
    <cellStyle name="Standaard 6 2 2 2 2 2 2 2 2 2" xfId="41047"/>
    <cellStyle name="Standaard 6 2 2 2 2 2 2 2 2 2 2" xfId="41048"/>
    <cellStyle name="Standaard 6 2 2 2 2 2 2 2 2 3" xfId="41049"/>
    <cellStyle name="Standaard 6 2 2 2 2 2 2 2 3" xfId="41050"/>
    <cellStyle name="Standaard 6 2 2 2 2 2 2 2 3 2" xfId="41051"/>
    <cellStyle name="Standaard 6 2 2 2 2 2 2 2 4" xfId="41052"/>
    <cellStyle name="Standaard 6 2 2 2 2 2 2 3" xfId="41053"/>
    <cellStyle name="Standaard 6 2 2 2 2 2 2 3 2" xfId="41054"/>
    <cellStyle name="Standaard 6 2 2 2 2 2 2 3 2 2" xfId="41055"/>
    <cellStyle name="Standaard 6 2 2 2 2 2 2 3 3" xfId="41056"/>
    <cellStyle name="Standaard 6 2 2 2 2 2 2 4" xfId="41057"/>
    <cellStyle name="Standaard 6 2 2 2 2 2 2 4 2" xfId="41058"/>
    <cellStyle name="Standaard 6 2 2 2 2 2 2 5" xfId="41059"/>
    <cellStyle name="Standaard 6 2 2 2 2 2 2 6" xfId="41060"/>
    <cellStyle name="Standaard 6 2 2 2 2 2 3" xfId="41061"/>
    <cellStyle name="Standaard 6 2 2 2 2 2 3 2" xfId="41062"/>
    <cellStyle name="Standaard 6 2 2 2 2 2 3 2 2" xfId="41063"/>
    <cellStyle name="Standaard 6 2 2 2 2 2 3 2 2 2" xfId="41064"/>
    <cellStyle name="Standaard 6 2 2 2 2 2 3 2 3" xfId="41065"/>
    <cellStyle name="Standaard 6 2 2 2 2 2 3 3" xfId="41066"/>
    <cellStyle name="Standaard 6 2 2 2 2 2 3 3 2" xfId="41067"/>
    <cellStyle name="Standaard 6 2 2 2 2 2 3 4" xfId="41068"/>
    <cellStyle name="Standaard 6 2 2 2 2 2 4" xfId="41069"/>
    <cellStyle name="Standaard 6 2 2 2 2 2 4 2" xfId="41070"/>
    <cellStyle name="Standaard 6 2 2 2 2 2 4 2 2" xfId="41071"/>
    <cellStyle name="Standaard 6 2 2 2 2 2 4 3" xfId="41072"/>
    <cellStyle name="Standaard 6 2 2 2 2 2 5" xfId="41073"/>
    <cellStyle name="Standaard 6 2 2 2 2 2 5 2" xfId="41074"/>
    <cellStyle name="Standaard 6 2 2 2 2 2 6" xfId="41075"/>
    <cellStyle name="Standaard 6 2 2 2 2 2 7" xfId="41076"/>
    <cellStyle name="Standaard 6 2 2 2 2 3" xfId="41077"/>
    <cellStyle name="Standaard 6 2 2 2 2 3 2" xfId="41078"/>
    <cellStyle name="Standaard 6 2 2 2 2 3 2 2" xfId="41079"/>
    <cellStyle name="Standaard 6 2 2 2 2 3 2 2 2" xfId="41080"/>
    <cellStyle name="Standaard 6 2 2 2 2 3 2 2 2 2" xfId="41081"/>
    <cellStyle name="Standaard 6 2 2 2 2 3 2 2 3" xfId="41082"/>
    <cellStyle name="Standaard 6 2 2 2 2 3 2 3" xfId="41083"/>
    <cellStyle name="Standaard 6 2 2 2 2 3 2 3 2" xfId="41084"/>
    <cellStyle name="Standaard 6 2 2 2 2 3 2 4" xfId="41085"/>
    <cellStyle name="Standaard 6 2 2 2 2 3 3" xfId="41086"/>
    <cellStyle name="Standaard 6 2 2 2 2 3 3 2" xfId="41087"/>
    <cellStyle name="Standaard 6 2 2 2 2 3 3 2 2" xfId="41088"/>
    <cellStyle name="Standaard 6 2 2 2 2 3 3 3" xfId="41089"/>
    <cellStyle name="Standaard 6 2 2 2 2 3 4" xfId="41090"/>
    <cellStyle name="Standaard 6 2 2 2 2 3 4 2" xfId="41091"/>
    <cellStyle name="Standaard 6 2 2 2 2 3 5" xfId="41092"/>
    <cellStyle name="Standaard 6 2 2 2 2 3 6" xfId="41093"/>
    <cellStyle name="Standaard 6 2 2 2 2 4" xfId="41094"/>
    <cellStyle name="Standaard 6 2 2 2 2 4 2" xfId="41095"/>
    <cellStyle name="Standaard 6 2 2 2 2 4 2 2" xfId="41096"/>
    <cellStyle name="Standaard 6 2 2 2 2 4 2 2 2" xfId="41097"/>
    <cellStyle name="Standaard 6 2 2 2 2 4 2 3" xfId="41098"/>
    <cellStyle name="Standaard 6 2 2 2 2 4 3" xfId="41099"/>
    <cellStyle name="Standaard 6 2 2 2 2 4 3 2" xfId="41100"/>
    <cellStyle name="Standaard 6 2 2 2 2 4 4" xfId="41101"/>
    <cellStyle name="Standaard 6 2 2 2 2 5" xfId="41102"/>
    <cellStyle name="Standaard 6 2 2 2 2 5 2" xfId="41103"/>
    <cellStyle name="Standaard 6 2 2 2 2 5 2 2" xfId="41104"/>
    <cellStyle name="Standaard 6 2 2 2 2 5 3" xfId="41105"/>
    <cellStyle name="Standaard 6 2 2 2 2 6" xfId="41106"/>
    <cellStyle name="Standaard 6 2 2 2 2 6 2" xfId="41107"/>
    <cellStyle name="Standaard 6 2 2 2 2 7" xfId="41108"/>
    <cellStyle name="Standaard 6 2 2 2 2 8" xfId="41109"/>
    <cellStyle name="Standaard 6 2 2 2 3" xfId="41110"/>
    <cellStyle name="Standaard 6 2 2 2 3 2" xfId="41111"/>
    <cellStyle name="Standaard 6 2 2 2 3 2 2" xfId="41112"/>
    <cellStyle name="Standaard 6 2 2 2 3 2 2 2" xfId="41113"/>
    <cellStyle name="Standaard 6 2 2 2 3 2 2 2 2" xfId="41114"/>
    <cellStyle name="Standaard 6 2 2 2 3 2 2 2 2 2" xfId="41115"/>
    <cellStyle name="Standaard 6 2 2 2 3 2 2 2 3" xfId="41116"/>
    <cellStyle name="Standaard 6 2 2 2 3 2 2 3" xfId="41117"/>
    <cellStyle name="Standaard 6 2 2 2 3 2 2 3 2" xfId="41118"/>
    <cellStyle name="Standaard 6 2 2 2 3 2 2 4" xfId="41119"/>
    <cellStyle name="Standaard 6 2 2 2 3 2 3" xfId="41120"/>
    <cellStyle name="Standaard 6 2 2 2 3 2 3 2" xfId="41121"/>
    <cellStyle name="Standaard 6 2 2 2 3 2 3 2 2" xfId="41122"/>
    <cellStyle name="Standaard 6 2 2 2 3 2 3 3" xfId="41123"/>
    <cellStyle name="Standaard 6 2 2 2 3 2 4" xfId="41124"/>
    <cellStyle name="Standaard 6 2 2 2 3 2 4 2" xfId="41125"/>
    <cellStyle name="Standaard 6 2 2 2 3 2 5" xfId="41126"/>
    <cellStyle name="Standaard 6 2 2 2 3 2 6" xfId="41127"/>
    <cellStyle name="Standaard 6 2 2 2 3 3" xfId="41128"/>
    <cellStyle name="Standaard 6 2 2 2 3 3 2" xfId="41129"/>
    <cellStyle name="Standaard 6 2 2 2 3 3 2 2" xfId="41130"/>
    <cellStyle name="Standaard 6 2 2 2 3 3 2 2 2" xfId="41131"/>
    <cellStyle name="Standaard 6 2 2 2 3 3 2 3" xfId="41132"/>
    <cellStyle name="Standaard 6 2 2 2 3 3 3" xfId="41133"/>
    <cellStyle name="Standaard 6 2 2 2 3 3 3 2" xfId="41134"/>
    <cellStyle name="Standaard 6 2 2 2 3 3 4" xfId="41135"/>
    <cellStyle name="Standaard 6 2 2 2 3 4" xfId="41136"/>
    <cellStyle name="Standaard 6 2 2 2 3 4 2" xfId="41137"/>
    <cellStyle name="Standaard 6 2 2 2 3 4 2 2" xfId="41138"/>
    <cellStyle name="Standaard 6 2 2 2 3 4 3" xfId="41139"/>
    <cellStyle name="Standaard 6 2 2 2 3 5" xfId="41140"/>
    <cellStyle name="Standaard 6 2 2 2 3 5 2" xfId="41141"/>
    <cellStyle name="Standaard 6 2 2 2 3 6" xfId="41142"/>
    <cellStyle name="Standaard 6 2 2 2 3 7" xfId="41143"/>
    <cellStyle name="Standaard 6 2 2 2 4" xfId="41144"/>
    <cellStyle name="Standaard 6 2 2 2 4 2" xfId="41145"/>
    <cellStyle name="Standaard 6 2 2 2 4 2 2" xfId="41146"/>
    <cellStyle name="Standaard 6 2 2 2 4 2 2 2" xfId="41147"/>
    <cellStyle name="Standaard 6 2 2 2 4 2 2 2 2" xfId="41148"/>
    <cellStyle name="Standaard 6 2 2 2 4 2 2 3" xfId="41149"/>
    <cellStyle name="Standaard 6 2 2 2 4 2 3" xfId="41150"/>
    <cellStyle name="Standaard 6 2 2 2 4 2 3 2" xfId="41151"/>
    <cellStyle name="Standaard 6 2 2 2 4 2 4" xfId="41152"/>
    <cellStyle name="Standaard 6 2 2 2 4 3" xfId="41153"/>
    <cellStyle name="Standaard 6 2 2 2 4 3 2" xfId="41154"/>
    <cellStyle name="Standaard 6 2 2 2 4 3 2 2" xfId="41155"/>
    <cellStyle name="Standaard 6 2 2 2 4 3 3" xfId="41156"/>
    <cellStyle name="Standaard 6 2 2 2 4 4" xfId="41157"/>
    <cellStyle name="Standaard 6 2 2 2 4 4 2" xfId="41158"/>
    <cellStyle name="Standaard 6 2 2 2 4 5" xfId="41159"/>
    <cellStyle name="Standaard 6 2 2 2 4 6" xfId="41160"/>
    <cellStyle name="Standaard 6 2 2 2 5" xfId="41161"/>
    <cellStyle name="Standaard 6 2 2 2 5 2" xfId="41162"/>
    <cellStyle name="Standaard 6 2 2 2 5 2 2" xfId="41163"/>
    <cellStyle name="Standaard 6 2 2 2 5 2 2 2" xfId="41164"/>
    <cellStyle name="Standaard 6 2 2 2 5 2 3" xfId="41165"/>
    <cellStyle name="Standaard 6 2 2 2 5 3" xfId="41166"/>
    <cellStyle name="Standaard 6 2 2 2 5 3 2" xfId="41167"/>
    <cellStyle name="Standaard 6 2 2 2 5 4" xfId="41168"/>
    <cellStyle name="Standaard 6 2 2 2 6" xfId="41169"/>
    <cellStyle name="Standaard 6 2 2 2 6 2" xfId="41170"/>
    <cellStyle name="Standaard 6 2 2 2 6 2 2" xfId="41171"/>
    <cellStyle name="Standaard 6 2 2 2 6 3" xfId="41172"/>
    <cellStyle name="Standaard 6 2 2 2 7" xfId="41173"/>
    <cellStyle name="Standaard 6 2 2 2 7 2" xfId="41174"/>
    <cellStyle name="Standaard 6 2 2 2 8" xfId="41175"/>
    <cellStyle name="Standaard 6 2 2 2 9" xfId="41176"/>
    <cellStyle name="Standaard 6 2 2 3" xfId="41177"/>
    <cellStyle name="Standaard 6 2 2 3 2" xfId="41178"/>
    <cellStyle name="Standaard 6 2 2 3 2 2" xfId="41179"/>
    <cellStyle name="Standaard 6 2 2 3 2 2 2" xfId="41180"/>
    <cellStyle name="Standaard 6 2 2 3 2 2 2 2" xfId="41181"/>
    <cellStyle name="Standaard 6 2 2 3 2 2 2 2 2" xfId="41182"/>
    <cellStyle name="Standaard 6 2 2 3 2 2 2 2 2 2" xfId="41183"/>
    <cellStyle name="Standaard 6 2 2 3 2 2 2 2 3" xfId="41184"/>
    <cellStyle name="Standaard 6 2 2 3 2 2 2 3" xfId="41185"/>
    <cellStyle name="Standaard 6 2 2 3 2 2 2 3 2" xfId="41186"/>
    <cellStyle name="Standaard 6 2 2 3 2 2 2 4" xfId="41187"/>
    <cellStyle name="Standaard 6 2 2 3 2 2 3" xfId="41188"/>
    <cellStyle name="Standaard 6 2 2 3 2 2 3 2" xfId="41189"/>
    <cellStyle name="Standaard 6 2 2 3 2 2 3 2 2" xfId="41190"/>
    <cellStyle name="Standaard 6 2 2 3 2 2 3 3" xfId="41191"/>
    <cellStyle name="Standaard 6 2 2 3 2 2 4" xfId="41192"/>
    <cellStyle name="Standaard 6 2 2 3 2 2 4 2" xfId="41193"/>
    <cellStyle name="Standaard 6 2 2 3 2 2 5" xfId="41194"/>
    <cellStyle name="Standaard 6 2 2 3 2 2 6" xfId="41195"/>
    <cellStyle name="Standaard 6 2 2 3 2 3" xfId="41196"/>
    <cellStyle name="Standaard 6 2 2 3 2 3 2" xfId="41197"/>
    <cellStyle name="Standaard 6 2 2 3 2 3 2 2" xfId="41198"/>
    <cellStyle name="Standaard 6 2 2 3 2 3 2 2 2" xfId="41199"/>
    <cellStyle name="Standaard 6 2 2 3 2 3 2 3" xfId="41200"/>
    <cellStyle name="Standaard 6 2 2 3 2 3 3" xfId="41201"/>
    <cellStyle name="Standaard 6 2 2 3 2 3 3 2" xfId="41202"/>
    <cellStyle name="Standaard 6 2 2 3 2 3 4" xfId="41203"/>
    <cellStyle name="Standaard 6 2 2 3 2 4" xfId="41204"/>
    <cellStyle name="Standaard 6 2 2 3 2 4 2" xfId="41205"/>
    <cellStyle name="Standaard 6 2 2 3 2 4 2 2" xfId="41206"/>
    <cellStyle name="Standaard 6 2 2 3 2 4 3" xfId="41207"/>
    <cellStyle name="Standaard 6 2 2 3 2 5" xfId="41208"/>
    <cellStyle name="Standaard 6 2 2 3 2 5 2" xfId="41209"/>
    <cellStyle name="Standaard 6 2 2 3 2 6" xfId="41210"/>
    <cellStyle name="Standaard 6 2 2 3 2 7" xfId="41211"/>
    <cellStyle name="Standaard 6 2 2 3 3" xfId="41212"/>
    <cellStyle name="Standaard 6 2 2 3 3 2" xfId="41213"/>
    <cellStyle name="Standaard 6 2 2 3 3 2 2" xfId="41214"/>
    <cellStyle name="Standaard 6 2 2 3 3 2 2 2" xfId="41215"/>
    <cellStyle name="Standaard 6 2 2 3 3 2 2 2 2" xfId="41216"/>
    <cellStyle name="Standaard 6 2 2 3 3 2 2 3" xfId="41217"/>
    <cellStyle name="Standaard 6 2 2 3 3 2 3" xfId="41218"/>
    <cellStyle name="Standaard 6 2 2 3 3 2 3 2" xfId="41219"/>
    <cellStyle name="Standaard 6 2 2 3 3 2 4" xfId="41220"/>
    <cellStyle name="Standaard 6 2 2 3 3 3" xfId="41221"/>
    <cellStyle name="Standaard 6 2 2 3 3 3 2" xfId="41222"/>
    <cellStyle name="Standaard 6 2 2 3 3 3 2 2" xfId="41223"/>
    <cellStyle name="Standaard 6 2 2 3 3 3 3" xfId="41224"/>
    <cellStyle name="Standaard 6 2 2 3 3 4" xfId="41225"/>
    <cellStyle name="Standaard 6 2 2 3 3 4 2" xfId="41226"/>
    <cellStyle name="Standaard 6 2 2 3 3 5" xfId="41227"/>
    <cellStyle name="Standaard 6 2 2 3 3 6" xfId="41228"/>
    <cellStyle name="Standaard 6 2 2 3 4" xfId="41229"/>
    <cellStyle name="Standaard 6 2 2 3 4 2" xfId="41230"/>
    <cellStyle name="Standaard 6 2 2 3 4 2 2" xfId="41231"/>
    <cellStyle name="Standaard 6 2 2 3 4 2 2 2" xfId="41232"/>
    <cellStyle name="Standaard 6 2 2 3 4 2 3" xfId="41233"/>
    <cellStyle name="Standaard 6 2 2 3 4 3" xfId="41234"/>
    <cellStyle name="Standaard 6 2 2 3 4 3 2" xfId="41235"/>
    <cellStyle name="Standaard 6 2 2 3 4 4" xfId="41236"/>
    <cellStyle name="Standaard 6 2 2 3 5" xfId="41237"/>
    <cellStyle name="Standaard 6 2 2 3 5 2" xfId="41238"/>
    <cellStyle name="Standaard 6 2 2 3 5 2 2" xfId="41239"/>
    <cellStyle name="Standaard 6 2 2 3 5 3" xfId="41240"/>
    <cellStyle name="Standaard 6 2 2 3 6" xfId="41241"/>
    <cellStyle name="Standaard 6 2 2 3 6 2" xfId="41242"/>
    <cellStyle name="Standaard 6 2 2 3 7" xfId="41243"/>
    <cellStyle name="Standaard 6 2 2 3 8" xfId="41244"/>
    <cellStyle name="Standaard 6 2 2 4" xfId="41245"/>
    <cellStyle name="Standaard 6 2 2 4 2" xfId="41246"/>
    <cellStyle name="Standaard 6 2 2 4 2 2" xfId="41247"/>
    <cellStyle name="Standaard 6 2 2 4 2 2 2" xfId="41248"/>
    <cellStyle name="Standaard 6 2 2 4 2 2 2 2" xfId="41249"/>
    <cellStyle name="Standaard 6 2 2 4 2 2 2 2 2" xfId="41250"/>
    <cellStyle name="Standaard 6 2 2 4 2 2 2 2 2 2" xfId="41251"/>
    <cellStyle name="Standaard 6 2 2 4 2 2 2 2 3" xfId="41252"/>
    <cellStyle name="Standaard 6 2 2 4 2 2 2 3" xfId="41253"/>
    <cellStyle name="Standaard 6 2 2 4 2 2 2 3 2" xfId="41254"/>
    <cellStyle name="Standaard 6 2 2 4 2 2 2 4" xfId="41255"/>
    <cellStyle name="Standaard 6 2 2 4 2 2 3" xfId="41256"/>
    <cellStyle name="Standaard 6 2 2 4 2 2 3 2" xfId="41257"/>
    <cellStyle name="Standaard 6 2 2 4 2 2 3 2 2" xfId="41258"/>
    <cellStyle name="Standaard 6 2 2 4 2 2 3 3" xfId="41259"/>
    <cellStyle name="Standaard 6 2 2 4 2 2 4" xfId="41260"/>
    <cellStyle name="Standaard 6 2 2 4 2 2 4 2" xfId="41261"/>
    <cellStyle name="Standaard 6 2 2 4 2 2 5" xfId="41262"/>
    <cellStyle name="Standaard 6 2 2 4 2 2 6" xfId="41263"/>
    <cellStyle name="Standaard 6 2 2 4 2 3" xfId="41264"/>
    <cellStyle name="Standaard 6 2 2 4 2 3 2" xfId="41265"/>
    <cellStyle name="Standaard 6 2 2 4 2 3 2 2" xfId="41266"/>
    <cellStyle name="Standaard 6 2 2 4 2 3 2 2 2" xfId="41267"/>
    <cellStyle name="Standaard 6 2 2 4 2 3 2 3" xfId="41268"/>
    <cellStyle name="Standaard 6 2 2 4 2 3 3" xfId="41269"/>
    <cellStyle name="Standaard 6 2 2 4 2 3 3 2" xfId="41270"/>
    <cellStyle name="Standaard 6 2 2 4 2 3 4" xfId="41271"/>
    <cellStyle name="Standaard 6 2 2 4 2 4" xfId="41272"/>
    <cellStyle name="Standaard 6 2 2 4 2 4 2" xfId="41273"/>
    <cellStyle name="Standaard 6 2 2 4 2 4 2 2" xfId="41274"/>
    <cellStyle name="Standaard 6 2 2 4 2 4 3" xfId="41275"/>
    <cellStyle name="Standaard 6 2 2 4 2 5" xfId="41276"/>
    <cellStyle name="Standaard 6 2 2 4 2 5 2" xfId="41277"/>
    <cellStyle name="Standaard 6 2 2 4 2 6" xfId="41278"/>
    <cellStyle name="Standaard 6 2 2 4 2 7" xfId="41279"/>
    <cellStyle name="Standaard 6 2 2 4 3" xfId="41280"/>
    <cellStyle name="Standaard 6 2 2 4 3 2" xfId="41281"/>
    <cellStyle name="Standaard 6 2 2 4 3 2 2" xfId="41282"/>
    <cellStyle name="Standaard 6 2 2 4 3 2 2 2" xfId="41283"/>
    <cellStyle name="Standaard 6 2 2 4 3 2 2 2 2" xfId="41284"/>
    <cellStyle name="Standaard 6 2 2 4 3 2 2 3" xfId="41285"/>
    <cellStyle name="Standaard 6 2 2 4 3 2 3" xfId="41286"/>
    <cellStyle name="Standaard 6 2 2 4 3 2 3 2" xfId="41287"/>
    <cellStyle name="Standaard 6 2 2 4 3 2 4" xfId="41288"/>
    <cellStyle name="Standaard 6 2 2 4 3 3" xfId="41289"/>
    <cellStyle name="Standaard 6 2 2 4 3 3 2" xfId="41290"/>
    <cellStyle name="Standaard 6 2 2 4 3 3 2 2" xfId="41291"/>
    <cellStyle name="Standaard 6 2 2 4 3 3 3" xfId="41292"/>
    <cellStyle name="Standaard 6 2 2 4 3 4" xfId="41293"/>
    <cellStyle name="Standaard 6 2 2 4 3 4 2" xfId="41294"/>
    <cellStyle name="Standaard 6 2 2 4 3 5" xfId="41295"/>
    <cellStyle name="Standaard 6 2 2 4 3 6" xfId="41296"/>
    <cellStyle name="Standaard 6 2 2 4 4" xfId="41297"/>
    <cellStyle name="Standaard 6 2 2 4 4 2" xfId="41298"/>
    <cellStyle name="Standaard 6 2 2 4 4 2 2" xfId="41299"/>
    <cellStyle name="Standaard 6 2 2 4 4 2 2 2" xfId="41300"/>
    <cellStyle name="Standaard 6 2 2 4 4 2 3" xfId="41301"/>
    <cellStyle name="Standaard 6 2 2 4 4 3" xfId="41302"/>
    <cellStyle name="Standaard 6 2 2 4 4 3 2" xfId="41303"/>
    <cellStyle name="Standaard 6 2 2 4 4 4" xfId="41304"/>
    <cellStyle name="Standaard 6 2 2 4 5" xfId="41305"/>
    <cellStyle name="Standaard 6 2 2 4 5 2" xfId="41306"/>
    <cellStyle name="Standaard 6 2 2 4 5 2 2" xfId="41307"/>
    <cellStyle name="Standaard 6 2 2 4 5 3" xfId="41308"/>
    <cellStyle name="Standaard 6 2 2 4 6" xfId="41309"/>
    <cellStyle name="Standaard 6 2 2 4 6 2" xfId="41310"/>
    <cellStyle name="Standaard 6 2 2 4 7" xfId="41311"/>
    <cellStyle name="Standaard 6 2 2 4 8" xfId="41312"/>
    <cellStyle name="Standaard 6 2 2 5" xfId="41313"/>
    <cellStyle name="Standaard 6 2 2 5 2" xfId="41314"/>
    <cellStyle name="Standaard 6 2 2 5 2 2" xfId="41315"/>
    <cellStyle name="Standaard 6 2 2 5 2 2 2" xfId="41316"/>
    <cellStyle name="Standaard 6 2 2 5 2 2 2 2" xfId="41317"/>
    <cellStyle name="Standaard 6 2 2 5 2 2 2 2 2" xfId="41318"/>
    <cellStyle name="Standaard 6 2 2 5 2 2 2 3" xfId="41319"/>
    <cellStyle name="Standaard 6 2 2 5 2 2 3" xfId="41320"/>
    <cellStyle name="Standaard 6 2 2 5 2 2 3 2" xfId="41321"/>
    <cellStyle name="Standaard 6 2 2 5 2 2 4" xfId="41322"/>
    <cellStyle name="Standaard 6 2 2 5 2 3" xfId="41323"/>
    <cellStyle name="Standaard 6 2 2 5 2 3 2" xfId="41324"/>
    <cellStyle name="Standaard 6 2 2 5 2 3 2 2" xfId="41325"/>
    <cellStyle name="Standaard 6 2 2 5 2 3 3" xfId="41326"/>
    <cellStyle name="Standaard 6 2 2 5 2 4" xfId="41327"/>
    <cellStyle name="Standaard 6 2 2 5 2 4 2" xfId="41328"/>
    <cellStyle name="Standaard 6 2 2 5 2 5" xfId="41329"/>
    <cellStyle name="Standaard 6 2 2 5 2 6" xfId="41330"/>
    <cellStyle name="Standaard 6 2 2 5 3" xfId="41331"/>
    <cellStyle name="Standaard 6 2 2 5 3 2" xfId="41332"/>
    <cellStyle name="Standaard 6 2 2 5 3 2 2" xfId="41333"/>
    <cellStyle name="Standaard 6 2 2 5 3 2 2 2" xfId="41334"/>
    <cellStyle name="Standaard 6 2 2 5 3 2 3" xfId="41335"/>
    <cellStyle name="Standaard 6 2 2 5 3 3" xfId="41336"/>
    <cellStyle name="Standaard 6 2 2 5 3 3 2" xfId="41337"/>
    <cellStyle name="Standaard 6 2 2 5 3 4" xfId="41338"/>
    <cellStyle name="Standaard 6 2 2 5 4" xfId="41339"/>
    <cellStyle name="Standaard 6 2 2 5 4 2" xfId="41340"/>
    <cellStyle name="Standaard 6 2 2 5 4 2 2" xfId="41341"/>
    <cellStyle name="Standaard 6 2 2 5 4 3" xfId="41342"/>
    <cellStyle name="Standaard 6 2 2 5 5" xfId="41343"/>
    <cellStyle name="Standaard 6 2 2 5 5 2" xfId="41344"/>
    <cellStyle name="Standaard 6 2 2 5 6" xfId="41345"/>
    <cellStyle name="Standaard 6 2 2 5 7" xfId="41346"/>
    <cellStyle name="Standaard 6 2 2 6" xfId="41347"/>
    <cellStyle name="Standaard 6 2 2 6 2" xfId="41348"/>
    <cellStyle name="Standaard 6 2 2 6 2 2" xfId="41349"/>
    <cellStyle name="Standaard 6 2 2 6 2 2 2" xfId="41350"/>
    <cellStyle name="Standaard 6 2 2 6 2 2 2 2" xfId="41351"/>
    <cellStyle name="Standaard 6 2 2 6 2 2 3" xfId="41352"/>
    <cellStyle name="Standaard 6 2 2 6 2 3" xfId="41353"/>
    <cellStyle name="Standaard 6 2 2 6 2 3 2" xfId="41354"/>
    <cellStyle name="Standaard 6 2 2 6 2 4" xfId="41355"/>
    <cellStyle name="Standaard 6 2 2 6 3" xfId="41356"/>
    <cellStyle name="Standaard 6 2 2 6 3 2" xfId="41357"/>
    <cellStyle name="Standaard 6 2 2 6 3 2 2" xfId="41358"/>
    <cellStyle name="Standaard 6 2 2 6 3 3" xfId="41359"/>
    <cellStyle name="Standaard 6 2 2 6 4" xfId="41360"/>
    <cellStyle name="Standaard 6 2 2 6 4 2" xfId="41361"/>
    <cellStyle name="Standaard 6 2 2 6 5" xfId="41362"/>
    <cellStyle name="Standaard 6 2 2 6 6" xfId="41363"/>
    <cellStyle name="Standaard 6 2 2 7" xfId="41364"/>
    <cellStyle name="Standaard 6 2 2 7 2" xfId="41365"/>
    <cellStyle name="Standaard 6 2 2 7 2 2" xfId="41366"/>
    <cellStyle name="Standaard 6 2 2 7 2 2 2" xfId="41367"/>
    <cellStyle name="Standaard 6 2 2 7 2 3" xfId="41368"/>
    <cellStyle name="Standaard 6 2 2 7 3" xfId="41369"/>
    <cellStyle name="Standaard 6 2 2 7 3 2" xfId="41370"/>
    <cellStyle name="Standaard 6 2 2 7 4" xfId="41371"/>
    <cellStyle name="Standaard 6 2 2 8" xfId="41372"/>
    <cellStyle name="Standaard 6 2 2 8 2" xfId="41373"/>
    <cellStyle name="Standaard 6 2 2 8 2 2" xfId="41374"/>
    <cellStyle name="Standaard 6 2 2 8 3" xfId="41375"/>
    <cellStyle name="Standaard 6 2 2 9" xfId="41376"/>
    <cellStyle name="Standaard 6 2 2 9 2" xfId="41377"/>
    <cellStyle name="Standaard 6 2 3" xfId="41378"/>
    <cellStyle name="Standaard 6 2 3 2" xfId="41379"/>
    <cellStyle name="Standaard 6 2 3 2 2" xfId="41380"/>
    <cellStyle name="Standaard 6 2 3 2 2 2" xfId="41381"/>
    <cellStyle name="Standaard 6 2 3 2 2 2 2" xfId="41382"/>
    <cellStyle name="Standaard 6 2 3 2 2 2 2 2" xfId="41383"/>
    <cellStyle name="Standaard 6 2 3 2 2 2 2 2 2" xfId="41384"/>
    <cellStyle name="Standaard 6 2 3 2 2 2 2 2 2 2" xfId="41385"/>
    <cellStyle name="Standaard 6 2 3 2 2 2 2 2 3" xfId="41386"/>
    <cellStyle name="Standaard 6 2 3 2 2 2 2 3" xfId="41387"/>
    <cellStyle name="Standaard 6 2 3 2 2 2 2 3 2" xfId="41388"/>
    <cellStyle name="Standaard 6 2 3 2 2 2 2 4" xfId="41389"/>
    <cellStyle name="Standaard 6 2 3 2 2 2 3" xfId="41390"/>
    <cellStyle name="Standaard 6 2 3 2 2 2 3 2" xfId="41391"/>
    <cellStyle name="Standaard 6 2 3 2 2 2 3 2 2" xfId="41392"/>
    <cellStyle name="Standaard 6 2 3 2 2 2 3 3" xfId="41393"/>
    <cellStyle name="Standaard 6 2 3 2 2 2 4" xfId="41394"/>
    <cellStyle name="Standaard 6 2 3 2 2 2 4 2" xfId="41395"/>
    <cellStyle name="Standaard 6 2 3 2 2 2 5" xfId="41396"/>
    <cellStyle name="Standaard 6 2 3 2 2 2 6" xfId="41397"/>
    <cellStyle name="Standaard 6 2 3 2 2 3" xfId="41398"/>
    <cellStyle name="Standaard 6 2 3 2 2 3 2" xfId="41399"/>
    <cellStyle name="Standaard 6 2 3 2 2 3 2 2" xfId="41400"/>
    <cellStyle name="Standaard 6 2 3 2 2 3 2 2 2" xfId="41401"/>
    <cellStyle name="Standaard 6 2 3 2 2 3 2 3" xfId="41402"/>
    <cellStyle name="Standaard 6 2 3 2 2 3 3" xfId="41403"/>
    <cellStyle name="Standaard 6 2 3 2 2 3 3 2" xfId="41404"/>
    <cellStyle name="Standaard 6 2 3 2 2 3 4" xfId="41405"/>
    <cellStyle name="Standaard 6 2 3 2 2 4" xfId="41406"/>
    <cellStyle name="Standaard 6 2 3 2 2 4 2" xfId="41407"/>
    <cellStyle name="Standaard 6 2 3 2 2 4 2 2" xfId="41408"/>
    <cellStyle name="Standaard 6 2 3 2 2 4 3" xfId="41409"/>
    <cellStyle name="Standaard 6 2 3 2 2 5" xfId="41410"/>
    <cellStyle name="Standaard 6 2 3 2 2 5 2" xfId="41411"/>
    <cellStyle name="Standaard 6 2 3 2 2 6" xfId="41412"/>
    <cellStyle name="Standaard 6 2 3 2 2 7" xfId="41413"/>
    <cellStyle name="Standaard 6 2 3 2 3" xfId="41414"/>
    <cellStyle name="Standaard 6 2 3 2 3 2" xfId="41415"/>
    <cellStyle name="Standaard 6 2 3 2 3 2 2" xfId="41416"/>
    <cellStyle name="Standaard 6 2 3 2 3 2 2 2" xfId="41417"/>
    <cellStyle name="Standaard 6 2 3 2 3 2 2 2 2" xfId="41418"/>
    <cellStyle name="Standaard 6 2 3 2 3 2 2 3" xfId="41419"/>
    <cellStyle name="Standaard 6 2 3 2 3 2 3" xfId="41420"/>
    <cellStyle name="Standaard 6 2 3 2 3 2 3 2" xfId="41421"/>
    <cellStyle name="Standaard 6 2 3 2 3 2 4" xfId="41422"/>
    <cellStyle name="Standaard 6 2 3 2 3 3" xfId="41423"/>
    <cellStyle name="Standaard 6 2 3 2 3 3 2" xfId="41424"/>
    <cellStyle name="Standaard 6 2 3 2 3 3 2 2" xfId="41425"/>
    <cellStyle name="Standaard 6 2 3 2 3 3 3" xfId="41426"/>
    <cellStyle name="Standaard 6 2 3 2 3 4" xfId="41427"/>
    <cellStyle name="Standaard 6 2 3 2 3 4 2" xfId="41428"/>
    <cellStyle name="Standaard 6 2 3 2 3 5" xfId="41429"/>
    <cellStyle name="Standaard 6 2 3 2 3 6" xfId="41430"/>
    <cellStyle name="Standaard 6 2 3 2 4" xfId="41431"/>
    <cellStyle name="Standaard 6 2 3 2 4 2" xfId="41432"/>
    <cellStyle name="Standaard 6 2 3 2 4 2 2" xfId="41433"/>
    <cellStyle name="Standaard 6 2 3 2 4 2 2 2" xfId="41434"/>
    <cellStyle name="Standaard 6 2 3 2 4 2 3" xfId="41435"/>
    <cellStyle name="Standaard 6 2 3 2 4 3" xfId="41436"/>
    <cellStyle name="Standaard 6 2 3 2 4 3 2" xfId="41437"/>
    <cellStyle name="Standaard 6 2 3 2 4 4" xfId="41438"/>
    <cellStyle name="Standaard 6 2 3 2 5" xfId="41439"/>
    <cellStyle name="Standaard 6 2 3 2 5 2" xfId="41440"/>
    <cellStyle name="Standaard 6 2 3 2 5 2 2" xfId="41441"/>
    <cellStyle name="Standaard 6 2 3 2 5 3" xfId="41442"/>
    <cellStyle name="Standaard 6 2 3 2 6" xfId="41443"/>
    <cellStyle name="Standaard 6 2 3 2 6 2" xfId="41444"/>
    <cellStyle name="Standaard 6 2 3 2 7" xfId="41445"/>
    <cellStyle name="Standaard 6 2 3 2 8" xfId="41446"/>
    <cellStyle name="Standaard 6 2 3 3" xfId="41447"/>
    <cellStyle name="Standaard 6 2 3 3 2" xfId="41448"/>
    <cellStyle name="Standaard 6 2 3 3 2 2" xfId="41449"/>
    <cellStyle name="Standaard 6 2 3 3 2 2 2" xfId="41450"/>
    <cellStyle name="Standaard 6 2 3 3 2 2 2 2" xfId="41451"/>
    <cellStyle name="Standaard 6 2 3 3 2 2 2 2 2" xfId="41452"/>
    <cellStyle name="Standaard 6 2 3 3 2 2 2 3" xfId="41453"/>
    <cellStyle name="Standaard 6 2 3 3 2 2 3" xfId="41454"/>
    <cellStyle name="Standaard 6 2 3 3 2 2 3 2" xfId="41455"/>
    <cellStyle name="Standaard 6 2 3 3 2 2 4" xfId="41456"/>
    <cellStyle name="Standaard 6 2 3 3 2 3" xfId="41457"/>
    <cellStyle name="Standaard 6 2 3 3 2 3 2" xfId="41458"/>
    <cellStyle name="Standaard 6 2 3 3 2 3 2 2" xfId="41459"/>
    <cellStyle name="Standaard 6 2 3 3 2 3 3" xfId="41460"/>
    <cellStyle name="Standaard 6 2 3 3 2 4" xfId="41461"/>
    <cellStyle name="Standaard 6 2 3 3 2 4 2" xfId="41462"/>
    <cellStyle name="Standaard 6 2 3 3 2 5" xfId="41463"/>
    <cellStyle name="Standaard 6 2 3 3 2 6" xfId="41464"/>
    <cellStyle name="Standaard 6 2 3 3 3" xfId="41465"/>
    <cellStyle name="Standaard 6 2 3 3 3 2" xfId="41466"/>
    <cellStyle name="Standaard 6 2 3 3 3 2 2" xfId="41467"/>
    <cellStyle name="Standaard 6 2 3 3 3 2 2 2" xfId="41468"/>
    <cellStyle name="Standaard 6 2 3 3 3 2 3" xfId="41469"/>
    <cellStyle name="Standaard 6 2 3 3 3 3" xfId="41470"/>
    <cellStyle name="Standaard 6 2 3 3 3 3 2" xfId="41471"/>
    <cellStyle name="Standaard 6 2 3 3 3 4" xfId="41472"/>
    <cellStyle name="Standaard 6 2 3 3 4" xfId="41473"/>
    <cellStyle name="Standaard 6 2 3 3 4 2" xfId="41474"/>
    <cellStyle name="Standaard 6 2 3 3 4 2 2" xfId="41475"/>
    <cellStyle name="Standaard 6 2 3 3 4 3" xfId="41476"/>
    <cellStyle name="Standaard 6 2 3 3 5" xfId="41477"/>
    <cellStyle name="Standaard 6 2 3 3 5 2" xfId="41478"/>
    <cellStyle name="Standaard 6 2 3 3 6" xfId="41479"/>
    <cellStyle name="Standaard 6 2 3 3 7" xfId="41480"/>
    <cellStyle name="Standaard 6 2 3 4" xfId="41481"/>
    <cellStyle name="Standaard 6 2 3 4 2" xfId="41482"/>
    <cellStyle name="Standaard 6 2 3 4 2 2" xfId="41483"/>
    <cellStyle name="Standaard 6 2 3 4 2 2 2" xfId="41484"/>
    <cellStyle name="Standaard 6 2 3 4 2 2 2 2" xfId="41485"/>
    <cellStyle name="Standaard 6 2 3 4 2 2 3" xfId="41486"/>
    <cellStyle name="Standaard 6 2 3 4 2 3" xfId="41487"/>
    <cellStyle name="Standaard 6 2 3 4 2 3 2" xfId="41488"/>
    <cellStyle name="Standaard 6 2 3 4 2 4" xfId="41489"/>
    <cellStyle name="Standaard 6 2 3 4 3" xfId="41490"/>
    <cellStyle name="Standaard 6 2 3 4 3 2" xfId="41491"/>
    <cellStyle name="Standaard 6 2 3 4 3 2 2" xfId="41492"/>
    <cellStyle name="Standaard 6 2 3 4 3 3" xfId="41493"/>
    <cellStyle name="Standaard 6 2 3 4 4" xfId="41494"/>
    <cellStyle name="Standaard 6 2 3 4 4 2" xfId="41495"/>
    <cellStyle name="Standaard 6 2 3 4 5" xfId="41496"/>
    <cellStyle name="Standaard 6 2 3 4 6" xfId="41497"/>
    <cellStyle name="Standaard 6 2 3 5" xfId="41498"/>
    <cellStyle name="Standaard 6 2 3 5 2" xfId="41499"/>
    <cellStyle name="Standaard 6 2 3 5 2 2" xfId="41500"/>
    <cellStyle name="Standaard 6 2 3 5 2 2 2" xfId="41501"/>
    <cellStyle name="Standaard 6 2 3 5 2 3" xfId="41502"/>
    <cellStyle name="Standaard 6 2 3 5 3" xfId="41503"/>
    <cellStyle name="Standaard 6 2 3 5 3 2" xfId="41504"/>
    <cellStyle name="Standaard 6 2 3 5 4" xfId="41505"/>
    <cellStyle name="Standaard 6 2 3 6" xfId="41506"/>
    <cellStyle name="Standaard 6 2 3 6 2" xfId="41507"/>
    <cellStyle name="Standaard 6 2 3 6 2 2" xfId="41508"/>
    <cellStyle name="Standaard 6 2 3 6 3" xfId="41509"/>
    <cellStyle name="Standaard 6 2 3 7" xfId="41510"/>
    <cellStyle name="Standaard 6 2 3 7 2" xfId="41511"/>
    <cellStyle name="Standaard 6 2 3 8" xfId="41512"/>
    <cellStyle name="Standaard 6 2 3 9" xfId="41513"/>
    <cellStyle name="Standaard 6 2 4" xfId="41514"/>
    <cellStyle name="Standaard 6 2 4 2" xfId="41515"/>
    <cellStyle name="Standaard 6 2 4 2 2" xfId="41516"/>
    <cellStyle name="Standaard 6 2 4 2 2 2" xfId="41517"/>
    <cellStyle name="Standaard 6 2 4 2 2 2 2" xfId="41518"/>
    <cellStyle name="Standaard 6 2 4 2 2 2 2 2" xfId="41519"/>
    <cellStyle name="Standaard 6 2 4 2 2 2 2 2 2" xfId="41520"/>
    <cellStyle name="Standaard 6 2 4 2 2 2 2 3" xfId="41521"/>
    <cellStyle name="Standaard 6 2 4 2 2 2 3" xfId="41522"/>
    <cellStyle name="Standaard 6 2 4 2 2 2 3 2" xfId="41523"/>
    <cellStyle name="Standaard 6 2 4 2 2 2 4" xfId="41524"/>
    <cellStyle name="Standaard 6 2 4 2 2 3" xfId="41525"/>
    <cellStyle name="Standaard 6 2 4 2 2 3 2" xfId="41526"/>
    <cellStyle name="Standaard 6 2 4 2 2 3 2 2" xfId="41527"/>
    <cellStyle name="Standaard 6 2 4 2 2 3 3" xfId="41528"/>
    <cellStyle name="Standaard 6 2 4 2 2 4" xfId="41529"/>
    <cellStyle name="Standaard 6 2 4 2 2 4 2" xfId="41530"/>
    <cellStyle name="Standaard 6 2 4 2 2 5" xfId="41531"/>
    <cellStyle name="Standaard 6 2 4 2 2 6" xfId="41532"/>
    <cellStyle name="Standaard 6 2 4 2 3" xfId="41533"/>
    <cellStyle name="Standaard 6 2 4 2 3 2" xfId="41534"/>
    <cellStyle name="Standaard 6 2 4 2 3 2 2" xfId="41535"/>
    <cellStyle name="Standaard 6 2 4 2 3 2 2 2" xfId="41536"/>
    <cellStyle name="Standaard 6 2 4 2 3 2 3" xfId="41537"/>
    <cellStyle name="Standaard 6 2 4 2 3 3" xfId="41538"/>
    <cellStyle name="Standaard 6 2 4 2 3 3 2" xfId="41539"/>
    <cellStyle name="Standaard 6 2 4 2 3 4" xfId="41540"/>
    <cellStyle name="Standaard 6 2 4 2 4" xfId="41541"/>
    <cellStyle name="Standaard 6 2 4 2 4 2" xfId="41542"/>
    <cellStyle name="Standaard 6 2 4 2 4 2 2" xfId="41543"/>
    <cellStyle name="Standaard 6 2 4 2 4 3" xfId="41544"/>
    <cellStyle name="Standaard 6 2 4 2 5" xfId="41545"/>
    <cellStyle name="Standaard 6 2 4 2 5 2" xfId="41546"/>
    <cellStyle name="Standaard 6 2 4 2 6" xfId="41547"/>
    <cellStyle name="Standaard 6 2 4 2 7" xfId="41548"/>
    <cellStyle name="Standaard 6 2 4 3" xfId="41549"/>
    <cellStyle name="Standaard 6 2 4 3 2" xfId="41550"/>
    <cellStyle name="Standaard 6 2 4 3 2 2" xfId="41551"/>
    <cellStyle name="Standaard 6 2 4 3 2 2 2" xfId="41552"/>
    <cellStyle name="Standaard 6 2 4 3 2 2 2 2" xfId="41553"/>
    <cellStyle name="Standaard 6 2 4 3 2 2 3" xfId="41554"/>
    <cellStyle name="Standaard 6 2 4 3 2 3" xfId="41555"/>
    <cellStyle name="Standaard 6 2 4 3 2 3 2" xfId="41556"/>
    <cellStyle name="Standaard 6 2 4 3 2 4" xfId="41557"/>
    <cellStyle name="Standaard 6 2 4 3 3" xfId="41558"/>
    <cellStyle name="Standaard 6 2 4 3 3 2" xfId="41559"/>
    <cellStyle name="Standaard 6 2 4 3 3 2 2" xfId="41560"/>
    <cellStyle name="Standaard 6 2 4 3 3 3" xfId="41561"/>
    <cellStyle name="Standaard 6 2 4 3 4" xfId="41562"/>
    <cellStyle name="Standaard 6 2 4 3 4 2" xfId="41563"/>
    <cellStyle name="Standaard 6 2 4 3 5" xfId="41564"/>
    <cellStyle name="Standaard 6 2 4 3 6" xfId="41565"/>
    <cellStyle name="Standaard 6 2 4 4" xfId="41566"/>
    <cellStyle name="Standaard 6 2 4 4 2" xfId="41567"/>
    <cellStyle name="Standaard 6 2 4 4 2 2" xfId="41568"/>
    <cellStyle name="Standaard 6 2 4 4 2 2 2" xfId="41569"/>
    <cellStyle name="Standaard 6 2 4 4 2 3" xfId="41570"/>
    <cellStyle name="Standaard 6 2 4 4 3" xfId="41571"/>
    <cellStyle name="Standaard 6 2 4 4 3 2" xfId="41572"/>
    <cellStyle name="Standaard 6 2 4 4 4" xfId="41573"/>
    <cellStyle name="Standaard 6 2 4 5" xfId="41574"/>
    <cellStyle name="Standaard 6 2 4 5 2" xfId="41575"/>
    <cellStyle name="Standaard 6 2 4 5 2 2" xfId="41576"/>
    <cellStyle name="Standaard 6 2 4 5 3" xfId="41577"/>
    <cellStyle name="Standaard 6 2 4 6" xfId="41578"/>
    <cellStyle name="Standaard 6 2 4 6 2" xfId="41579"/>
    <cellStyle name="Standaard 6 2 4 7" xfId="41580"/>
    <cellStyle name="Standaard 6 2 4 8" xfId="41581"/>
    <cellStyle name="Standaard 6 2 5" xfId="41582"/>
    <cellStyle name="Standaard 6 2 5 2" xfId="41583"/>
    <cellStyle name="Standaard 6 2 5 2 2" xfId="41584"/>
    <cellStyle name="Standaard 6 2 5 2 2 2" xfId="41585"/>
    <cellStyle name="Standaard 6 2 5 2 2 2 2" xfId="41586"/>
    <cellStyle name="Standaard 6 2 5 2 2 2 2 2" xfId="41587"/>
    <cellStyle name="Standaard 6 2 5 2 2 2 2 2 2" xfId="41588"/>
    <cellStyle name="Standaard 6 2 5 2 2 2 2 3" xfId="41589"/>
    <cellStyle name="Standaard 6 2 5 2 2 2 3" xfId="41590"/>
    <cellStyle name="Standaard 6 2 5 2 2 2 3 2" xfId="41591"/>
    <cellStyle name="Standaard 6 2 5 2 2 2 4" xfId="41592"/>
    <cellStyle name="Standaard 6 2 5 2 2 3" xfId="41593"/>
    <cellStyle name="Standaard 6 2 5 2 2 3 2" xfId="41594"/>
    <cellStyle name="Standaard 6 2 5 2 2 3 2 2" xfId="41595"/>
    <cellStyle name="Standaard 6 2 5 2 2 3 3" xfId="41596"/>
    <cellStyle name="Standaard 6 2 5 2 2 4" xfId="41597"/>
    <cellStyle name="Standaard 6 2 5 2 2 4 2" xfId="41598"/>
    <cellStyle name="Standaard 6 2 5 2 2 5" xfId="41599"/>
    <cellStyle name="Standaard 6 2 5 2 2 6" xfId="41600"/>
    <cellStyle name="Standaard 6 2 5 2 3" xfId="41601"/>
    <cellStyle name="Standaard 6 2 5 2 3 2" xfId="41602"/>
    <cellStyle name="Standaard 6 2 5 2 3 2 2" xfId="41603"/>
    <cellStyle name="Standaard 6 2 5 2 3 2 2 2" xfId="41604"/>
    <cellStyle name="Standaard 6 2 5 2 3 2 3" xfId="41605"/>
    <cellStyle name="Standaard 6 2 5 2 3 3" xfId="41606"/>
    <cellStyle name="Standaard 6 2 5 2 3 3 2" xfId="41607"/>
    <cellStyle name="Standaard 6 2 5 2 3 4" xfId="41608"/>
    <cellStyle name="Standaard 6 2 5 2 4" xfId="41609"/>
    <cellStyle name="Standaard 6 2 5 2 4 2" xfId="41610"/>
    <cellStyle name="Standaard 6 2 5 2 4 2 2" xfId="41611"/>
    <cellStyle name="Standaard 6 2 5 2 4 3" xfId="41612"/>
    <cellStyle name="Standaard 6 2 5 2 5" xfId="41613"/>
    <cellStyle name="Standaard 6 2 5 2 5 2" xfId="41614"/>
    <cellStyle name="Standaard 6 2 5 2 6" xfId="41615"/>
    <cellStyle name="Standaard 6 2 5 2 7" xfId="41616"/>
    <cellStyle name="Standaard 6 2 5 3" xfId="41617"/>
    <cellStyle name="Standaard 6 2 5 3 2" xfId="41618"/>
    <cellStyle name="Standaard 6 2 5 3 2 2" xfId="41619"/>
    <cellStyle name="Standaard 6 2 5 3 2 2 2" xfId="41620"/>
    <cellStyle name="Standaard 6 2 5 3 2 2 2 2" xfId="41621"/>
    <cellStyle name="Standaard 6 2 5 3 2 2 3" xfId="41622"/>
    <cellStyle name="Standaard 6 2 5 3 2 3" xfId="41623"/>
    <cellStyle name="Standaard 6 2 5 3 2 3 2" xfId="41624"/>
    <cellStyle name="Standaard 6 2 5 3 2 4" xfId="41625"/>
    <cellStyle name="Standaard 6 2 5 3 3" xfId="41626"/>
    <cellStyle name="Standaard 6 2 5 3 3 2" xfId="41627"/>
    <cellStyle name="Standaard 6 2 5 3 3 2 2" xfId="41628"/>
    <cellStyle name="Standaard 6 2 5 3 3 3" xfId="41629"/>
    <cellStyle name="Standaard 6 2 5 3 4" xfId="41630"/>
    <cellStyle name="Standaard 6 2 5 3 4 2" xfId="41631"/>
    <cellStyle name="Standaard 6 2 5 3 5" xfId="41632"/>
    <cellStyle name="Standaard 6 2 5 3 6" xfId="41633"/>
    <cellStyle name="Standaard 6 2 5 4" xfId="41634"/>
    <cellStyle name="Standaard 6 2 5 4 2" xfId="41635"/>
    <cellStyle name="Standaard 6 2 5 4 2 2" xfId="41636"/>
    <cellStyle name="Standaard 6 2 5 4 2 2 2" xfId="41637"/>
    <cellStyle name="Standaard 6 2 5 4 2 3" xfId="41638"/>
    <cellStyle name="Standaard 6 2 5 4 3" xfId="41639"/>
    <cellStyle name="Standaard 6 2 5 4 3 2" xfId="41640"/>
    <cellStyle name="Standaard 6 2 5 4 4" xfId="41641"/>
    <cellStyle name="Standaard 6 2 5 5" xfId="41642"/>
    <cellStyle name="Standaard 6 2 5 5 2" xfId="41643"/>
    <cellStyle name="Standaard 6 2 5 5 2 2" xfId="41644"/>
    <cellStyle name="Standaard 6 2 5 5 3" xfId="41645"/>
    <cellStyle name="Standaard 6 2 5 6" xfId="41646"/>
    <cellStyle name="Standaard 6 2 5 6 2" xfId="41647"/>
    <cellStyle name="Standaard 6 2 5 7" xfId="41648"/>
    <cellStyle name="Standaard 6 2 5 8" xfId="41649"/>
    <cellStyle name="Standaard 6 2 6" xfId="41650"/>
    <cellStyle name="Standaard 6 2 6 2" xfId="41651"/>
    <cellStyle name="Standaard 6 2 6 2 2" xfId="41652"/>
    <cellStyle name="Standaard 6 2 6 2 2 2" xfId="41653"/>
    <cellStyle name="Standaard 6 2 6 2 2 2 2" xfId="41654"/>
    <cellStyle name="Standaard 6 2 6 2 2 2 2 2" xfId="41655"/>
    <cellStyle name="Standaard 6 2 6 2 2 2 3" xfId="41656"/>
    <cellStyle name="Standaard 6 2 6 2 2 3" xfId="41657"/>
    <cellStyle name="Standaard 6 2 6 2 2 3 2" xfId="41658"/>
    <cellStyle name="Standaard 6 2 6 2 2 4" xfId="41659"/>
    <cellStyle name="Standaard 6 2 6 2 3" xfId="41660"/>
    <cellStyle name="Standaard 6 2 6 2 3 2" xfId="41661"/>
    <cellStyle name="Standaard 6 2 6 2 3 2 2" xfId="41662"/>
    <cellStyle name="Standaard 6 2 6 2 3 3" xfId="41663"/>
    <cellStyle name="Standaard 6 2 6 2 4" xfId="41664"/>
    <cellStyle name="Standaard 6 2 6 2 4 2" xfId="41665"/>
    <cellStyle name="Standaard 6 2 6 2 5" xfId="41666"/>
    <cellStyle name="Standaard 6 2 6 2 6" xfId="41667"/>
    <cellStyle name="Standaard 6 2 6 3" xfId="41668"/>
    <cellStyle name="Standaard 6 2 6 3 2" xfId="41669"/>
    <cellStyle name="Standaard 6 2 6 3 2 2" xfId="41670"/>
    <cellStyle name="Standaard 6 2 6 3 2 2 2" xfId="41671"/>
    <cellStyle name="Standaard 6 2 6 3 2 3" xfId="41672"/>
    <cellStyle name="Standaard 6 2 6 3 3" xfId="41673"/>
    <cellStyle name="Standaard 6 2 6 3 3 2" xfId="41674"/>
    <cellStyle name="Standaard 6 2 6 3 4" xfId="41675"/>
    <cellStyle name="Standaard 6 2 6 4" xfId="41676"/>
    <cellStyle name="Standaard 6 2 6 4 2" xfId="41677"/>
    <cellStyle name="Standaard 6 2 6 4 2 2" xfId="41678"/>
    <cellStyle name="Standaard 6 2 6 4 3" xfId="41679"/>
    <cellStyle name="Standaard 6 2 6 5" xfId="41680"/>
    <cellStyle name="Standaard 6 2 6 5 2" xfId="41681"/>
    <cellStyle name="Standaard 6 2 6 6" xfId="41682"/>
    <cellStyle name="Standaard 6 2 6 7" xfId="41683"/>
    <cellStyle name="Standaard 6 2 7" xfId="41684"/>
    <cellStyle name="Standaard 6 2 7 2" xfId="41685"/>
    <cellStyle name="Standaard 6 2 7 2 2" xfId="41686"/>
    <cellStyle name="Standaard 6 2 7 2 2 2" xfId="41687"/>
    <cellStyle name="Standaard 6 2 7 2 2 2 2" xfId="41688"/>
    <cellStyle name="Standaard 6 2 7 2 2 3" xfId="41689"/>
    <cellStyle name="Standaard 6 2 7 2 3" xfId="41690"/>
    <cellStyle name="Standaard 6 2 7 2 3 2" xfId="41691"/>
    <cellStyle name="Standaard 6 2 7 2 4" xfId="41692"/>
    <cellStyle name="Standaard 6 2 7 3" xfId="41693"/>
    <cellStyle name="Standaard 6 2 7 3 2" xfId="41694"/>
    <cellStyle name="Standaard 6 2 7 3 2 2" xfId="41695"/>
    <cellStyle name="Standaard 6 2 7 3 3" xfId="41696"/>
    <cellStyle name="Standaard 6 2 7 4" xfId="41697"/>
    <cellStyle name="Standaard 6 2 7 4 2" xfId="41698"/>
    <cellStyle name="Standaard 6 2 7 5" xfId="41699"/>
    <cellStyle name="Standaard 6 2 7 6" xfId="41700"/>
    <cellStyle name="Standaard 6 2 8" xfId="41701"/>
    <cellStyle name="Standaard 6 2 8 2" xfId="41702"/>
    <cellStyle name="Standaard 6 2 8 2 2" xfId="41703"/>
    <cellStyle name="Standaard 6 2 8 2 2 2" xfId="41704"/>
    <cellStyle name="Standaard 6 2 8 2 3" xfId="41705"/>
    <cellStyle name="Standaard 6 2 8 3" xfId="41706"/>
    <cellStyle name="Standaard 6 2 8 3 2" xfId="41707"/>
    <cellStyle name="Standaard 6 2 8 4" xfId="41708"/>
    <cellStyle name="Standaard 6 2 9" xfId="41709"/>
    <cellStyle name="Standaard 6 2 9 2" xfId="41710"/>
    <cellStyle name="Standaard 6 2 9 2 2" xfId="41711"/>
    <cellStyle name="Standaard 6 2 9 3" xfId="41712"/>
    <cellStyle name="Standaard 6 3" xfId="41713"/>
    <cellStyle name="Standaard 6 3 10" xfId="41714"/>
    <cellStyle name="Standaard 6 3 11" xfId="41715"/>
    <cellStyle name="Standaard 6 3 2" xfId="41716"/>
    <cellStyle name="Standaard 6 3 2 2" xfId="41717"/>
    <cellStyle name="Standaard 6 3 2 2 2" xfId="41718"/>
    <cellStyle name="Standaard 6 3 2 2 2 2" xfId="41719"/>
    <cellStyle name="Standaard 6 3 2 2 2 2 2" xfId="41720"/>
    <cellStyle name="Standaard 6 3 2 2 2 2 2 2" xfId="41721"/>
    <cellStyle name="Standaard 6 3 2 2 2 2 2 2 2" xfId="41722"/>
    <cellStyle name="Standaard 6 3 2 2 2 2 2 2 2 2" xfId="41723"/>
    <cellStyle name="Standaard 6 3 2 2 2 2 2 2 3" xfId="41724"/>
    <cellStyle name="Standaard 6 3 2 2 2 2 2 3" xfId="41725"/>
    <cellStyle name="Standaard 6 3 2 2 2 2 2 3 2" xfId="41726"/>
    <cellStyle name="Standaard 6 3 2 2 2 2 2 4" xfId="41727"/>
    <cellStyle name="Standaard 6 3 2 2 2 2 3" xfId="41728"/>
    <cellStyle name="Standaard 6 3 2 2 2 2 3 2" xfId="41729"/>
    <cellStyle name="Standaard 6 3 2 2 2 2 3 2 2" xfId="41730"/>
    <cellStyle name="Standaard 6 3 2 2 2 2 3 3" xfId="41731"/>
    <cellStyle name="Standaard 6 3 2 2 2 2 4" xfId="41732"/>
    <cellStyle name="Standaard 6 3 2 2 2 2 4 2" xfId="41733"/>
    <cellStyle name="Standaard 6 3 2 2 2 2 5" xfId="41734"/>
    <cellStyle name="Standaard 6 3 2 2 2 2 6" xfId="41735"/>
    <cellStyle name="Standaard 6 3 2 2 2 3" xfId="41736"/>
    <cellStyle name="Standaard 6 3 2 2 2 3 2" xfId="41737"/>
    <cellStyle name="Standaard 6 3 2 2 2 3 2 2" xfId="41738"/>
    <cellStyle name="Standaard 6 3 2 2 2 3 2 2 2" xfId="41739"/>
    <cellStyle name="Standaard 6 3 2 2 2 3 2 3" xfId="41740"/>
    <cellStyle name="Standaard 6 3 2 2 2 3 3" xfId="41741"/>
    <cellStyle name="Standaard 6 3 2 2 2 3 3 2" xfId="41742"/>
    <cellStyle name="Standaard 6 3 2 2 2 3 4" xfId="41743"/>
    <cellStyle name="Standaard 6 3 2 2 2 4" xfId="41744"/>
    <cellStyle name="Standaard 6 3 2 2 2 4 2" xfId="41745"/>
    <cellStyle name="Standaard 6 3 2 2 2 4 2 2" xfId="41746"/>
    <cellStyle name="Standaard 6 3 2 2 2 4 3" xfId="41747"/>
    <cellStyle name="Standaard 6 3 2 2 2 5" xfId="41748"/>
    <cellStyle name="Standaard 6 3 2 2 2 5 2" xfId="41749"/>
    <cellStyle name="Standaard 6 3 2 2 2 6" xfId="41750"/>
    <cellStyle name="Standaard 6 3 2 2 2 7" xfId="41751"/>
    <cellStyle name="Standaard 6 3 2 2 3" xfId="41752"/>
    <cellStyle name="Standaard 6 3 2 2 3 2" xfId="41753"/>
    <cellStyle name="Standaard 6 3 2 2 3 2 2" xfId="41754"/>
    <cellStyle name="Standaard 6 3 2 2 3 2 2 2" xfId="41755"/>
    <cellStyle name="Standaard 6 3 2 2 3 2 2 2 2" xfId="41756"/>
    <cellStyle name="Standaard 6 3 2 2 3 2 2 3" xfId="41757"/>
    <cellStyle name="Standaard 6 3 2 2 3 2 3" xfId="41758"/>
    <cellStyle name="Standaard 6 3 2 2 3 2 3 2" xfId="41759"/>
    <cellStyle name="Standaard 6 3 2 2 3 2 4" xfId="41760"/>
    <cellStyle name="Standaard 6 3 2 2 3 3" xfId="41761"/>
    <cellStyle name="Standaard 6 3 2 2 3 3 2" xfId="41762"/>
    <cellStyle name="Standaard 6 3 2 2 3 3 2 2" xfId="41763"/>
    <cellStyle name="Standaard 6 3 2 2 3 3 3" xfId="41764"/>
    <cellStyle name="Standaard 6 3 2 2 3 4" xfId="41765"/>
    <cellStyle name="Standaard 6 3 2 2 3 4 2" xfId="41766"/>
    <cellStyle name="Standaard 6 3 2 2 3 5" xfId="41767"/>
    <cellStyle name="Standaard 6 3 2 2 3 6" xfId="41768"/>
    <cellStyle name="Standaard 6 3 2 2 4" xfId="41769"/>
    <cellStyle name="Standaard 6 3 2 2 4 2" xfId="41770"/>
    <cellStyle name="Standaard 6 3 2 2 4 2 2" xfId="41771"/>
    <cellStyle name="Standaard 6 3 2 2 4 2 2 2" xfId="41772"/>
    <cellStyle name="Standaard 6 3 2 2 4 2 3" xfId="41773"/>
    <cellStyle name="Standaard 6 3 2 2 4 3" xfId="41774"/>
    <cellStyle name="Standaard 6 3 2 2 4 3 2" xfId="41775"/>
    <cellStyle name="Standaard 6 3 2 2 4 4" xfId="41776"/>
    <cellStyle name="Standaard 6 3 2 2 5" xfId="41777"/>
    <cellStyle name="Standaard 6 3 2 2 5 2" xfId="41778"/>
    <cellStyle name="Standaard 6 3 2 2 5 2 2" xfId="41779"/>
    <cellStyle name="Standaard 6 3 2 2 5 3" xfId="41780"/>
    <cellStyle name="Standaard 6 3 2 2 6" xfId="41781"/>
    <cellStyle name="Standaard 6 3 2 2 6 2" xfId="41782"/>
    <cellStyle name="Standaard 6 3 2 2 7" xfId="41783"/>
    <cellStyle name="Standaard 6 3 2 2 8" xfId="41784"/>
    <cellStyle name="Standaard 6 3 2 3" xfId="41785"/>
    <cellStyle name="Standaard 6 3 2 3 2" xfId="41786"/>
    <cellStyle name="Standaard 6 3 2 3 2 2" xfId="41787"/>
    <cellStyle name="Standaard 6 3 2 3 2 2 2" xfId="41788"/>
    <cellStyle name="Standaard 6 3 2 3 2 2 2 2" xfId="41789"/>
    <cellStyle name="Standaard 6 3 2 3 2 2 2 2 2" xfId="41790"/>
    <cellStyle name="Standaard 6 3 2 3 2 2 2 3" xfId="41791"/>
    <cellStyle name="Standaard 6 3 2 3 2 2 3" xfId="41792"/>
    <cellStyle name="Standaard 6 3 2 3 2 2 3 2" xfId="41793"/>
    <cellStyle name="Standaard 6 3 2 3 2 2 4" xfId="41794"/>
    <cellStyle name="Standaard 6 3 2 3 2 3" xfId="41795"/>
    <cellStyle name="Standaard 6 3 2 3 2 3 2" xfId="41796"/>
    <cellStyle name="Standaard 6 3 2 3 2 3 2 2" xfId="41797"/>
    <cellStyle name="Standaard 6 3 2 3 2 3 3" xfId="41798"/>
    <cellStyle name="Standaard 6 3 2 3 2 4" xfId="41799"/>
    <cellStyle name="Standaard 6 3 2 3 2 4 2" xfId="41800"/>
    <cellStyle name="Standaard 6 3 2 3 2 5" xfId="41801"/>
    <cellStyle name="Standaard 6 3 2 3 2 6" xfId="41802"/>
    <cellStyle name="Standaard 6 3 2 3 3" xfId="41803"/>
    <cellStyle name="Standaard 6 3 2 3 3 2" xfId="41804"/>
    <cellStyle name="Standaard 6 3 2 3 3 2 2" xfId="41805"/>
    <cellStyle name="Standaard 6 3 2 3 3 2 2 2" xfId="41806"/>
    <cellStyle name="Standaard 6 3 2 3 3 2 3" xfId="41807"/>
    <cellStyle name="Standaard 6 3 2 3 3 3" xfId="41808"/>
    <cellStyle name="Standaard 6 3 2 3 3 3 2" xfId="41809"/>
    <cellStyle name="Standaard 6 3 2 3 3 4" xfId="41810"/>
    <cellStyle name="Standaard 6 3 2 3 4" xfId="41811"/>
    <cellStyle name="Standaard 6 3 2 3 4 2" xfId="41812"/>
    <cellStyle name="Standaard 6 3 2 3 4 2 2" xfId="41813"/>
    <cellStyle name="Standaard 6 3 2 3 4 3" xfId="41814"/>
    <cellStyle name="Standaard 6 3 2 3 5" xfId="41815"/>
    <cellStyle name="Standaard 6 3 2 3 5 2" xfId="41816"/>
    <cellStyle name="Standaard 6 3 2 3 6" xfId="41817"/>
    <cellStyle name="Standaard 6 3 2 3 7" xfId="41818"/>
    <cellStyle name="Standaard 6 3 2 4" xfId="41819"/>
    <cellStyle name="Standaard 6 3 2 4 2" xfId="41820"/>
    <cellStyle name="Standaard 6 3 2 4 2 2" xfId="41821"/>
    <cellStyle name="Standaard 6 3 2 4 2 2 2" xfId="41822"/>
    <cellStyle name="Standaard 6 3 2 4 2 2 2 2" xfId="41823"/>
    <cellStyle name="Standaard 6 3 2 4 2 2 3" xfId="41824"/>
    <cellStyle name="Standaard 6 3 2 4 2 3" xfId="41825"/>
    <cellStyle name="Standaard 6 3 2 4 2 3 2" xfId="41826"/>
    <cellStyle name="Standaard 6 3 2 4 2 4" xfId="41827"/>
    <cellStyle name="Standaard 6 3 2 4 3" xfId="41828"/>
    <cellStyle name="Standaard 6 3 2 4 3 2" xfId="41829"/>
    <cellStyle name="Standaard 6 3 2 4 3 2 2" xfId="41830"/>
    <cellStyle name="Standaard 6 3 2 4 3 3" xfId="41831"/>
    <cellStyle name="Standaard 6 3 2 4 4" xfId="41832"/>
    <cellStyle name="Standaard 6 3 2 4 4 2" xfId="41833"/>
    <cellStyle name="Standaard 6 3 2 4 5" xfId="41834"/>
    <cellStyle name="Standaard 6 3 2 4 6" xfId="41835"/>
    <cellStyle name="Standaard 6 3 2 5" xfId="41836"/>
    <cellStyle name="Standaard 6 3 2 5 2" xfId="41837"/>
    <cellStyle name="Standaard 6 3 2 5 2 2" xfId="41838"/>
    <cellStyle name="Standaard 6 3 2 5 2 2 2" xfId="41839"/>
    <cellStyle name="Standaard 6 3 2 5 2 3" xfId="41840"/>
    <cellStyle name="Standaard 6 3 2 5 3" xfId="41841"/>
    <cellStyle name="Standaard 6 3 2 5 3 2" xfId="41842"/>
    <cellStyle name="Standaard 6 3 2 5 4" xfId="41843"/>
    <cellStyle name="Standaard 6 3 2 6" xfId="41844"/>
    <cellStyle name="Standaard 6 3 2 6 2" xfId="41845"/>
    <cellStyle name="Standaard 6 3 2 6 2 2" xfId="41846"/>
    <cellStyle name="Standaard 6 3 2 6 3" xfId="41847"/>
    <cellStyle name="Standaard 6 3 2 7" xfId="41848"/>
    <cellStyle name="Standaard 6 3 2 7 2" xfId="41849"/>
    <cellStyle name="Standaard 6 3 2 8" xfId="41850"/>
    <cellStyle name="Standaard 6 3 2 9" xfId="41851"/>
    <cellStyle name="Standaard 6 3 3" xfId="41852"/>
    <cellStyle name="Standaard 6 3 3 2" xfId="41853"/>
    <cellStyle name="Standaard 6 3 3 2 2" xfId="41854"/>
    <cellStyle name="Standaard 6 3 3 2 2 2" xfId="41855"/>
    <cellStyle name="Standaard 6 3 3 2 2 2 2" xfId="41856"/>
    <cellStyle name="Standaard 6 3 3 2 2 2 2 2" xfId="41857"/>
    <cellStyle name="Standaard 6 3 3 2 2 2 2 2 2" xfId="41858"/>
    <cellStyle name="Standaard 6 3 3 2 2 2 2 3" xfId="41859"/>
    <cellStyle name="Standaard 6 3 3 2 2 2 3" xfId="41860"/>
    <cellStyle name="Standaard 6 3 3 2 2 2 3 2" xfId="41861"/>
    <cellStyle name="Standaard 6 3 3 2 2 2 4" xfId="41862"/>
    <cellStyle name="Standaard 6 3 3 2 2 3" xfId="41863"/>
    <cellStyle name="Standaard 6 3 3 2 2 3 2" xfId="41864"/>
    <cellStyle name="Standaard 6 3 3 2 2 3 2 2" xfId="41865"/>
    <cellStyle name="Standaard 6 3 3 2 2 3 3" xfId="41866"/>
    <cellStyle name="Standaard 6 3 3 2 2 4" xfId="41867"/>
    <cellStyle name="Standaard 6 3 3 2 2 4 2" xfId="41868"/>
    <cellStyle name="Standaard 6 3 3 2 2 5" xfId="41869"/>
    <cellStyle name="Standaard 6 3 3 2 2 6" xfId="41870"/>
    <cellStyle name="Standaard 6 3 3 2 3" xfId="41871"/>
    <cellStyle name="Standaard 6 3 3 2 3 2" xfId="41872"/>
    <cellStyle name="Standaard 6 3 3 2 3 2 2" xfId="41873"/>
    <cellStyle name="Standaard 6 3 3 2 3 2 2 2" xfId="41874"/>
    <cellStyle name="Standaard 6 3 3 2 3 2 3" xfId="41875"/>
    <cellStyle name="Standaard 6 3 3 2 3 3" xfId="41876"/>
    <cellStyle name="Standaard 6 3 3 2 3 3 2" xfId="41877"/>
    <cellStyle name="Standaard 6 3 3 2 3 4" xfId="41878"/>
    <cellStyle name="Standaard 6 3 3 2 4" xfId="41879"/>
    <cellStyle name="Standaard 6 3 3 2 4 2" xfId="41880"/>
    <cellStyle name="Standaard 6 3 3 2 4 2 2" xfId="41881"/>
    <cellStyle name="Standaard 6 3 3 2 4 3" xfId="41882"/>
    <cellStyle name="Standaard 6 3 3 2 5" xfId="41883"/>
    <cellStyle name="Standaard 6 3 3 2 5 2" xfId="41884"/>
    <cellStyle name="Standaard 6 3 3 2 6" xfId="41885"/>
    <cellStyle name="Standaard 6 3 3 2 7" xfId="41886"/>
    <cellStyle name="Standaard 6 3 3 3" xfId="41887"/>
    <cellStyle name="Standaard 6 3 3 3 2" xfId="41888"/>
    <cellStyle name="Standaard 6 3 3 3 2 2" xfId="41889"/>
    <cellStyle name="Standaard 6 3 3 3 2 2 2" xfId="41890"/>
    <cellStyle name="Standaard 6 3 3 3 2 2 2 2" xfId="41891"/>
    <cellStyle name="Standaard 6 3 3 3 2 2 3" xfId="41892"/>
    <cellStyle name="Standaard 6 3 3 3 2 3" xfId="41893"/>
    <cellStyle name="Standaard 6 3 3 3 2 3 2" xfId="41894"/>
    <cellStyle name="Standaard 6 3 3 3 2 4" xfId="41895"/>
    <cellStyle name="Standaard 6 3 3 3 3" xfId="41896"/>
    <cellStyle name="Standaard 6 3 3 3 3 2" xfId="41897"/>
    <cellStyle name="Standaard 6 3 3 3 3 2 2" xfId="41898"/>
    <cellStyle name="Standaard 6 3 3 3 3 3" xfId="41899"/>
    <cellStyle name="Standaard 6 3 3 3 4" xfId="41900"/>
    <cellStyle name="Standaard 6 3 3 3 4 2" xfId="41901"/>
    <cellStyle name="Standaard 6 3 3 3 5" xfId="41902"/>
    <cellStyle name="Standaard 6 3 3 3 6" xfId="41903"/>
    <cellStyle name="Standaard 6 3 3 4" xfId="41904"/>
    <cellStyle name="Standaard 6 3 3 4 2" xfId="41905"/>
    <cellStyle name="Standaard 6 3 3 4 2 2" xfId="41906"/>
    <cellStyle name="Standaard 6 3 3 4 2 2 2" xfId="41907"/>
    <cellStyle name="Standaard 6 3 3 4 2 3" xfId="41908"/>
    <cellStyle name="Standaard 6 3 3 4 3" xfId="41909"/>
    <cellStyle name="Standaard 6 3 3 4 3 2" xfId="41910"/>
    <cellStyle name="Standaard 6 3 3 4 4" xfId="41911"/>
    <cellStyle name="Standaard 6 3 3 5" xfId="41912"/>
    <cellStyle name="Standaard 6 3 3 5 2" xfId="41913"/>
    <cellStyle name="Standaard 6 3 3 5 2 2" xfId="41914"/>
    <cellStyle name="Standaard 6 3 3 5 3" xfId="41915"/>
    <cellStyle name="Standaard 6 3 3 6" xfId="41916"/>
    <cellStyle name="Standaard 6 3 3 6 2" xfId="41917"/>
    <cellStyle name="Standaard 6 3 3 7" xfId="41918"/>
    <cellStyle name="Standaard 6 3 3 8" xfId="41919"/>
    <cellStyle name="Standaard 6 3 4" xfId="41920"/>
    <cellStyle name="Standaard 6 3 4 2" xfId="41921"/>
    <cellStyle name="Standaard 6 3 4 2 2" xfId="41922"/>
    <cellStyle name="Standaard 6 3 4 2 2 2" xfId="41923"/>
    <cellStyle name="Standaard 6 3 4 2 2 2 2" xfId="41924"/>
    <cellStyle name="Standaard 6 3 4 2 2 2 2 2" xfId="41925"/>
    <cellStyle name="Standaard 6 3 4 2 2 2 2 2 2" xfId="41926"/>
    <cellStyle name="Standaard 6 3 4 2 2 2 2 3" xfId="41927"/>
    <cellStyle name="Standaard 6 3 4 2 2 2 3" xfId="41928"/>
    <cellStyle name="Standaard 6 3 4 2 2 2 3 2" xfId="41929"/>
    <cellStyle name="Standaard 6 3 4 2 2 2 4" xfId="41930"/>
    <cellStyle name="Standaard 6 3 4 2 2 3" xfId="41931"/>
    <cellStyle name="Standaard 6 3 4 2 2 3 2" xfId="41932"/>
    <cellStyle name="Standaard 6 3 4 2 2 3 2 2" xfId="41933"/>
    <cellStyle name="Standaard 6 3 4 2 2 3 3" xfId="41934"/>
    <cellStyle name="Standaard 6 3 4 2 2 4" xfId="41935"/>
    <cellStyle name="Standaard 6 3 4 2 2 4 2" xfId="41936"/>
    <cellStyle name="Standaard 6 3 4 2 2 5" xfId="41937"/>
    <cellStyle name="Standaard 6 3 4 2 2 6" xfId="41938"/>
    <cellStyle name="Standaard 6 3 4 2 3" xfId="41939"/>
    <cellStyle name="Standaard 6 3 4 2 3 2" xfId="41940"/>
    <cellStyle name="Standaard 6 3 4 2 3 2 2" xfId="41941"/>
    <cellStyle name="Standaard 6 3 4 2 3 2 2 2" xfId="41942"/>
    <cellStyle name="Standaard 6 3 4 2 3 2 3" xfId="41943"/>
    <cellStyle name="Standaard 6 3 4 2 3 3" xfId="41944"/>
    <cellStyle name="Standaard 6 3 4 2 3 3 2" xfId="41945"/>
    <cellStyle name="Standaard 6 3 4 2 3 4" xfId="41946"/>
    <cellStyle name="Standaard 6 3 4 2 4" xfId="41947"/>
    <cellStyle name="Standaard 6 3 4 2 4 2" xfId="41948"/>
    <cellStyle name="Standaard 6 3 4 2 4 2 2" xfId="41949"/>
    <cellStyle name="Standaard 6 3 4 2 4 3" xfId="41950"/>
    <cellStyle name="Standaard 6 3 4 2 5" xfId="41951"/>
    <cellStyle name="Standaard 6 3 4 2 5 2" xfId="41952"/>
    <cellStyle name="Standaard 6 3 4 2 6" xfId="41953"/>
    <cellStyle name="Standaard 6 3 4 2 7" xfId="41954"/>
    <cellStyle name="Standaard 6 3 4 3" xfId="41955"/>
    <cellStyle name="Standaard 6 3 4 3 2" xfId="41956"/>
    <cellStyle name="Standaard 6 3 4 3 2 2" xfId="41957"/>
    <cellStyle name="Standaard 6 3 4 3 2 2 2" xfId="41958"/>
    <cellStyle name="Standaard 6 3 4 3 2 2 2 2" xfId="41959"/>
    <cellStyle name="Standaard 6 3 4 3 2 2 3" xfId="41960"/>
    <cellStyle name="Standaard 6 3 4 3 2 3" xfId="41961"/>
    <cellStyle name="Standaard 6 3 4 3 2 3 2" xfId="41962"/>
    <cellStyle name="Standaard 6 3 4 3 2 4" xfId="41963"/>
    <cellStyle name="Standaard 6 3 4 3 3" xfId="41964"/>
    <cellStyle name="Standaard 6 3 4 3 3 2" xfId="41965"/>
    <cellStyle name="Standaard 6 3 4 3 3 2 2" xfId="41966"/>
    <cellStyle name="Standaard 6 3 4 3 3 3" xfId="41967"/>
    <cellStyle name="Standaard 6 3 4 3 4" xfId="41968"/>
    <cellStyle name="Standaard 6 3 4 3 4 2" xfId="41969"/>
    <cellStyle name="Standaard 6 3 4 3 5" xfId="41970"/>
    <cellStyle name="Standaard 6 3 4 3 6" xfId="41971"/>
    <cellStyle name="Standaard 6 3 4 4" xfId="41972"/>
    <cellStyle name="Standaard 6 3 4 4 2" xfId="41973"/>
    <cellStyle name="Standaard 6 3 4 4 2 2" xfId="41974"/>
    <cellStyle name="Standaard 6 3 4 4 2 2 2" xfId="41975"/>
    <cellStyle name="Standaard 6 3 4 4 2 3" xfId="41976"/>
    <cellStyle name="Standaard 6 3 4 4 3" xfId="41977"/>
    <cellStyle name="Standaard 6 3 4 4 3 2" xfId="41978"/>
    <cellStyle name="Standaard 6 3 4 4 4" xfId="41979"/>
    <cellStyle name="Standaard 6 3 4 5" xfId="41980"/>
    <cellStyle name="Standaard 6 3 4 5 2" xfId="41981"/>
    <cellStyle name="Standaard 6 3 4 5 2 2" xfId="41982"/>
    <cellStyle name="Standaard 6 3 4 5 3" xfId="41983"/>
    <cellStyle name="Standaard 6 3 4 6" xfId="41984"/>
    <cellStyle name="Standaard 6 3 4 6 2" xfId="41985"/>
    <cellStyle name="Standaard 6 3 4 7" xfId="41986"/>
    <cellStyle name="Standaard 6 3 4 8" xfId="41987"/>
    <cellStyle name="Standaard 6 3 5" xfId="41988"/>
    <cellStyle name="Standaard 6 3 5 2" xfId="41989"/>
    <cellStyle name="Standaard 6 3 5 2 2" xfId="41990"/>
    <cellStyle name="Standaard 6 3 5 2 2 2" xfId="41991"/>
    <cellStyle name="Standaard 6 3 5 2 2 2 2" xfId="41992"/>
    <cellStyle name="Standaard 6 3 5 2 2 2 2 2" xfId="41993"/>
    <cellStyle name="Standaard 6 3 5 2 2 2 3" xfId="41994"/>
    <cellStyle name="Standaard 6 3 5 2 2 3" xfId="41995"/>
    <cellStyle name="Standaard 6 3 5 2 2 3 2" xfId="41996"/>
    <cellStyle name="Standaard 6 3 5 2 2 4" xfId="41997"/>
    <cellStyle name="Standaard 6 3 5 2 3" xfId="41998"/>
    <cellStyle name="Standaard 6 3 5 2 3 2" xfId="41999"/>
    <cellStyle name="Standaard 6 3 5 2 3 2 2" xfId="42000"/>
    <cellStyle name="Standaard 6 3 5 2 3 3" xfId="42001"/>
    <cellStyle name="Standaard 6 3 5 2 4" xfId="42002"/>
    <cellStyle name="Standaard 6 3 5 2 4 2" xfId="42003"/>
    <cellStyle name="Standaard 6 3 5 2 5" xfId="42004"/>
    <cellStyle name="Standaard 6 3 5 2 6" xfId="42005"/>
    <cellStyle name="Standaard 6 3 5 3" xfId="42006"/>
    <cellStyle name="Standaard 6 3 5 3 2" xfId="42007"/>
    <cellStyle name="Standaard 6 3 5 3 2 2" xfId="42008"/>
    <cellStyle name="Standaard 6 3 5 3 2 2 2" xfId="42009"/>
    <cellStyle name="Standaard 6 3 5 3 2 3" xfId="42010"/>
    <cellStyle name="Standaard 6 3 5 3 3" xfId="42011"/>
    <cellStyle name="Standaard 6 3 5 3 3 2" xfId="42012"/>
    <cellStyle name="Standaard 6 3 5 3 4" xfId="42013"/>
    <cellStyle name="Standaard 6 3 5 4" xfId="42014"/>
    <cellStyle name="Standaard 6 3 5 4 2" xfId="42015"/>
    <cellStyle name="Standaard 6 3 5 4 2 2" xfId="42016"/>
    <cellStyle name="Standaard 6 3 5 4 3" xfId="42017"/>
    <cellStyle name="Standaard 6 3 5 5" xfId="42018"/>
    <cellStyle name="Standaard 6 3 5 5 2" xfId="42019"/>
    <cellStyle name="Standaard 6 3 5 6" xfId="42020"/>
    <cellStyle name="Standaard 6 3 5 7" xfId="42021"/>
    <cellStyle name="Standaard 6 3 6" xfId="42022"/>
    <cellStyle name="Standaard 6 3 6 2" xfId="42023"/>
    <cellStyle name="Standaard 6 3 6 2 2" xfId="42024"/>
    <cellStyle name="Standaard 6 3 6 2 2 2" xfId="42025"/>
    <cellStyle name="Standaard 6 3 6 2 2 2 2" xfId="42026"/>
    <cellStyle name="Standaard 6 3 6 2 2 3" xfId="42027"/>
    <cellStyle name="Standaard 6 3 6 2 3" xfId="42028"/>
    <cellStyle name="Standaard 6 3 6 2 3 2" xfId="42029"/>
    <cellStyle name="Standaard 6 3 6 2 4" xfId="42030"/>
    <cellStyle name="Standaard 6 3 6 3" xfId="42031"/>
    <cellStyle name="Standaard 6 3 6 3 2" xfId="42032"/>
    <cellStyle name="Standaard 6 3 6 3 2 2" xfId="42033"/>
    <cellStyle name="Standaard 6 3 6 3 3" xfId="42034"/>
    <cellStyle name="Standaard 6 3 6 4" xfId="42035"/>
    <cellStyle name="Standaard 6 3 6 4 2" xfId="42036"/>
    <cellStyle name="Standaard 6 3 6 5" xfId="42037"/>
    <cellStyle name="Standaard 6 3 6 6" xfId="42038"/>
    <cellStyle name="Standaard 6 3 7" xfId="42039"/>
    <cellStyle name="Standaard 6 3 7 2" xfId="42040"/>
    <cellStyle name="Standaard 6 3 7 2 2" xfId="42041"/>
    <cellStyle name="Standaard 6 3 7 2 2 2" xfId="42042"/>
    <cellStyle name="Standaard 6 3 7 2 3" xfId="42043"/>
    <cellStyle name="Standaard 6 3 7 3" xfId="42044"/>
    <cellStyle name="Standaard 6 3 7 3 2" xfId="42045"/>
    <cellStyle name="Standaard 6 3 7 4" xfId="42046"/>
    <cellStyle name="Standaard 6 3 8" xfId="42047"/>
    <cellStyle name="Standaard 6 3 8 2" xfId="42048"/>
    <cellStyle name="Standaard 6 3 8 2 2" xfId="42049"/>
    <cellStyle name="Standaard 6 3 8 3" xfId="42050"/>
    <cellStyle name="Standaard 6 3 9" xfId="42051"/>
    <cellStyle name="Standaard 6 3 9 2" xfId="42052"/>
    <cellStyle name="Standaard 6 4" xfId="42053"/>
    <cellStyle name="Standaard 6 4 2" xfId="42054"/>
    <cellStyle name="Standaard 6 4 2 2" xfId="42055"/>
    <cellStyle name="Standaard 6 4 2 2 2" xfId="42056"/>
    <cellStyle name="Standaard 6 4 2 2 2 2" xfId="42057"/>
    <cellStyle name="Standaard 6 4 2 2 2 2 2" xfId="42058"/>
    <cellStyle name="Standaard 6 4 2 2 2 2 2 2" xfId="42059"/>
    <cellStyle name="Standaard 6 4 2 2 2 2 2 2 2" xfId="42060"/>
    <cellStyle name="Standaard 6 4 2 2 2 2 2 3" xfId="42061"/>
    <cellStyle name="Standaard 6 4 2 2 2 2 3" xfId="42062"/>
    <cellStyle name="Standaard 6 4 2 2 2 2 3 2" xfId="42063"/>
    <cellStyle name="Standaard 6 4 2 2 2 2 4" xfId="42064"/>
    <cellStyle name="Standaard 6 4 2 2 2 3" xfId="42065"/>
    <cellStyle name="Standaard 6 4 2 2 2 3 2" xfId="42066"/>
    <cellStyle name="Standaard 6 4 2 2 2 3 2 2" xfId="42067"/>
    <cellStyle name="Standaard 6 4 2 2 2 3 3" xfId="42068"/>
    <cellStyle name="Standaard 6 4 2 2 2 4" xfId="42069"/>
    <cellStyle name="Standaard 6 4 2 2 2 4 2" xfId="42070"/>
    <cellStyle name="Standaard 6 4 2 2 2 5" xfId="42071"/>
    <cellStyle name="Standaard 6 4 2 2 2 6" xfId="42072"/>
    <cellStyle name="Standaard 6 4 2 2 3" xfId="42073"/>
    <cellStyle name="Standaard 6 4 2 2 3 2" xfId="42074"/>
    <cellStyle name="Standaard 6 4 2 2 3 2 2" xfId="42075"/>
    <cellStyle name="Standaard 6 4 2 2 3 2 2 2" xfId="42076"/>
    <cellStyle name="Standaard 6 4 2 2 3 2 3" xfId="42077"/>
    <cellStyle name="Standaard 6 4 2 2 3 3" xfId="42078"/>
    <cellStyle name="Standaard 6 4 2 2 3 3 2" xfId="42079"/>
    <cellStyle name="Standaard 6 4 2 2 3 4" xfId="42080"/>
    <cellStyle name="Standaard 6 4 2 2 4" xfId="42081"/>
    <cellStyle name="Standaard 6 4 2 2 4 2" xfId="42082"/>
    <cellStyle name="Standaard 6 4 2 2 4 2 2" xfId="42083"/>
    <cellStyle name="Standaard 6 4 2 2 4 3" xfId="42084"/>
    <cellStyle name="Standaard 6 4 2 2 5" xfId="42085"/>
    <cellStyle name="Standaard 6 4 2 2 5 2" xfId="42086"/>
    <cellStyle name="Standaard 6 4 2 2 6" xfId="42087"/>
    <cellStyle name="Standaard 6 4 2 2 7" xfId="42088"/>
    <cellStyle name="Standaard 6 4 2 3" xfId="42089"/>
    <cellStyle name="Standaard 6 4 2 3 2" xfId="42090"/>
    <cellStyle name="Standaard 6 4 2 3 2 2" xfId="42091"/>
    <cellStyle name="Standaard 6 4 2 3 2 2 2" xfId="42092"/>
    <cellStyle name="Standaard 6 4 2 3 2 2 2 2" xfId="42093"/>
    <cellStyle name="Standaard 6 4 2 3 2 2 3" xfId="42094"/>
    <cellStyle name="Standaard 6 4 2 3 2 3" xfId="42095"/>
    <cellStyle name="Standaard 6 4 2 3 2 3 2" xfId="42096"/>
    <cellStyle name="Standaard 6 4 2 3 2 4" xfId="42097"/>
    <cellStyle name="Standaard 6 4 2 3 3" xfId="42098"/>
    <cellStyle name="Standaard 6 4 2 3 3 2" xfId="42099"/>
    <cellStyle name="Standaard 6 4 2 3 3 2 2" xfId="42100"/>
    <cellStyle name="Standaard 6 4 2 3 3 3" xfId="42101"/>
    <cellStyle name="Standaard 6 4 2 3 4" xfId="42102"/>
    <cellStyle name="Standaard 6 4 2 3 4 2" xfId="42103"/>
    <cellStyle name="Standaard 6 4 2 3 5" xfId="42104"/>
    <cellStyle name="Standaard 6 4 2 3 6" xfId="42105"/>
    <cellStyle name="Standaard 6 4 2 4" xfId="42106"/>
    <cellStyle name="Standaard 6 4 2 4 2" xfId="42107"/>
    <cellStyle name="Standaard 6 4 2 4 2 2" xfId="42108"/>
    <cellStyle name="Standaard 6 4 2 4 2 2 2" xfId="42109"/>
    <cellStyle name="Standaard 6 4 2 4 2 3" xfId="42110"/>
    <cellStyle name="Standaard 6 4 2 4 3" xfId="42111"/>
    <cellStyle name="Standaard 6 4 2 4 3 2" xfId="42112"/>
    <cellStyle name="Standaard 6 4 2 4 4" xfId="42113"/>
    <cellStyle name="Standaard 6 4 2 5" xfId="42114"/>
    <cellStyle name="Standaard 6 4 2 5 2" xfId="42115"/>
    <cellStyle name="Standaard 6 4 2 5 2 2" xfId="42116"/>
    <cellStyle name="Standaard 6 4 2 5 3" xfId="42117"/>
    <cellStyle name="Standaard 6 4 2 6" xfId="42118"/>
    <cellStyle name="Standaard 6 4 2 6 2" xfId="42119"/>
    <cellStyle name="Standaard 6 4 2 7" xfId="42120"/>
    <cellStyle name="Standaard 6 4 2 8" xfId="42121"/>
    <cellStyle name="Standaard 6 4 3" xfId="42122"/>
    <cellStyle name="Standaard 6 4 3 2" xfId="42123"/>
    <cellStyle name="Standaard 6 4 3 2 2" xfId="42124"/>
    <cellStyle name="Standaard 6 4 3 2 2 2" xfId="42125"/>
    <cellStyle name="Standaard 6 4 3 2 2 2 2" xfId="42126"/>
    <cellStyle name="Standaard 6 4 3 2 2 2 2 2" xfId="42127"/>
    <cellStyle name="Standaard 6 4 3 2 2 2 3" xfId="42128"/>
    <cellStyle name="Standaard 6 4 3 2 2 3" xfId="42129"/>
    <cellStyle name="Standaard 6 4 3 2 2 3 2" xfId="42130"/>
    <cellStyle name="Standaard 6 4 3 2 2 4" xfId="42131"/>
    <cellStyle name="Standaard 6 4 3 2 3" xfId="42132"/>
    <cellStyle name="Standaard 6 4 3 2 3 2" xfId="42133"/>
    <cellStyle name="Standaard 6 4 3 2 3 2 2" xfId="42134"/>
    <cellStyle name="Standaard 6 4 3 2 3 3" xfId="42135"/>
    <cellStyle name="Standaard 6 4 3 2 4" xfId="42136"/>
    <cellStyle name="Standaard 6 4 3 2 4 2" xfId="42137"/>
    <cellStyle name="Standaard 6 4 3 2 5" xfId="42138"/>
    <cellStyle name="Standaard 6 4 3 2 6" xfId="42139"/>
    <cellStyle name="Standaard 6 4 3 3" xfId="42140"/>
    <cellStyle name="Standaard 6 4 3 3 2" xfId="42141"/>
    <cellStyle name="Standaard 6 4 3 3 2 2" xfId="42142"/>
    <cellStyle name="Standaard 6 4 3 3 2 2 2" xfId="42143"/>
    <cellStyle name="Standaard 6 4 3 3 2 3" xfId="42144"/>
    <cellStyle name="Standaard 6 4 3 3 3" xfId="42145"/>
    <cellStyle name="Standaard 6 4 3 3 3 2" xfId="42146"/>
    <cellStyle name="Standaard 6 4 3 3 4" xfId="42147"/>
    <cellStyle name="Standaard 6 4 3 4" xfId="42148"/>
    <cellStyle name="Standaard 6 4 3 4 2" xfId="42149"/>
    <cellStyle name="Standaard 6 4 3 4 2 2" xfId="42150"/>
    <cellStyle name="Standaard 6 4 3 4 3" xfId="42151"/>
    <cellStyle name="Standaard 6 4 3 5" xfId="42152"/>
    <cellStyle name="Standaard 6 4 3 5 2" xfId="42153"/>
    <cellStyle name="Standaard 6 4 3 6" xfId="42154"/>
    <cellStyle name="Standaard 6 4 3 7" xfId="42155"/>
    <cellStyle name="Standaard 6 4 4" xfId="42156"/>
    <cellStyle name="Standaard 6 4 4 2" xfId="42157"/>
    <cellStyle name="Standaard 6 4 4 2 2" xfId="42158"/>
    <cellStyle name="Standaard 6 4 4 2 2 2" xfId="42159"/>
    <cellStyle name="Standaard 6 4 4 2 2 2 2" xfId="42160"/>
    <cellStyle name="Standaard 6 4 4 2 2 3" xfId="42161"/>
    <cellStyle name="Standaard 6 4 4 2 3" xfId="42162"/>
    <cellStyle name="Standaard 6 4 4 2 3 2" xfId="42163"/>
    <cellStyle name="Standaard 6 4 4 2 4" xfId="42164"/>
    <cellStyle name="Standaard 6 4 4 3" xfId="42165"/>
    <cellStyle name="Standaard 6 4 4 3 2" xfId="42166"/>
    <cellStyle name="Standaard 6 4 4 3 2 2" xfId="42167"/>
    <cellStyle name="Standaard 6 4 4 3 3" xfId="42168"/>
    <cellStyle name="Standaard 6 4 4 4" xfId="42169"/>
    <cellStyle name="Standaard 6 4 4 4 2" xfId="42170"/>
    <cellStyle name="Standaard 6 4 4 5" xfId="42171"/>
    <cellStyle name="Standaard 6 4 4 6" xfId="42172"/>
    <cellStyle name="Standaard 6 4 5" xfId="42173"/>
    <cellStyle name="Standaard 6 4 5 2" xfId="42174"/>
    <cellStyle name="Standaard 6 4 5 2 2" xfId="42175"/>
    <cellStyle name="Standaard 6 4 5 2 2 2" xfId="42176"/>
    <cellStyle name="Standaard 6 4 5 2 3" xfId="42177"/>
    <cellStyle name="Standaard 6 4 5 3" xfId="42178"/>
    <cellStyle name="Standaard 6 4 5 3 2" xfId="42179"/>
    <cellStyle name="Standaard 6 4 5 4" xfId="42180"/>
    <cellStyle name="Standaard 6 4 6" xfId="42181"/>
    <cellStyle name="Standaard 6 4 6 2" xfId="42182"/>
    <cellStyle name="Standaard 6 4 6 2 2" xfId="42183"/>
    <cellStyle name="Standaard 6 4 6 3" xfId="42184"/>
    <cellStyle name="Standaard 6 4 7" xfId="42185"/>
    <cellStyle name="Standaard 6 4 7 2" xfId="42186"/>
    <cellStyle name="Standaard 6 4 8" xfId="42187"/>
    <cellStyle name="Standaard 6 4 9" xfId="42188"/>
    <cellStyle name="Standaard 6 5" xfId="42189"/>
    <cellStyle name="Standaard 6 5 2" xfId="42190"/>
    <cellStyle name="Standaard 6 5 2 2" xfId="42191"/>
    <cellStyle name="Standaard 6 5 2 2 2" xfId="42192"/>
    <cellStyle name="Standaard 6 5 2 2 2 2" xfId="42193"/>
    <cellStyle name="Standaard 6 5 2 2 2 2 2" xfId="42194"/>
    <cellStyle name="Standaard 6 5 2 2 2 2 2 2" xfId="42195"/>
    <cellStyle name="Standaard 6 5 2 2 2 2 3" xfId="42196"/>
    <cellStyle name="Standaard 6 5 2 2 2 3" xfId="42197"/>
    <cellStyle name="Standaard 6 5 2 2 2 3 2" xfId="42198"/>
    <cellStyle name="Standaard 6 5 2 2 2 4" xfId="42199"/>
    <cellStyle name="Standaard 6 5 2 2 3" xfId="42200"/>
    <cellStyle name="Standaard 6 5 2 2 3 2" xfId="42201"/>
    <cellStyle name="Standaard 6 5 2 2 3 2 2" xfId="42202"/>
    <cellStyle name="Standaard 6 5 2 2 3 3" xfId="42203"/>
    <cellStyle name="Standaard 6 5 2 2 4" xfId="42204"/>
    <cellStyle name="Standaard 6 5 2 2 4 2" xfId="42205"/>
    <cellStyle name="Standaard 6 5 2 2 5" xfId="42206"/>
    <cellStyle name="Standaard 6 5 2 2 6" xfId="42207"/>
    <cellStyle name="Standaard 6 5 2 3" xfId="42208"/>
    <cellStyle name="Standaard 6 5 2 3 2" xfId="42209"/>
    <cellStyle name="Standaard 6 5 2 3 2 2" xfId="42210"/>
    <cellStyle name="Standaard 6 5 2 3 2 2 2" xfId="42211"/>
    <cellStyle name="Standaard 6 5 2 3 2 3" xfId="42212"/>
    <cellStyle name="Standaard 6 5 2 3 3" xfId="42213"/>
    <cellStyle name="Standaard 6 5 2 3 3 2" xfId="42214"/>
    <cellStyle name="Standaard 6 5 2 3 4" xfId="42215"/>
    <cellStyle name="Standaard 6 5 2 4" xfId="42216"/>
    <cellStyle name="Standaard 6 5 2 4 2" xfId="42217"/>
    <cellStyle name="Standaard 6 5 2 4 2 2" xfId="42218"/>
    <cellStyle name="Standaard 6 5 2 4 3" xfId="42219"/>
    <cellStyle name="Standaard 6 5 2 5" xfId="42220"/>
    <cellStyle name="Standaard 6 5 2 5 2" xfId="42221"/>
    <cellStyle name="Standaard 6 5 2 6" xfId="42222"/>
    <cellStyle name="Standaard 6 5 2 7" xfId="42223"/>
    <cellStyle name="Standaard 6 5 3" xfId="42224"/>
    <cellStyle name="Standaard 6 5 3 2" xfId="42225"/>
    <cellStyle name="Standaard 6 5 3 2 2" xfId="42226"/>
    <cellStyle name="Standaard 6 5 3 2 2 2" xfId="42227"/>
    <cellStyle name="Standaard 6 5 3 2 2 2 2" xfId="42228"/>
    <cellStyle name="Standaard 6 5 3 2 2 3" xfId="42229"/>
    <cellStyle name="Standaard 6 5 3 2 3" xfId="42230"/>
    <cellStyle name="Standaard 6 5 3 2 3 2" xfId="42231"/>
    <cellStyle name="Standaard 6 5 3 2 4" xfId="42232"/>
    <cellStyle name="Standaard 6 5 3 3" xfId="42233"/>
    <cellStyle name="Standaard 6 5 3 3 2" xfId="42234"/>
    <cellStyle name="Standaard 6 5 3 3 2 2" xfId="42235"/>
    <cellStyle name="Standaard 6 5 3 3 3" xfId="42236"/>
    <cellStyle name="Standaard 6 5 3 4" xfId="42237"/>
    <cellStyle name="Standaard 6 5 3 4 2" xfId="42238"/>
    <cellStyle name="Standaard 6 5 3 5" xfId="42239"/>
    <cellStyle name="Standaard 6 5 3 6" xfId="42240"/>
    <cellStyle name="Standaard 6 5 4" xfId="42241"/>
    <cellStyle name="Standaard 6 5 4 2" xfId="42242"/>
    <cellStyle name="Standaard 6 5 4 2 2" xfId="42243"/>
    <cellStyle name="Standaard 6 5 4 2 2 2" xfId="42244"/>
    <cellStyle name="Standaard 6 5 4 2 3" xfId="42245"/>
    <cellStyle name="Standaard 6 5 4 3" xfId="42246"/>
    <cellStyle name="Standaard 6 5 4 3 2" xfId="42247"/>
    <cellStyle name="Standaard 6 5 4 4" xfId="42248"/>
    <cellStyle name="Standaard 6 5 5" xfId="42249"/>
    <cellStyle name="Standaard 6 5 5 2" xfId="42250"/>
    <cellStyle name="Standaard 6 5 5 2 2" xfId="42251"/>
    <cellStyle name="Standaard 6 5 5 3" xfId="42252"/>
    <cellStyle name="Standaard 6 5 6" xfId="42253"/>
    <cellStyle name="Standaard 6 5 6 2" xfId="42254"/>
    <cellStyle name="Standaard 6 5 7" xfId="42255"/>
    <cellStyle name="Standaard 6 5 8" xfId="42256"/>
    <cellStyle name="Standaard 6 6" xfId="42257"/>
    <cellStyle name="Standaard 6 6 2" xfId="42258"/>
    <cellStyle name="Standaard 6 6 2 2" xfId="42259"/>
    <cellStyle name="Standaard 6 6 2 2 2" xfId="42260"/>
    <cellStyle name="Standaard 6 6 2 2 2 2" xfId="42261"/>
    <cellStyle name="Standaard 6 6 2 2 2 2 2" xfId="42262"/>
    <cellStyle name="Standaard 6 6 2 2 2 2 2 2" xfId="42263"/>
    <cellStyle name="Standaard 6 6 2 2 2 2 3" xfId="42264"/>
    <cellStyle name="Standaard 6 6 2 2 2 3" xfId="42265"/>
    <cellStyle name="Standaard 6 6 2 2 2 3 2" xfId="42266"/>
    <cellStyle name="Standaard 6 6 2 2 2 4" xfId="42267"/>
    <cellStyle name="Standaard 6 6 2 2 3" xfId="42268"/>
    <cellStyle name="Standaard 6 6 2 2 3 2" xfId="42269"/>
    <cellStyle name="Standaard 6 6 2 2 3 2 2" xfId="42270"/>
    <cellStyle name="Standaard 6 6 2 2 3 3" xfId="42271"/>
    <cellStyle name="Standaard 6 6 2 2 4" xfId="42272"/>
    <cellStyle name="Standaard 6 6 2 2 4 2" xfId="42273"/>
    <cellStyle name="Standaard 6 6 2 2 5" xfId="42274"/>
    <cellStyle name="Standaard 6 6 2 2 6" xfId="42275"/>
    <cellStyle name="Standaard 6 6 2 3" xfId="42276"/>
    <cellStyle name="Standaard 6 6 2 3 2" xfId="42277"/>
    <cellStyle name="Standaard 6 6 2 3 2 2" xfId="42278"/>
    <cellStyle name="Standaard 6 6 2 3 2 2 2" xfId="42279"/>
    <cellStyle name="Standaard 6 6 2 3 2 3" xfId="42280"/>
    <cellStyle name="Standaard 6 6 2 3 3" xfId="42281"/>
    <cellStyle name="Standaard 6 6 2 3 3 2" xfId="42282"/>
    <cellStyle name="Standaard 6 6 2 3 4" xfId="42283"/>
    <cellStyle name="Standaard 6 6 2 4" xfId="42284"/>
    <cellStyle name="Standaard 6 6 2 4 2" xfId="42285"/>
    <cellStyle name="Standaard 6 6 2 4 2 2" xfId="42286"/>
    <cellStyle name="Standaard 6 6 2 4 3" xfId="42287"/>
    <cellStyle name="Standaard 6 6 2 5" xfId="42288"/>
    <cellStyle name="Standaard 6 6 2 5 2" xfId="42289"/>
    <cellStyle name="Standaard 6 6 2 6" xfId="42290"/>
    <cellStyle name="Standaard 6 6 2 7" xfId="42291"/>
    <cellStyle name="Standaard 6 6 3" xfId="42292"/>
    <cellStyle name="Standaard 6 6 3 2" xfId="42293"/>
    <cellStyle name="Standaard 6 6 3 2 2" xfId="42294"/>
    <cellStyle name="Standaard 6 6 3 2 2 2" xfId="42295"/>
    <cellStyle name="Standaard 6 6 3 2 2 2 2" xfId="42296"/>
    <cellStyle name="Standaard 6 6 3 2 2 3" xfId="42297"/>
    <cellStyle name="Standaard 6 6 3 2 3" xfId="42298"/>
    <cellStyle name="Standaard 6 6 3 2 3 2" xfId="42299"/>
    <cellStyle name="Standaard 6 6 3 2 4" xfId="42300"/>
    <cellStyle name="Standaard 6 6 3 3" xfId="42301"/>
    <cellStyle name="Standaard 6 6 3 3 2" xfId="42302"/>
    <cellStyle name="Standaard 6 6 3 3 2 2" xfId="42303"/>
    <cellStyle name="Standaard 6 6 3 3 3" xfId="42304"/>
    <cellStyle name="Standaard 6 6 3 4" xfId="42305"/>
    <cellStyle name="Standaard 6 6 3 4 2" xfId="42306"/>
    <cellStyle name="Standaard 6 6 3 5" xfId="42307"/>
    <cellStyle name="Standaard 6 6 3 6" xfId="42308"/>
    <cellStyle name="Standaard 6 6 4" xfId="42309"/>
    <cellStyle name="Standaard 6 6 4 2" xfId="42310"/>
    <cellStyle name="Standaard 6 6 4 2 2" xfId="42311"/>
    <cellStyle name="Standaard 6 6 4 2 2 2" xfId="42312"/>
    <cellStyle name="Standaard 6 6 4 2 3" xfId="42313"/>
    <cellStyle name="Standaard 6 6 4 3" xfId="42314"/>
    <cellStyle name="Standaard 6 6 4 3 2" xfId="42315"/>
    <cellStyle name="Standaard 6 6 4 4" xfId="42316"/>
    <cellStyle name="Standaard 6 6 5" xfId="42317"/>
    <cellStyle name="Standaard 6 6 5 2" xfId="42318"/>
    <cellStyle name="Standaard 6 6 5 2 2" xfId="42319"/>
    <cellStyle name="Standaard 6 6 5 3" xfId="42320"/>
    <cellStyle name="Standaard 6 6 6" xfId="42321"/>
    <cellStyle name="Standaard 6 6 6 2" xfId="42322"/>
    <cellStyle name="Standaard 6 6 7" xfId="42323"/>
    <cellStyle name="Standaard 6 6 8" xfId="42324"/>
    <cellStyle name="Standaard 6 7" xfId="42325"/>
    <cellStyle name="Standaard 6 7 2" xfId="42326"/>
    <cellStyle name="Standaard 6 7 2 2" xfId="42327"/>
    <cellStyle name="Standaard 6 7 2 2 2" xfId="42328"/>
    <cellStyle name="Standaard 6 7 2 2 2 2" xfId="42329"/>
    <cellStyle name="Standaard 6 7 2 2 2 2 2" xfId="42330"/>
    <cellStyle name="Standaard 6 7 2 2 2 3" xfId="42331"/>
    <cellStyle name="Standaard 6 7 2 2 3" xfId="42332"/>
    <cellStyle name="Standaard 6 7 2 2 3 2" xfId="42333"/>
    <cellStyle name="Standaard 6 7 2 2 4" xfId="42334"/>
    <cellStyle name="Standaard 6 7 2 3" xfId="42335"/>
    <cellStyle name="Standaard 6 7 2 3 2" xfId="42336"/>
    <cellStyle name="Standaard 6 7 2 3 2 2" xfId="42337"/>
    <cellStyle name="Standaard 6 7 2 3 3" xfId="42338"/>
    <cellStyle name="Standaard 6 7 2 4" xfId="42339"/>
    <cellStyle name="Standaard 6 7 2 4 2" xfId="42340"/>
    <cellStyle name="Standaard 6 7 2 5" xfId="42341"/>
    <cellStyle name="Standaard 6 7 2 6" xfId="42342"/>
    <cellStyle name="Standaard 6 7 3" xfId="42343"/>
    <cellStyle name="Standaard 6 7 3 2" xfId="42344"/>
    <cellStyle name="Standaard 6 7 3 2 2" xfId="42345"/>
    <cellStyle name="Standaard 6 7 3 2 2 2" xfId="42346"/>
    <cellStyle name="Standaard 6 7 3 2 3" xfId="42347"/>
    <cellStyle name="Standaard 6 7 3 3" xfId="42348"/>
    <cellStyle name="Standaard 6 7 3 3 2" xfId="42349"/>
    <cellStyle name="Standaard 6 7 3 4" xfId="42350"/>
    <cellStyle name="Standaard 6 7 4" xfId="42351"/>
    <cellStyle name="Standaard 6 7 4 2" xfId="42352"/>
    <cellStyle name="Standaard 6 7 4 2 2" xfId="42353"/>
    <cellStyle name="Standaard 6 7 4 3" xfId="42354"/>
    <cellStyle name="Standaard 6 7 5" xfId="42355"/>
    <cellStyle name="Standaard 6 7 5 2" xfId="42356"/>
    <cellStyle name="Standaard 6 7 6" xfId="42357"/>
    <cellStyle name="Standaard 6 7 7" xfId="42358"/>
    <cellStyle name="Standaard 6 8" xfId="42359"/>
    <cellStyle name="Standaard 6 8 2" xfId="42360"/>
    <cellStyle name="Standaard 6 8 2 2" xfId="42361"/>
    <cellStyle name="Standaard 6 8 2 2 2" xfId="42362"/>
    <cellStyle name="Standaard 6 8 2 2 2 2" xfId="42363"/>
    <cellStyle name="Standaard 6 8 2 2 3" xfId="42364"/>
    <cellStyle name="Standaard 6 8 2 3" xfId="42365"/>
    <cellStyle name="Standaard 6 8 2 3 2" xfId="42366"/>
    <cellStyle name="Standaard 6 8 2 4" xfId="42367"/>
    <cellStyle name="Standaard 6 8 3" xfId="42368"/>
    <cellStyle name="Standaard 6 8 3 2" xfId="42369"/>
    <cellStyle name="Standaard 6 8 3 2 2" xfId="42370"/>
    <cellStyle name="Standaard 6 8 3 3" xfId="42371"/>
    <cellStyle name="Standaard 6 8 4" xfId="42372"/>
    <cellStyle name="Standaard 6 8 4 2" xfId="42373"/>
    <cellStyle name="Standaard 6 8 5" xfId="42374"/>
    <cellStyle name="Standaard 6 8 6" xfId="42375"/>
    <cellStyle name="Standaard 6 9" xfId="42376"/>
    <cellStyle name="Standaard 6 9 2" xfId="42377"/>
    <cellStyle name="Standaard 6 9 2 2" xfId="42378"/>
    <cellStyle name="Standaard 6 9 2 2 2" xfId="42379"/>
    <cellStyle name="Standaard 6 9 2 3" xfId="42380"/>
    <cellStyle name="Standaard 6 9 3" xfId="42381"/>
    <cellStyle name="Standaard 6 9 3 2" xfId="42382"/>
    <cellStyle name="Standaard 6 9 4" xfId="42383"/>
    <cellStyle name="Standaard 60" xfId="42384"/>
    <cellStyle name="Standaard 60 10" xfId="42385"/>
    <cellStyle name="Standaard 60 10 2" xfId="42386"/>
    <cellStyle name="Standaard 60 10 2 2" xfId="42387"/>
    <cellStyle name="Standaard 60 10 3" xfId="42388"/>
    <cellStyle name="Standaard 60 11" xfId="42389"/>
    <cellStyle name="Standaard 60 11 2" xfId="42390"/>
    <cellStyle name="Standaard 60 12" xfId="42391"/>
    <cellStyle name="Standaard 60 13" xfId="42392"/>
    <cellStyle name="Standaard 60 2" xfId="42393"/>
    <cellStyle name="Standaard 60 2 10" xfId="42394"/>
    <cellStyle name="Standaard 60 2 10 2" xfId="42395"/>
    <cellStyle name="Standaard 60 2 11" xfId="42396"/>
    <cellStyle name="Standaard 60 2 12" xfId="42397"/>
    <cellStyle name="Standaard 60 2 2" xfId="42398"/>
    <cellStyle name="Standaard 60 2 2 10" xfId="42399"/>
    <cellStyle name="Standaard 60 2 2 11" xfId="42400"/>
    <cellStyle name="Standaard 60 2 2 2" xfId="42401"/>
    <cellStyle name="Standaard 60 2 2 2 2" xfId="42402"/>
    <cellStyle name="Standaard 60 2 2 2 2 2" xfId="42403"/>
    <cellStyle name="Standaard 60 2 2 2 2 2 2" xfId="42404"/>
    <cellStyle name="Standaard 60 2 2 2 2 2 2 2" xfId="42405"/>
    <cellStyle name="Standaard 60 2 2 2 2 2 2 2 2" xfId="42406"/>
    <cellStyle name="Standaard 60 2 2 2 2 2 2 2 2 2" xfId="42407"/>
    <cellStyle name="Standaard 60 2 2 2 2 2 2 2 2 2 2" xfId="42408"/>
    <cellStyle name="Standaard 60 2 2 2 2 2 2 2 2 3" xfId="42409"/>
    <cellStyle name="Standaard 60 2 2 2 2 2 2 2 3" xfId="42410"/>
    <cellStyle name="Standaard 60 2 2 2 2 2 2 2 3 2" xfId="42411"/>
    <cellStyle name="Standaard 60 2 2 2 2 2 2 2 4" xfId="42412"/>
    <cellStyle name="Standaard 60 2 2 2 2 2 2 3" xfId="42413"/>
    <cellStyle name="Standaard 60 2 2 2 2 2 2 3 2" xfId="42414"/>
    <cellStyle name="Standaard 60 2 2 2 2 2 2 3 2 2" xfId="42415"/>
    <cellStyle name="Standaard 60 2 2 2 2 2 2 3 3" xfId="42416"/>
    <cellStyle name="Standaard 60 2 2 2 2 2 2 4" xfId="42417"/>
    <cellStyle name="Standaard 60 2 2 2 2 2 2 4 2" xfId="42418"/>
    <cellStyle name="Standaard 60 2 2 2 2 2 2 5" xfId="42419"/>
    <cellStyle name="Standaard 60 2 2 2 2 2 2 6" xfId="42420"/>
    <cellStyle name="Standaard 60 2 2 2 2 2 3" xfId="42421"/>
    <cellStyle name="Standaard 60 2 2 2 2 2 3 2" xfId="42422"/>
    <cellStyle name="Standaard 60 2 2 2 2 2 3 2 2" xfId="42423"/>
    <cellStyle name="Standaard 60 2 2 2 2 2 3 2 2 2" xfId="42424"/>
    <cellStyle name="Standaard 60 2 2 2 2 2 3 2 3" xfId="42425"/>
    <cellStyle name="Standaard 60 2 2 2 2 2 3 3" xfId="42426"/>
    <cellStyle name="Standaard 60 2 2 2 2 2 3 3 2" xfId="42427"/>
    <cellStyle name="Standaard 60 2 2 2 2 2 3 4" xfId="42428"/>
    <cellStyle name="Standaard 60 2 2 2 2 2 4" xfId="42429"/>
    <cellStyle name="Standaard 60 2 2 2 2 2 4 2" xfId="42430"/>
    <cellStyle name="Standaard 60 2 2 2 2 2 4 2 2" xfId="42431"/>
    <cellStyle name="Standaard 60 2 2 2 2 2 4 3" xfId="42432"/>
    <cellStyle name="Standaard 60 2 2 2 2 2 5" xfId="42433"/>
    <cellStyle name="Standaard 60 2 2 2 2 2 5 2" xfId="42434"/>
    <cellStyle name="Standaard 60 2 2 2 2 2 6" xfId="42435"/>
    <cellStyle name="Standaard 60 2 2 2 2 2 7" xfId="42436"/>
    <cellStyle name="Standaard 60 2 2 2 2 3" xfId="42437"/>
    <cellStyle name="Standaard 60 2 2 2 2 3 2" xfId="42438"/>
    <cellStyle name="Standaard 60 2 2 2 2 3 2 2" xfId="42439"/>
    <cellStyle name="Standaard 60 2 2 2 2 3 2 2 2" xfId="42440"/>
    <cellStyle name="Standaard 60 2 2 2 2 3 2 2 2 2" xfId="42441"/>
    <cellStyle name="Standaard 60 2 2 2 2 3 2 2 3" xfId="42442"/>
    <cellStyle name="Standaard 60 2 2 2 2 3 2 3" xfId="42443"/>
    <cellStyle name="Standaard 60 2 2 2 2 3 2 3 2" xfId="42444"/>
    <cellStyle name="Standaard 60 2 2 2 2 3 2 4" xfId="42445"/>
    <cellStyle name="Standaard 60 2 2 2 2 3 3" xfId="42446"/>
    <cellStyle name="Standaard 60 2 2 2 2 3 3 2" xfId="42447"/>
    <cellStyle name="Standaard 60 2 2 2 2 3 3 2 2" xfId="42448"/>
    <cellStyle name="Standaard 60 2 2 2 2 3 3 3" xfId="42449"/>
    <cellStyle name="Standaard 60 2 2 2 2 3 4" xfId="42450"/>
    <cellStyle name="Standaard 60 2 2 2 2 3 4 2" xfId="42451"/>
    <cellStyle name="Standaard 60 2 2 2 2 3 5" xfId="42452"/>
    <cellStyle name="Standaard 60 2 2 2 2 3 6" xfId="42453"/>
    <cellStyle name="Standaard 60 2 2 2 2 4" xfId="42454"/>
    <cellStyle name="Standaard 60 2 2 2 2 4 2" xfId="42455"/>
    <cellStyle name="Standaard 60 2 2 2 2 4 2 2" xfId="42456"/>
    <cellStyle name="Standaard 60 2 2 2 2 4 2 2 2" xfId="42457"/>
    <cellStyle name="Standaard 60 2 2 2 2 4 2 3" xfId="42458"/>
    <cellStyle name="Standaard 60 2 2 2 2 4 3" xfId="42459"/>
    <cellStyle name="Standaard 60 2 2 2 2 4 3 2" xfId="42460"/>
    <cellStyle name="Standaard 60 2 2 2 2 4 4" xfId="42461"/>
    <cellStyle name="Standaard 60 2 2 2 2 5" xfId="42462"/>
    <cellStyle name="Standaard 60 2 2 2 2 5 2" xfId="42463"/>
    <cellStyle name="Standaard 60 2 2 2 2 5 2 2" xfId="42464"/>
    <cellStyle name="Standaard 60 2 2 2 2 5 3" xfId="42465"/>
    <cellStyle name="Standaard 60 2 2 2 2 6" xfId="42466"/>
    <cellStyle name="Standaard 60 2 2 2 2 6 2" xfId="42467"/>
    <cellStyle name="Standaard 60 2 2 2 2 7" xfId="42468"/>
    <cellStyle name="Standaard 60 2 2 2 2 8" xfId="42469"/>
    <cellStyle name="Standaard 60 2 2 2 3" xfId="42470"/>
    <cellStyle name="Standaard 60 2 2 2 3 2" xfId="42471"/>
    <cellStyle name="Standaard 60 2 2 2 3 2 2" xfId="42472"/>
    <cellStyle name="Standaard 60 2 2 2 3 2 2 2" xfId="42473"/>
    <cellStyle name="Standaard 60 2 2 2 3 2 2 2 2" xfId="42474"/>
    <cellStyle name="Standaard 60 2 2 2 3 2 2 2 2 2" xfId="42475"/>
    <cellStyle name="Standaard 60 2 2 2 3 2 2 2 3" xfId="42476"/>
    <cellStyle name="Standaard 60 2 2 2 3 2 2 3" xfId="42477"/>
    <cellStyle name="Standaard 60 2 2 2 3 2 2 3 2" xfId="42478"/>
    <cellStyle name="Standaard 60 2 2 2 3 2 2 4" xfId="42479"/>
    <cellStyle name="Standaard 60 2 2 2 3 2 3" xfId="42480"/>
    <cellStyle name="Standaard 60 2 2 2 3 2 3 2" xfId="42481"/>
    <cellStyle name="Standaard 60 2 2 2 3 2 3 2 2" xfId="42482"/>
    <cellStyle name="Standaard 60 2 2 2 3 2 3 3" xfId="42483"/>
    <cellStyle name="Standaard 60 2 2 2 3 2 4" xfId="42484"/>
    <cellStyle name="Standaard 60 2 2 2 3 2 4 2" xfId="42485"/>
    <cellStyle name="Standaard 60 2 2 2 3 2 5" xfId="42486"/>
    <cellStyle name="Standaard 60 2 2 2 3 2 6" xfId="42487"/>
    <cellStyle name="Standaard 60 2 2 2 3 3" xfId="42488"/>
    <cellStyle name="Standaard 60 2 2 2 3 3 2" xfId="42489"/>
    <cellStyle name="Standaard 60 2 2 2 3 3 2 2" xfId="42490"/>
    <cellStyle name="Standaard 60 2 2 2 3 3 2 2 2" xfId="42491"/>
    <cellStyle name="Standaard 60 2 2 2 3 3 2 3" xfId="42492"/>
    <cellStyle name="Standaard 60 2 2 2 3 3 3" xfId="42493"/>
    <cellStyle name="Standaard 60 2 2 2 3 3 3 2" xfId="42494"/>
    <cellStyle name="Standaard 60 2 2 2 3 3 4" xfId="42495"/>
    <cellStyle name="Standaard 60 2 2 2 3 4" xfId="42496"/>
    <cellStyle name="Standaard 60 2 2 2 3 4 2" xfId="42497"/>
    <cellStyle name="Standaard 60 2 2 2 3 4 2 2" xfId="42498"/>
    <cellStyle name="Standaard 60 2 2 2 3 4 3" xfId="42499"/>
    <cellStyle name="Standaard 60 2 2 2 3 5" xfId="42500"/>
    <cellStyle name="Standaard 60 2 2 2 3 5 2" xfId="42501"/>
    <cellStyle name="Standaard 60 2 2 2 3 6" xfId="42502"/>
    <cellStyle name="Standaard 60 2 2 2 3 7" xfId="42503"/>
    <cellStyle name="Standaard 60 2 2 2 4" xfId="42504"/>
    <cellStyle name="Standaard 60 2 2 2 4 2" xfId="42505"/>
    <cellStyle name="Standaard 60 2 2 2 4 2 2" xfId="42506"/>
    <cellStyle name="Standaard 60 2 2 2 4 2 2 2" xfId="42507"/>
    <cellStyle name="Standaard 60 2 2 2 4 2 2 2 2" xfId="42508"/>
    <cellStyle name="Standaard 60 2 2 2 4 2 2 3" xfId="42509"/>
    <cellStyle name="Standaard 60 2 2 2 4 2 3" xfId="42510"/>
    <cellStyle name="Standaard 60 2 2 2 4 2 3 2" xfId="42511"/>
    <cellStyle name="Standaard 60 2 2 2 4 2 4" xfId="42512"/>
    <cellStyle name="Standaard 60 2 2 2 4 3" xfId="42513"/>
    <cellStyle name="Standaard 60 2 2 2 4 3 2" xfId="42514"/>
    <cellStyle name="Standaard 60 2 2 2 4 3 2 2" xfId="42515"/>
    <cellStyle name="Standaard 60 2 2 2 4 3 3" xfId="42516"/>
    <cellStyle name="Standaard 60 2 2 2 4 4" xfId="42517"/>
    <cellStyle name="Standaard 60 2 2 2 4 4 2" xfId="42518"/>
    <cellStyle name="Standaard 60 2 2 2 4 5" xfId="42519"/>
    <cellStyle name="Standaard 60 2 2 2 4 6" xfId="42520"/>
    <cellStyle name="Standaard 60 2 2 2 5" xfId="42521"/>
    <cellStyle name="Standaard 60 2 2 2 5 2" xfId="42522"/>
    <cellStyle name="Standaard 60 2 2 2 5 2 2" xfId="42523"/>
    <cellStyle name="Standaard 60 2 2 2 5 2 2 2" xfId="42524"/>
    <cellStyle name="Standaard 60 2 2 2 5 2 3" xfId="42525"/>
    <cellStyle name="Standaard 60 2 2 2 5 3" xfId="42526"/>
    <cellStyle name="Standaard 60 2 2 2 5 3 2" xfId="42527"/>
    <cellStyle name="Standaard 60 2 2 2 5 4" xfId="42528"/>
    <cellStyle name="Standaard 60 2 2 2 6" xfId="42529"/>
    <cellStyle name="Standaard 60 2 2 2 6 2" xfId="42530"/>
    <cellStyle name="Standaard 60 2 2 2 6 2 2" xfId="42531"/>
    <cellStyle name="Standaard 60 2 2 2 6 3" xfId="42532"/>
    <cellStyle name="Standaard 60 2 2 2 7" xfId="42533"/>
    <cellStyle name="Standaard 60 2 2 2 7 2" xfId="42534"/>
    <cellStyle name="Standaard 60 2 2 2 8" xfId="42535"/>
    <cellStyle name="Standaard 60 2 2 2 9" xfId="42536"/>
    <cellStyle name="Standaard 60 2 2 3" xfId="42537"/>
    <cellStyle name="Standaard 60 2 2 3 2" xfId="42538"/>
    <cellStyle name="Standaard 60 2 2 3 2 2" xfId="42539"/>
    <cellStyle name="Standaard 60 2 2 3 2 2 2" xfId="42540"/>
    <cellStyle name="Standaard 60 2 2 3 2 2 2 2" xfId="42541"/>
    <cellStyle name="Standaard 60 2 2 3 2 2 2 2 2" xfId="42542"/>
    <cellStyle name="Standaard 60 2 2 3 2 2 2 2 2 2" xfId="42543"/>
    <cellStyle name="Standaard 60 2 2 3 2 2 2 2 3" xfId="42544"/>
    <cellStyle name="Standaard 60 2 2 3 2 2 2 3" xfId="42545"/>
    <cellStyle name="Standaard 60 2 2 3 2 2 2 3 2" xfId="42546"/>
    <cellStyle name="Standaard 60 2 2 3 2 2 2 4" xfId="42547"/>
    <cellStyle name="Standaard 60 2 2 3 2 2 3" xfId="42548"/>
    <cellStyle name="Standaard 60 2 2 3 2 2 3 2" xfId="42549"/>
    <cellStyle name="Standaard 60 2 2 3 2 2 3 2 2" xfId="42550"/>
    <cellStyle name="Standaard 60 2 2 3 2 2 3 3" xfId="42551"/>
    <cellStyle name="Standaard 60 2 2 3 2 2 4" xfId="42552"/>
    <cellStyle name="Standaard 60 2 2 3 2 2 4 2" xfId="42553"/>
    <cellStyle name="Standaard 60 2 2 3 2 2 5" xfId="42554"/>
    <cellStyle name="Standaard 60 2 2 3 2 2 6" xfId="42555"/>
    <cellStyle name="Standaard 60 2 2 3 2 3" xfId="42556"/>
    <cellStyle name="Standaard 60 2 2 3 2 3 2" xfId="42557"/>
    <cellStyle name="Standaard 60 2 2 3 2 3 2 2" xfId="42558"/>
    <cellStyle name="Standaard 60 2 2 3 2 3 2 2 2" xfId="42559"/>
    <cellStyle name="Standaard 60 2 2 3 2 3 2 3" xfId="42560"/>
    <cellStyle name="Standaard 60 2 2 3 2 3 3" xfId="42561"/>
    <cellStyle name="Standaard 60 2 2 3 2 3 3 2" xfId="42562"/>
    <cellStyle name="Standaard 60 2 2 3 2 3 4" xfId="42563"/>
    <cellStyle name="Standaard 60 2 2 3 2 4" xfId="42564"/>
    <cellStyle name="Standaard 60 2 2 3 2 4 2" xfId="42565"/>
    <cellStyle name="Standaard 60 2 2 3 2 4 2 2" xfId="42566"/>
    <cellStyle name="Standaard 60 2 2 3 2 4 3" xfId="42567"/>
    <cellStyle name="Standaard 60 2 2 3 2 5" xfId="42568"/>
    <cellStyle name="Standaard 60 2 2 3 2 5 2" xfId="42569"/>
    <cellStyle name="Standaard 60 2 2 3 2 6" xfId="42570"/>
    <cellStyle name="Standaard 60 2 2 3 2 7" xfId="42571"/>
    <cellStyle name="Standaard 60 2 2 3 3" xfId="42572"/>
    <cellStyle name="Standaard 60 2 2 3 3 2" xfId="42573"/>
    <cellStyle name="Standaard 60 2 2 3 3 2 2" xfId="42574"/>
    <cellStyle name="Standaard 60 2 2 3 3 2 2 2" xfId="42575"/>
    <cellStyle name="Standaard 60 2 2 3 3 2 2 2 2" xfId="42576"/>
    <cellStyle name="Standaard 60 2 2 3 3 2 2 3" xfId="42577"/>
    <cellStyle name="Standaard 60 2 2 3 3 2 3" xfId="42578"/>
    <cellStyle name="Standaard 60 2 2 3 3 2 3 2" xfId="42579"/>
    <cellStyle name="Standaard 60 2 2 3 3 2 4" xfId="42580"/>
    <cellStyle name="Standaard 60 2 2 3 3 3" xfId="42581"/>
    <cellStyle name="Standaard 60 2 2 3 3 3 2" xfId="42582"/>
    <cellStyle name="Standaard 60 2 2 3 3 3 2 2" xfId="42583"/>
    <cellStyle name="Standaard 60 2 2 3 3 3 3" xfId="42584"/>
    <cellStyle name="Standaard 60 2 2 3 3 4" xfId="42585"/>
    <cellStyle name="Standaard 60 2 2 3 3 4 2" xfId="42586"/>
    <cellStyle name="Standaard 60 2 2 3 3 5" xfId="42587"/>
    <cellStyle name="Standaard 60 2 2 3 3 6" xfId="42588"/>
    <cellStyle name="Standaard 60 2 2 3 4" xfId="42589"/>
    <cellStyle name="Standaard 60 2 2 3 4 2" xfId="42590"/>
    <cellStyle name="Standaard 60 2 2 3 4 2 2" xfId="42591"/>
    <cellStyle name="Standaard 60 2 2 3 4 2 2 2" xfId="42592"/>
    <cellStyle name="Standaard 60 2 2 3 4 2 3" xfId="42593"/>
    <cellStyle name="Standaard 60 2 2 3 4 3" xfId="42594"/>
    <cellStyle name="Standaard 60 2 2 3 4 3 2" xfId="42595"/>
    <cellStyle name="Standaard 60 2 2 3 4 4" xfId="42596"/>
    <cellStyle name="Standaard 60 2 2 3 5" xfId="42597"/>
    <cellStyle name="Standaard 60 2 2 3 5 2" xfId="42598"/>
    <cellStyle name="Standaard 60 2 2 3 5 2 2" xfId="42599"/>
    <cellStyle name="Standaard 60 2 2 3 5 3" xfId="42600"/>
    <cellStyle name="Standaard 60 2 2 3 6" xfId="42601"/>
    <cellStyle name="Standaard 60 2 2 3 6 2" xfId="42602"/>
    <cellStyle name="Standaard 60 2 2 3 7" xfId="42603"/>
    <cellStyle name="Standaard 60 2 2 3 8" xfId="42604"/>
    <cellStyle name="Standaard 60 2 2 4" xfId="42605"/>
    <cellStyle name="Standaard 60 2 2 4 2" xfId="42606"/>
    <cellStyle name="Standaard 60 2 2 4 2 2" xfId="42607"/>
    <cellStyle name="Standaard 60 2 2 4 2 2 2" xfId="42608"/>
    <cellStyle name="Standaard 60 2 2 4 2 2 2 2" xfId="42609"/>
    <cellStyle name="Standaard 60 2 2 4 2 2 2 2 2" xfId="42610"/>
    <cellStyle name="Standaard 60 2 2 4 2 2 2 2 2 2" xfId="42611"/>
    <cellStyle name="Standaard 60 2 2 4 2 2 2 2 3" xfId="42612"/>
    <cellStyle name="Standaard 60 2 2 4 2 2 2 3" xfId="42613"/>
    <cellStyle name="Standaard 60 2 2 4 2 2 2 3 2" xfId="42614"/>
    <cellStyle name="Standaard 60 2 2 4 2 2 2 4" xfId="42615"/>
    <cellStyle name="Standaard 60 2 2 4 2 2 3" xfId="42616"/>
    <cellStyle name="Standaard 60 2 2 4 2 2 3 2" xfId="42617"/>
    <cellStyle name="Standaard 60 2 2 4 2 2 3 2 2" xfId="42618"/>
    <cellStyle name="Standaard 60 2 2 4 2 2 3 3" xfId="42619"/>
    <cellStyle name="Standaard 60 2 2 4 2 2 4" xfId="42620"/>
    <cellStyle name="Standaard 60 2 2 4 2 2 4 2" xfId="42621"/>
    <cellStyle name="Standaard 60 2 2 4 2 2 5" xfId="42622"/>
    <cellStyle name="Standaard 60 2 2 4 2 2 6" xfId="42623"/>
    <cellStyle name="Standaard 60 2 2 4 2 3" xfId="42624"/>
    <cellStyle name="Standaard 60 2 2 4 2 3 2" xfId="42625"/>
    <cellStyle name="Standaard 60 2 2 4 2 3 2 2" xfId="42626"/>
    <cellStyle name="Standaard 60 2 2 4 2 3 2 2 2" xfId="42627"/>
    <cellStyle name="Standaard 60 2 2 4 2 3 2 3" xfId="42628"/>
    <cellStyle name="Standaard 60 2 2 4 2 3 3" xfId="42629"/>
    <cellStyle name="Standaard 60 2 2 4 2 3 3 2" xfId="42630"/>
    <cellStyle name="Standaard 60 2 2 4 2 3 4" xfId="42631"/>
    <cellStyle name="Standaard 60 2 2 4 2 4" xfId="42632"/>
    <cellStyle name="Standaard 60 2 2 4 2 4 2" xfId="42633"/>
    <cellStyle name="Standaard 60 2 2 4 2 4 2 2" xfId="42634"/>
    <cellStyle name="Standaard 60 2 2 4 2 4 3" xfId="42635"/>
    <cellStyle name="Standaard 60 2 2 4 2 5" xfId="42636"/>
    <cellStyle name="Standaard 60 2 2 4 2 5 2" xfId="42637"/>
    <cellStyle name="Standaard 60 2 2 4 2 6" xfId="42638"/>
    <cellStyle name="Standaard 60 2 2 4 2 7" xfId="42639"/>
    <cellStyle name="Standaard 60 2 2 4 3" xfId="42640"/>
    <cellStyle name="Standaard 60 2 2 4 3 2" xfId="42641"/>
    <cellStyle name="Standaard 60 2 2 4 3 2 2" xfId="42642"/>
    <cellStyle name="Standaard 60 2 2 4 3 2 2 2" xfId="42643"/>
    <cellStyle name="Standaard 60 2 2 4 3 2 2 2 2" xfId="42644"/>
    <cellStyle name="Standaard 60 2 2 4 3 2 2 3" xfId="42645"/>
    <cellStyle name="Standaard 60 2 2 4 3 2 3" xfId="42646"/>
    <cellStyle name="Standaard 60 2 2 4 3 2 3 2" xfId="42647"/>
    <cellStyle name="Standaard 60 2 2 4 3 2 4" xfId="42648"/>
    <cellStyle name="Standaard 60 2 2 4 3 3" xfId="42649"/>
    <cellStyle name="Standaard 60 2 2 4 3 3 2" xfId="42650"/>
    <cellStyle name="Standaard 60 2 2 4 3 3 2 2" xfId="42651"/>
    <cellStyle name="Standaard 60 2 2 4 3 3 3" xfId="42652"/>
    <cellStyle name="Standaard 60 2 2 4 3 4" xfId="42653"/>
    <cellStyle name="Standaard 60 2 2 4 3 4 2" xfId="42654"/>
    <cellStyle name="Standaard 60 2 2 4 3 5" xfId="42655"/>
    <cellStyle name="Standaard 60 2 2 4 3 6" xfId="42656"/>
    <cellStyle name="Standaard 60 2 2 4 4" xfId="42657"/>
    <cellStyle name="Standaard 60 2 2 4 4 2" xfId="42658"/>
    <cellStyle name="Standaard 60 2 2 4 4 2 2" xfId="42659"/>
    <cellStyle name="Standaard 60 2 2 4 4 2 2 2" xfId="42660"/>
    <cellStyle name="Standaard 60 2 2 4 4 2 3" xfId="42661"/>
    <cellStyle name="Standaard 60 2 2 4 4 3" xfId="42662"/>
    <cellStyle name="Standaard 60 2 2 4 4 3 2" xfId="42663"/>
    <cellStyle name="Standaard 60 2 2 4 4 4" xfId="42664"/>
    <cellStyle name="Standaard 60 2 2 4 5" xfId="42665"/>
    <cellStyle name="Standaard 60 2 2 4 5 2" xfId="42666"/>
    <cellStyle name="Standaard 60 2 2 4 5 2 2" xfId="42667"/>
    <cellStyle name="Standaard 60 2 2 4 5 3" xfId="42668"/>
    <cellStyle name="Standaard 60 2 2 4 6" xfId="42669"/>
    <cellStyle name="Standaard 60 2 2 4 6 2" xfId="42670"/>
    <cellStyle name="Standaard 60 2 2 4 7" xfId="42671"/>
    <cellStyle name="Standaard 60 2 2 4 8" xfId="42672"/>
    <cellStyle name="Standaard 60 2 2 5" xfId="42673"/>
    <cellStyle name="Standaard 60 2 2 5 2" xfId="42674"/>
    <cellStyle name="Standaard 60 2 2 5 2 2" xfId="42675"/>
    <cellStyle name="Standaard 60 2 2 5 2 2 2" xfId="42676"/>
    <cellStyle name="Standaard 60 2 2 5 2 2 2 2" xfId="42677"/>
    <cellStyle name="Standaard 60 2 2 5 2 2 2 2 2" xfId="42678"/>
    <cellStyle name="Standaard 60 2 2 5 2 2 2 3" xfId="42679"/>
    <cellStyle name="Standaard 60 2 2 5 2 2 3" xfId="42680"/>
    <cellStyle name="Standaard 60 2 2 5 2 2 3 2" xfId="42681"/>
    <cellStyle name="Standaard 60 2 2 5 2 2 4" xfId="42682"/>
    <cellStyle name="Standaard 60 2 2 5 2 3" xfId="42683"/>
    <cellStyle name="Standaard 60 2 2 5 2 3 2" xfId="42684"/>
    <cellStyle name="Standaard 60 2 2 5 2 3 2 2" xfId="42685"/>
    <cellStyle name="Standaard 60 2 2 5 2 3 3" xfId="42686"/>
    <cellStyle name="Standaard 60 2 2 5 2 4" xfId="42687"/>
    <cellStyle name="Standaard 60 2 2 5 2 4 2" xfId="42688"/>
    <cellStyle name="Standaard 60 2 2 5 2 5" xfId="42689"/>
    <cellStyle name="Standaard 60 2 2 5 2 6" xfId="42690"/>
    <cellStyle name="Standaard 60 2 2 5 3" xfId="42691"/>
    <cellStyle name="Standaard 60 2 2 5 3 2" xfId="42692"/>
    <cellStyle name="Standaard 60 2 2 5 3 2 2" xfId="42693"/>
    <cellStyle name="Standaard 60 2 2 5 3 2 2 2" xfId="42694"/>
    <cellStyle name="Standaard 60 2 2 5 3 2 3" xfId="42695"/>
    <cellStyle name="Standaard 60 2 2 5 3 3" xfId="42696"/>
    <cellStyle name="Standaard 60 2 2 5 3 3 2" xfId="42697"/>
    <cellStyle name="Standaard 60 2 2 5 3 4" xfId="42698"/>
    <cellStyle name="Standaard 60 2 2 5 4" xfId="42699"/>
    <cellStyle name="Standaard 60 2 2 5 4 2" xfId="42700"/>
    <cellStyle name="Standaard 60 2 2 5 4 2 2" xfId="42701"/>
    <cellStyle name="Standaard 60 2 2 5 4 3" xfId="42702"/>
    <cellStyle name="Standaard 60 2 2 5 5" xfId="42703"/>
    <cellStyle name="Standaard 60 2 2 5 5 2" xfId="42704"/>
    <cellStyle name="Standaard 60 2 2 5 6" xfId="42705"/>
    <cellStyle name="Standaard 60 2 2 5 7" xfId="42706"/>
    <cellStyle name="Standaard 60 2 2 6" xfId="42707"/>
    <cellStyle name="Standaard 60 2 2 6 2" xfId="42708"/>
    <cellStyle name="Standaard 60 2 2 6 2 2" xfId="42709"/>
    <cellStyle name="Standaard 60 2 2 6 2 2 2" xfId="42710"/>
    <cellStyle name="Standaard 60 2 2 6 2 2 2 2" xfId="42711"/>
    <cellStyle name="Standaard 60 2 2 6 2 2 3" xfId="42712"/>
    <cellStyle name="Standaard 60 2 2 6 2 3" xfId="42713"/>
    <cellStyle name="Standaard 60 2 2 6 2 3 2" xfId="42714"/>
    <cellStyle name="Standaard 60 2 2 6 2 4" xfId="42715"/>
    <cellStyle name="Standaard 60 2 2 6 3" xfId="42716"/>
    <cellStyle name="Standaard 60 2 2 6 3 2" xfId="42717"/>
    <cellStyle name="Standaard 60 2 2 6 3 2 2" xfId="42718"/>
    <cellStyle name="Standaard 60 2 2 6 3 3" xfId="42719"/>
    <cellStyle name="Standaard 60 2 2 6 4" xfId="42720"/>
    <cellStyle name="Standaard 60 2 2 6 4 2" xfId="42721"/>
    <cellStyle name="Standaard 60 2 2 6 5" xfId="42722"/>
    <cellStyle name="Standaard 60 2 2 6 6" xfId="42723"/>
    <cellStyle name="Standaard 60 2 2 7" xfId="42724"/>
    <cellStyle name="Standaard 60 2 2 7 2" xfId="42725"/>
    <cellStyle name="Standaard 60 2 2 7 2 2" xfId="42726"/>
    <cellStyle name="Standaard 60 2 2 7 2 2 2" xfId="42727"/>
    <cellStyle name="Standaard 60 2 2 7 2 3" xfId="42728"/>
    <cellStyle name="Standaard 60 2 2 7 3" xfId="42729"/>
    <cellStyle name="Standaard 60 2 2 7 3 2" xfId="42730"/>
    <cellStyle name="Standaard 60 2 2 7 4" xfId="42731"/>
    <cellStyle name="Standaard 60 2 2 8" xfId="42732"/>
    <cellStyle name="Standaard 60 2 2 8 2" xfId="42733"/>
    <cellStyle name="Standaard 60 2 2 8 2 2" xfId="42734"/>
    <cellStyle name="Standaard 60 2 2 8 3" xfId="42735"/>
    <cellStyle name="Standaard 60 2 2 9" xfId="42736"/>
    <cellStyle name="Standaard 60 2 2 9 2" xfId="42737"/>
    <cellStyle name="Standaard 60 2 3" xfId="42738"/>
    <cellStyle name="Standaard 60 2 3 2" xfId="42739"/>
    <cellStyle name="Standaard 60 2 3 2 2" xfId="42740"/>
    <cellStyle name="Standaard 60 2 3 2 2 2" xfId="42741"/>
    <cellStyle name="Standaard 60 2 3 2 2 2 2" xfId="42742"/>
    <cellStyle name="Standaard 60 2 3 2 2 2 2 2" xfId="42743"/>
    <cellStyle name="Standaard 60 2 3 2 2 2 2 2 2" xfId="42744"/>
    <cellStyle name="Standaard 60 2 3 2 2 2 2 2 2 2" xfId="42745"/>
    <cellStyle name="Standaard 60 2 3 2 2 2 2 2 3" xfId="42746"/>
    <cellStyle name="Standaard 60 2 3 2 2 2 2 3" xfId="42747"/>
    <cellStyle name="Standaard 60 2 3 2 2 2 2 3 2" xfId="42748"/>
    <cellStyle name="Standaard 60 2 3 2 2 2 2 4" xfId="42749"/>
    <cellStyle name="Standaard 60 2 3 2 2 2 3" xfId="42750"/>
    <cellStyle name="Standaard 60 2 3 2 2 2 3 2" xfId="42751"/>
    <cellStyle name="Standaard 60 2 3 2 2 2 3 2 2" xfId="42752"/>
    <cellStyle name="Standaard 60 2 3 2 2 2 3 3" xfId="42753"/>
    <cellStyle name="Standaard 60 2 3 2 2 2 4" xfId="42754"/>
    <cellStyle name="Standaard 60 2 3 2 2 2 4 2" xfId="42755"/>
    <cellStyle name="Standaard 60 2 3 2 2 2 5" xfId="42756"/>
    <cellStyle name="Standaard 60 2 3 2 2 2 6" xfId="42757"/>
    <cellStyle name="Standaard 60 2 3 2 2 3" xfId="42758"/>
    <cellStyle name="Standaard 60 2 3 2 2 3 2" xfId="42759"/>
    <cellStyle name="Standaard 60 2 3 2 2 3 2 2" xfId="42760"/>
    <cellStyle name="Standaard 60 2 3 2 2 3 2 2 2" xfId="42761"/>
    <cellStyle name="Standaard 60 2 3 2 2 3 2 3" xfId="42762"/>
    <cellStyle name="Standaard 60 2 3 2 2 3 3" xfId="42763"/>
    <cellStyle name="Standaard 60 2 3 2 2 3 3 2" xfId="42764"/>
    <cellStyle name="Standaard 60 2 3 2 2 3 4" xfId="42765"/>
    <cellStyle name="Standaard 60 2 3 2 2 4" xfId="42766"/>
    <cellStyle name="Standaard 60 2 3 2 2 4 2" xfId="42767"/>
    <cellStyle name="Standaard 60 2 3 2 2 4 2 2" xfId="42768"/>
    <cellStyle name="Standaard 60 2 3 2 2 4 3" xfId="42769"/>
    <cellStyle name="Standaard 60 2 3 2 2 5" xfId="42770"/>
    <cellStyle name="Standaard 60 2 3 2 2 5 2" xfId="42771"/>
    <cellStyle name="Standaard 60 2 3 2 2 6" xfId="42772"/>
    <cellStyle name="Standaard 60 2 3 2 2 7" xfId="42773"/>
    <cellStyle name="Standaard 60 2 3 2 3" xfId="42774"/>
    <cellStyle name="Standaard 60 2 3 2 3 2" xfId="42775"/>
    <cellStyle name="Standaard 60 2 3 2 3 2 2" xfId="42776"/>
    <cellStyle name="Standaard 60 2 3 2 3 2 2 2" xfId="42777"/>
    <cellStyle name="Standaard 60 2 3 2 3 2 2 2 2" xfId="42778"/>
    <cellStyle name="Standaard 60 2 3 2 3 2 2 3" xfId="42779"/>
    <cellStyle name="Standaard 60 2 3 2 3 2 3" xfId="42780"/>
    <cellStyle name="Standaard 60 2 3 2 3 2 3 2" xfId="42781"/>
    <cellStyle name="Standaard 60 2 3 2 3 2 4" xfId="42782"/>
    <cellStyle name="Standaard 60 2 3 2 3 3" xfId="42783"/>
    <cellStyle name="Standaard 60 2 3 2 3 3 2" xfId="42784"/>
    <cellStyle name="Standaard 60 2 3 2 3 3 2 2" xfId="42785"/>
    <cellStyle name="Standaard 60 2 3 2 3 3 3" xfId="42786"/>
    <cellStyle name="Standaard 60 2 3 2 3 4" xfId="42787"/>
    <cellStyle name="Standaard 60 2 3 2 3 4 2" xfId="42788"/>
    <cellStyle name="Standaard 60 2 3 2 3 5" xfId="42789"/>
    <cellStyle name="Standaard 60 2 3 2 3 6" xfId="42790"/>
    <cellStyle name="Standaard 60 2 3 2 4" xfId="42791"/>
    <cellStyle name="Standaard 60 2 3 2 4 2" xfId="42792"/>
    <cellStyle name="Standaard 60 2 3 2 4 2 2" xfId="42793"/>
    <cellStyle name="Standaard 60 2 3 2 4 2 2 2" xfId="42794"/>
    <cellStyle name="Standaard 60 2 3 2 4 2 3" xfId="42795"/>
    <cellStyle name="Standaard 60 2 3 2 4 3" xfId="42796"/>
    <cellStyle name="Standaard 60 2 3 2 4 3 2" xfId="42797"/>
    <cellStyle name="Standaard 60 2 3 2 4 4" xfId="42798"/>
    <cellStyle name="Standaard 60 2 3 2 5" xfId="42799"/>
    <cellStyle name="Standaard 60 2 3 2 5 2" xfId="42800"/>
    <cellStyle name="Standaard 60 2 3 2 5 2 2" xfId="42801"/>
    <cellStyle name="Standaard 60 2 3 2 5 3" xfId="42802"/>
    <cellStyle name="Standaard 60 2 3 2 6" xfId="42803"/>
    <cellStyle name="Standaard 60 2 3 2 6 2" xfId="42804"/>
    <cellStyle name="Standaard 60 2 3 2 7" xfId="42805"/>
    <cellStyle name="Standaard 60 2 3 2 8" xfId="42806"/>
    <cellStyle name="Standaard 60 2 3 3" xfId="42807"/>
    <cellStyle name="Standaard 60 2 3 3 2" xfId="42808"/>
    <cellStyle name="Standaard 60 2 3 3 2 2" xfId="42809"/>
    <cellStyle name="Standaard 60 2 3 3 2 2 2" xfId="42810"/>
    <cellStyle name="Standaard 60 2 3 3 2 2 2 2" xfId="42811"/>
    <cellStyle name="Standaard 60 2 3 3 2 2 2 2 2" xfId="42812"/>
    <cellStyle name="Standaard 60 2 3 3 2 2 2 3" xfId="42813"/>
    <cellStyle name="Standaard 60 2 3 3 2 2 3" xfId="42814"/>
    <cellStyle name="Standaard 60 2 3 3 2 2 3 2" xfId="42815"/>
    <cellStyle name="Standaard 60 2 3 3 2 2 4" xfId="42816"/>
    <cellStyle name="Standaard 60 2 3 3 2 3" xfId="42817"/>
    <cellStyle name="Standaard 60 2 3 3 2 3 2" xfId="42818"/>
    <cellStyle name="Standaard 60 2 3 3 2 3 2 2" xfId="42819"/>
    <cellStyle name="Standaard 60 2 3 3 2 3 3" xfId="42820"/>
    <cellStyle name="Standaard 60 2 3 3 2 4" xfId="42821"/>
    <cellStyle name="Standaard 60 2 3 3 2 4 2" xfId="42822"/>
    <cellStyle name="Standaard 60 2 3 3 2 5" xfId="42823"/>
    <cellStyle name="Standaard 60 2 3 3 2 6" xfId="42824"/>
    <cellStyle name="Standaard 60 2 3 3 3" xfId="42825"/>
    <cellStyle name="Standaard 60 2 3 3 3 2" xfId="42826"/>
    <cellStyle name="Standaard 60 2 3 3 3 2 2" xfId="42827"/>
    <cellStyle name="Standaard 60 2 3 3 3 2 2 2" xfId="42828"/>
    <cellStyle name="Standaard 60 2 3 3 3 2 3" xfId="42829"/>
    <cellStyle name="Standaard 60 2 3 3 3 3" xfId="42830"/>
    <cellStyle name="Standaard 60 2 3 3 3 3 2" xfId="42831"/>
    <cellStyle name="Standaard 60 2 3 3 3 4" xfId="42832"/>
    <cellStyle name="Standaard 60 2 3 3 4" xfId="42833"/>
    <cellStyle name="Standaard 60 2 3 3 4 2" xfId="42834"/>
    <cellStyle name="Standaard 60 2 3 3 4 2 2" xfId="42835"/>
    <cellStyle name="Standaard 60 2 3 3 4 3" xfId="42836"/>
    <cellStyle name="Standaard 60 2 3 3 5" xfId="42837"/>
    <cellStyle name="Standaard 60 2 3 3 5 2" xfId="42838"/>
    <cellStyle name="Standaard 60 2 3 3 6" xfId="42839"/>
    <cellStyle name="Standaard 60 2 3 3 7" xfId="42840"/>
    <cellStyle name="Standaard 60 2 3 4" xfId="42841"/>
    <cellStyle name="Standaard 60 2 3 4 2" xfId="42842"/>
    <cellStyle name="Standaard 60 2 3 4 2 2" xfId="42843"/>
    <cellStyle name="Standaard 60 2 3 4 2 2 2" xfId="42844"/>
    <cellStyle name="Standaard 60 2 3 4 2 2 2 2" xfId="42845"/>
    <cellStyle name="Standaard 60 2 3 4 2 2 3" xfId="42846"/>
    <cellStyle name="Standaard 60 2 3 4 2 3" xfId="42847"/>
    <cellStyle name="Standaard 60 2 3 4 2 3 2" xfId="42848"/>
    <cellStyle name="Standaard 60 2 3 4 2 4" xfId="42849"/>
    <cellStyle name="Standaard 60 2 3 4 3" xfId="42850"/>
    <cellStyle name="Standaard 60 2 3 4 3 2" xfId="42851"/>
    <cellStyle name="Standaard 60 2 3 4 3 2 2" xfId="42852"/>
    <cellStyle name="Standaard 60 2 3 4 3 3" xfId="42853"/>
    <cellStyle name="Standaard 60 2 3 4 4" xfId="42854"/>
    <cellStyle name="Standaard 60 2 3 4 4 2" xfId="42855"/>
    <cellStyle name="Standaard 60 2 3 4 5" xfId="42856"/>
    <cellStyle name="Standaard 60 2 3 4 6" xfId="42857"/>
    <cellStyle name="Standaard 60 2 3 5" xfId="42858"/>
    <cellStyle name="Standaard 60 2 3 5 2" xfId="42859"/>
    <cellStyle name="Standaard 60 2 3 5 2 2" xfId="42860"/>
    <cellStyle name="Standaard 60 2 3 5 2 2 2" xfId="42861"/>
    <cellStyle name="Standaard 60 2 3 5 2 3" xfId="42862"/>
    <cellStyle name="Standaard 60 2 3 5 3" xfId="42863"/>
    <cellStyle name="Standaard 60 2 3 5 3 2" xfId="42864"/>
    <cellStyle name="Standaard 60 2 3 5 4" xfId="42865"/>
    <cellStyle name="Standaard 60 2 3 6" xfId="42866"/>
    <cellStyle name="Standaard 60 2 3 6 2" xfId="42867"/>
    <cellStyle name="Standaard 60 2 3 6 2 2" xfId="42868"/>
    <cellStyle name="Standaard 60 2 3 6 3" xfId="42869"/>
    <cellStyle name="Standaard 60 2 3 7" xfId="42870"/>
    <cellStyle name="Standaard 60 2 3 7 2" xfId="42871"/>
    <cellStyle name="Standaard 60 2 3 8" xfId="42872"/>
    <cellStyle name="Standaard 60 2 3 9" xfId="42873"/>
    <cellStyle name="Standaard 60 2 4" xfId="42874"/>
    <cellStyle name="Standaard 60 2 4 2" xfId="42875"/>
    <cellStyle name="Standaard 60 2 4 2 2" xfId="42876"/>
    <cellStyle name="Standaard 60 2 4 2 2 2" xfId="42877"/>
    <cellStyle name="Standaard 60 2 4 2 2 2 2" xfId="42878"/>
    <cellStyle name="Standaard 60 2 4 2 2 2 2 2" xfId="42879"/>
    <cellStyle name="Standaard 60 2 4 2 2 2 2 2 2" xfId="42880"/>
    <cellStyle name="Standaard 60 2 4 2 2 2 2 3" xfId="42881"/>
    <cellStyle name="Standaard 60 2 4 2 2 2 3" xfId="42882"/>
    <cellStyle name="Standaard 60 2 4 2 2 2 3 2" xfId="42883"/>
    <cellStyle name="Standaard 60 2 4 2 2 2 4" xfId="42884"/>
    <cellStyle name="Standaard 60 2 4 2 2 3" xfId="42885"/>
    <cellStyle name="Standaard 60 2 4 2 2 3 2" xfId="42886"/>
    <cellStyle name="Standaard 60 2 4 2 2 3 2 2" xfId="42887"/>
    <cellStyle name="Standaard 60 2 4 2 2 3 3" xfId="42888"/>
    <cellStyle name="Standaard 60 2 4 2 2 4" xfId="42889"/>
    <cellStyle name="Standaard 60 2 4 2 2 4 2" xfId="42890"/>
    <cellStyle name="Standaard 60 2 4 2 2 5" xfId="42891"/>
    <cellStyle name="Standaard 60 2 4 2 2 6" xfId="42892"/>
    <cellStyle name="Standaard 60 2 4 2 3" xfId="42893"/>
    <cellStyle name="Standaard 60 2 4 2 3 2" xfId="42894"/>
    <cellStyle name="Standaard 60 2 4 2 3 2 2" xfId="42895"/>
    <cellStyle name="Standaard 60 2 4 2 3 2 2 2" xfId="42896"/>
    <cellStyle name="Standaard 60 2 4 2 3 2 3" xfId="42897"/>
    <cellStyle name="Standaard 60 2 4 2 3 3" xfId="42898"/>
    <cellStyle name="Standaard 60 2 4 2 3 3 2" xfId="42899"/>
    <cellStyle name="Standaard 60 2 4 2 3 4" xfId="42900"/>
    <cellStyle name="Standaard 60 2 4 2 4" xfId="42901"/>
    <cellStyle name="Standaard 60 2 4 2 4 2" xfId="42902"/>
    <cellStyle name="Standaard 60 2 4 2 4 2 2" xfId="42903"/>
    <cellStyle name="Standaard 60 2 4 2 4 3" xfId="42904"/>
    <cellStyle name="Standaard 60 2 4 2 5" xfId="42905"/>
    <cellStyle name="Standaard 60 2 4 2 5 2" xfId="42906"/>
    <cellStyle name="Standaard 60 2 4 2 6" xfId="42907"/>
    <cellStyle name="Standaard 60 2 4 2 7" xfId="42908"/>
    <cellStyle name="Standaard 60 2 4 3" xfId="42909"/>
    <cellStyle name="Standaard 60 2 4 3 2" xfId="42910"/>
    <cellStyle name="Standaard 60 2 4 3 2 2" xfId="42911"/>
    <cellStyle name="Standaard 60 2 4 3 2 2 2" xfId="42912"/>
    <cellStyle name="Standaard 60 2 4 3 2 2 2 2" xfId="42913"/>
    <cellStyle name="Standaard 60 2 4 3 2 2 3" xfId="42914"/>
    <cellStyle name="Standaard 60 2 4 3 2 3" xfId="42915"/>
    <cellStyle name="Standaard 60 2 4 3 2 3 2" xfId="42916"/>
    <cellStyle name="Standaard 60 2 4 3 2 4" xfId="42917"/>
    <cellStyle name="Standaard 60 2 4 3 3" xfId="42918"/>
    <cellStyle name="Standaard 60 2 4 3 3 2" xfId="42919"/>
    <cellStyle name="Standaard 60 2 4 3 3 2 2" xfId="42920"/>
    <cellStyle name="Standaard 60 2 4 3 3 3" xfId="42921"/>
    <cellStyle name="Standaard 60 2 4 3 4" xfId="42922"/>
    <cellStyle name="Standaard 60 2 4 3 4 2" xfId="42923"/>
    <cellStyle name="Standaard 60 2 4 3 5" xfId="42924"/>
    <cellStyle name="Standaard 60 2 4 3 6" xfId="42925"/>
    <cellStyle name="Standaard 60 2 4 4" xfId="42926"/>
    <cellStyle name="Standaard 60 2 4 4 2" xfId="42927"/>
    <cellStyle name="Standaard 60 2 4 4 2 2" xfId="42928"/>
    <cellStyle name="Standaard 60 2 4 4 2 2 2" xfId="42929"/>
    <cellStyle name="Standaard 60 2 4 4 2 3" xfId="42930"/>
    <cellStyle name="Standaard 60 2 4 4 3" xfId="42931"/>
    <cellStyle name="Standaard 60 2 4 4 3 2" xfId="42932"/>
    <cellStyle name="Standaard 60 2 4 4 4" xfId="42933"/>
    <cellStyle name="Standaard 60 2 4 5" xfId="42934"/>
    <cellStyle name="Standaard 60 2 4 5 2" xfId="42935"/>
    <cellStyle name="Standaard 60 2 4 5 2 2" xfId="42936"/>
    <cellStyle name="Standaard 60 2 4 5 3" xfId="42937"/>
    <cellStyle name="Standaard 60 2 4 6" xfId="42938"/>
    <cellStyle name="Standaard 60 2 4 6 2" xfId="42939"/>
    <cellStyle name="Standaard 60 2 4 7" xfId="42940"/>
    <cellStyle name="Standaard 60 2 4 8" xfId="42941"/>
    <cellStyle name="Standaard 60 2 5" xfId="42942"/>
    <cellStyle name="Standaard 60 2 5 2" xfId="42943"/>
    <cellStyle name="Standaard 60 2 5 2 2" xfId="42944"/>
    <cellStyle name="Standaard 60 2 5 2 2 2" xfId="42945"/>
    <cellStyle name="Standaard 60 2 5 2 2 2 2" xfId="42946"/>
    <cellStyle name="Standaard 60 2 5 2 2 2 2 2" xfId="42947"/>
    <cellStyle name="Standaard 60 2 5 2 2 2 2 2 2" xfId="42948"/>
    <cellStyle name="Standaard 60 2 5 2 2 2 2 3" xfId="42949"/>
    <cellStyle name="Standaard 60 2 5 2 2 2 3" xfId="42950"/>
    <cellStyle name="Standaard 60 2 5 2 2 2 3 2" xfId="42951"/>
    <cellStyle name="Standaard 60 2 5 2 2 2 4" xfId="42952"/>
    <cellStyle name="Standaard 60 2 5 2 2 3" xfId="42953"/>
    <cellStyle name="Standaard 60 2 5 2 2 3 2" xfId="42954"/>
    <cellStyle name="Standaard 60 2 5 2 2 3 2 2" xfId="42955"/>
    <cellStyle name="Standaard 60 2 5 2 2 3 3" xfId="42956"/>
    <cellStyle name="Standaard 60 2 5 2 2 4" xfId="42957"/>
    <cellStyle name="Standaard 60 2 5 2 2 4 2" xfId="42958"/>
    <cellStyle name="Standaard 60 2 5 2 2 5" xfId="42959"/>
    <cellStyle name="Standaard 60 2 5 2 2 6" xfId="42960"/>
    <cellStyle name="Standaard 60 2 5 2 3" xfId="42961"/>
    <cellStyle name="Standaard 60 2 5 2 3 2" xfId="42962"/>
    <cellStyle name="Standaard 60 2 5 2 3 2 2" xfId="42963"/>
    <cellStyle name="Standaard 60 2 5 2 3 2 2 2" xfId="42964"/>
    <cellStyle name="Standaard 60 2 5 2 3 2 3" xfId="42965"/>
    <cellStyle name="Standaard 60 2 5 2 3 3" xfId="42966"/>
    <cellStyle name="Standaard 60 2 5 2 3 3 2" xfId="42967"/>
    <cellStyle name="Standaard 60 2 5 2 3 4" xfId="42968"/>
    <cellStyle name="Standaard 60 2 5 2 4" xfId="42969"/>
    <cellStyle name="Standaard 60 2 5 2 4 2" xfId="42970"/>
    <cellStyle name="Standaard 60 2 5 2 4 2 2" xfId="42971"/>
    <cellStyle name="Standaard 60 2 5 2 4 3" xfId="42972"/>
    <cellStyle name="Standaard 60 2 5 2 5" xfId="42973"/>
    <cellStyle name="Standaard 60 2 5 2 5 2" xfId="42974"/>
    <cellStyle name="Standaard 60 2 5 2 6" xfId="42975"/>
    <cellStyle name="Standaard 60 2 5 2 7" xfId="42976"/>
    <cellStyle name="Standaard 60 2 5 3" xfId="42977"/>
    <cellStyle name="Standaard 60 2 5 3 2" xfId="42978"/>
    <cellStyle name="Standaard 60 2 5 3 2 2" xfId="42979"/>
    <cellStyle name="Standaard 60 2 5 3 2 2 2" xfId="42980"/>
    <cellStyle name="Standaard 60 2 5 3 2 2 2 2" xfId="42981"/>
    <cellStyle name="Standaard 60 2 5 3 2 2 3" xfId="42982"/>
    <cellStyle name="Standaard 60 2 5 3 2 3" xfId="42983"/>
    <cellStyle name="Standaard 60 2 5 3 2 3 2" xfId="42984"/>
    <cellStyle name="Standaard 60 2 5 3 2 4" xfId="42985"/>
    <cellStyle name="Standaard 60 2 5 3 3" xfId="42986"/>
    <cellStyle name="Standaard 60 2 5 3 3 2" xfId="42987"/>
    <cellStyle name="Standaard 60 2 5 3 3 2 2" xfId="42988"/>
    <cellStyle name="Standaard 60 2 5 3 3 3" xfId="42989"/>
    <cellStyle name="Standaard 60 2 5 3 4" xfId="42990"/>
    <cellStyle name="Standaard 60 2 5 3 4 2" xfId="42991"/>
    <cellStyle name="Standaard 60 2 5 3 5" xfId="42992"/>
    <cellStyle name="Standaard 60 2 5 3 6" xfId="42993"/>
    <cellStyle name="Standaard 60 2 5 4" xfId="42994"/>
    <cellStyle name="Standaard 60 2 5 4 2" xfId="42995"/>
    <cellStyle name="Standaard 60 2 5 4 2 2" xfId="42996"/>
    <cellStyle name="Standaard 60 2 5 4 2 2 2" xfId="42997"/>
    <cellStyle name="Standaard 60 2 5 4 2 3" xfId="42998"/>
    <cellStyle name="Standaard 60 2 5 4 3" xfId="42999"/>
    <cellStyle name="Standaard 60 2 5 4 3 2" xfId="43000"/>
    <cellStyle name="Standaard 60 2 5 4 4" xfId="43001"/>
    <cellStyle name="Standaard 60 2 5 5" xfId="43002"/>
    <cellStyle name="Standaard 60 2 5 5 2" xfId="43003"/>
    <cellStyle name="Standaard 60 2 5 5 2 2" xfId="43004"/>
    <cellStyle name="Standaard 60 2 5 5 3" xfId="43005"/>
    <cellStyle name="Standaard 60 2 5 6" xfId="43006"/>
    <cellStyle name="Standaard 60 2 5 6 2" xfId="43007"/>
    <cellStyle name="Standaard 60 2 5 7" xfId="43008"/>
    <cellStyle name="Standaard 60 2 5 8" xfId="43009"/>
    <cellStyle name="Standaard 60 2 6" xfId="43010"/>
    <cellStyle name="Standaard 60 2 6 2" xfId="43011"/>
    <cellStyle name="Standaard 60 2 6 2 2" xfId="43012"/>
    <cellStyle name="Standaard 60 2 6 2 2 2" xfId="43013"/>
    <cellStyle name="Standaard 60 2 6 2 2 2 2" xfId="43014"/>
    <cellStyle name="Standaard 60 2 6 2 2 2 2 2" xfId="43015"/>
    <cellStyle name="Standaard 60 2 6 2 2 2 3" xfId="43016"/>
    <cellStyle name="Standaard 60 2 6 2 2 3" xfId="43017"/>
    <cellStyle name="Standaard 60 2 6 2 2 3 2" xfId="43018"/>
    <cellStyle name="Standaard 60 2 6 2 2 4" xfId="43019"/>
    <cellStyle name="Standaard 60 2 6 2 3" xfId="43020"/>
    <cellStyle name="Standaard 60 2 6 2 3 2" xfId="43021"/>
    <cellStyle name="Standaard 60 2 6 2 3 2 2" xfId="43022"/>
    <cellStyle name="Standaard 60 2 6 2 3 3" xfId="43023"/>
    <cellStyle name="Standaard 60 2 6 2 4" xfId="43024"/>
    <cellStyle name="Standaard 60 2 6 2 4 2" xfId="43025"/>
    <cellStyle name="Standaard 60 2 6 2 5" xfId="43026"/>
    <cellStyle name="Standaard 60 2 6 2 6" xfId="43027"/>
    <cellStyle name="Standaard 60 2 6 3" xfId="43028"/>
    <cellStyle name="Standaard 60 2 6 3 2" xfId="43029"/>
    <cellStyle name="Standaard 60 2 6 3 2 2" xfId="43030"/>
    <cellStyle name="Standaard 60 2 6 3 2 2 2" xfId="43031"/>
    <cellStyle name="Standaard 60 2 6 3 2 3" xfId="43032"/>
    <cellStyle name="Standaard 60 2 6 3 3" xfId="43033"/>
    <cellStyle name="Standaard 60 2 6 3 3 2" xfId="43034"/>
    <cellStyle name="Standaard 60 2 6 3 4" xfId="43035"/>
    <cellStyle name="Standaard 60 2 6 4" xfId="43036"/>
    <cellStyle name="Standaard 60 2 6 4 2" xfId="43037"/>
    <cellStyle name="Standaard 60 2 6 4 2 2" xfId="43038"/>
    <cellStyle name="Standaard 60 2 6 4 3" xfId="43039"/>
    <cellStyle name="Standaard 60 2 6 5" xfId="43040"/>
    <cellStyle name="Standaard 60 2 6 5 2" xfId="43041"/>
    <cellStyle name="Standaard 60 2 6 6" xfId="43042"/>
    <cellStyle name="Standaard 60 2 6 7" xfId="43043"/>
    <cellStyle name="Standaard 60 2 7" xfId="43044"/>
    <cellStyle name="Standaard 60 2 7 2" xfId="43045"/>
    <cellStyle name="Standaard 60 2 7 2 2" xfId="43046"/>
    <cellStyle name="Standaard 60 2 7 2 2 2" xfId="43047"/>
    <cellStyle name="Standaard 60 2 7 2 2 2 2" xfId="43048"/>
    <cellStyle name="Standaard 60 2 7 2 2 3" xfId="43049"/>
    <cellStyle name="Standaard 60 2 7 2 3" xfId="43050"/>
    <cellStyle name="Standaard 60 2 7 2 3 2" xfId="43051"/>
    <cellStyle name="Standaard 60 2 7 2 4" xfId="43052"/>
    <cellStyle name="Standaard 60 2 7 3" xfId="43053"/>
    <cellStyle name="Standaard 60 2 7 3 2" xfId="43054"/>
    <cellStyle name="Standaard 60 2 7 3 2 2" xfId="43055"/>
    <cellStyle name="Standaard 60 2 7 3 3" xfId="43056"/>
    <cellStyle name="Standaard 60 2 7 4" xfId="43057"/>
    <cellStyle name="Standaard 60 2 7 4 2" xfId="43058"/>
    <cellStyle name="Standaard 60 2 7 5" xfId="43059"/>
    <cellStyle name="Standaard 60 2 7 6" xfId="43060"/>
    <cellStyle name="Standaard 60 2 8" xfId="43061"/>
    <cellStyle name="Standaard 60 2 8 2" xfId="43062"/>
    <cellStyle name="Standaard 60 2 8 2 2" xfId="43063"/>
    <cellStyle name="Standaard 60 2 8 2 2 2" xfId="43064"/>
    <cellStyle name="Standaard 60 2 8 2 3" xfId="43065"/>
    <cellStyle name="Standaard 60 2 8 3" xfId="43066"/>
    <cellStyle name="Standaard 60 2 8 3 2" xfId="43067"/>
    <cellStyle name="Standaard 60 2 8 4" xfId="43068"/>
    <cellStyle name="Standaard 60 2 9" xfId="43069"/>
    <cellStyle name="Standaard 60 2 9 2" xfId="43070"/>
    <cellStyle name="Standaard 60 2 9 2 2" xfId="43071"/>
    <cellStyle name="Standaard 60 2 9 3" xfId="43072"/>
    <cellStyle name="Standaard 60 3" xfId="43073"/>
    <cellStyle name="Standaard 60 3 10" xfId="43074"/>
    <cellStyle name="Standaard 60 3 11" xfId="43075"/>
    <cellStyle name="Standaard 60 3 2" xfId="43076"/>
    <cellStyle name="Standaard 60 3 2 2" xfId="43077"/>
    <cellStyle name="Standaard 60 3 2 2 2" xfId="43078"/>
    <cellStyle name="Standaard 60 3 2 2 2 2" xfId="43079"/>
    <cellStyle name="Standaard 60 3 2 2 2 2 2" xfId="43080"/>
    <cellStyle name="Standaard 60 3 2 2 2 2 2 2" xfId="43081"/>
    <cellStyle name="Standaard 60 3 2 2 2 2 2 2 2" xfId="43082"/>
    <cellStyle name="Standaard 60 3 2 2 2 2 2 2 2 2" xfId="43083"/>
    <cellStyle name="Standaard 60 3 2 2 2 2 2 2 3" xfId="43084"/>
    <cellStyle name="Standaard 60 3 2 2 2 2 2 3" xfId="43085"/>
    <cellStyle name="Standaard 60 3 2 2 2 2 2 3 2" xfId="43086"/>
    <cellStyle name="Standaard 60 3 2 2 2 2 2 4" xfId="43087"/>
    <cellStyle name="Standaard 60 3 2 2 2 2 3" xfId="43088"/>
    <cellStyle name="Standaard 60 3 2 2 2 2 3 2" xfId="43089"/>
    <cellStyle name="Standaard 60 3 2 2 2 2 3 2 2" xfId="43090"/>
    <cellStyle name="Standaard 60 3 2 2 2 2 3 3" xfId="43091"/>
    <cellStyle name="Standaard 60 3 2 2 2 2 4" xfId="43092"/>
    <cellStyle name="Standaard 60 3 2 2 2 2 4 2" xfId="43093"/>
    <cellStyle name="Standaard 60 3 2 2 2 2 5" xfId="43094"/>
    <cellStyle name="Standaard 60 3 2 2 2 2 6" xfId="43095"/>
    <cellStyle name="Standaard 60 3 2 2 2 3" xfId="43096"/>
    <cellStyle name="Standaard 60 3 2 2 2 3 2" xfId="43097"/>
    <cellStyle name="Standaard 60 3 2 2 2 3 2 2" xfId="43098"/>
    <cellStyle name="Standaard 60 3 2 2 2 3 2 2 2" xfId="43099"/>
    <cellStyle name="Standaard 60 3 2 2 2 3 2 3" xfId="43100"/>
    <cellStyle name="Standaard 60 3 2 2 2 3 3" xfId="43101"/>
    <cellStyle name="Standaard 60 3 2 2 2 3 3 2" xfId="43102"/>
    <cellStyle name="Standaard 60 3 2 2 2 3 4" xfId="43103"/>
    <cellStyle name="Standaard 60 3 2 2 2 4" xfId="43104"/>
    <cellStyle name="Standaard 60 3 2 2 2 4 2" xfId="43105"/>
    <cellStyle name="Standaard 60 3 2 2 2 4 2 2" xfId="43106"/>
    <cellStyle name="Standaard 60 3 2 2 2 4 3" xfId="43107"/>
    <cellStyle name="Standaard 60 3 2 2 2 5" xfId="43108"/>
    <cellStyle name="Standaard 60 3 2 2 2 5 2" xfId="43109"/>
    <cellStyle name="Standaard 60 3 2 2 2 6" xfId="43110"/>
    <cellStyle name="Standaard 60 3 2 2 2 7" xfId="43111"/>
    <cellStyle name="Standaard 60 3 2 2 3" xfId="43112"/>
    <cellStyle name="Standaard 60 3 2 2 3 2" xfId="43113"/>
    <cellStyle name="Standaard 60 3 2 2 3 2 2" xfId="43114"/>
    <cellStyle name="Standaard 60 3 2 2 3 2 2 2" xfId="43115"/>
    <cellStyle name="Standaard 60 3 2 2 3 2 2 2 2" xfId="43116"/>
    <cellStyle name="Standaard 60 3 2 2 3 2 2 3" xfId="43117"/>
    <cellStyle name="Standaard 60 3 2 2 3 2 3" xfId="43118"/>
    <cellStyle name="Standaard 60 3 2 2 3 2 3 2" xfId="43119"/>
    <cellStyle name="Standaard 60 3 2 2 3 2 4" xfId="43120"/>
    <cellStyle name="Standaard 60 3 2 2 3 3" xfId="43121"/>
    <cellStyle name="Standaard 60 3 2 2 3 3 2" xfId="43122"/>
    <cellStyle name="Standaard 60 3 2 2 3 3 2 2" xfId="43123"/>
    <cellStyle name="Standaard 60 3 2 2 3 3 3" xfId="43124"/>
    <cellStyle name="Standaard 60 3 2 2 3 4" xfId="43125"/>
    <cellStyle name="Standaard 60 3 2 2 3 4 2" xfId="43126"/>
    <cellStyle name="Standaard 60 3 2 2 3 5" xfId="43127"/>
    <cellStyle name="Standaard 60 3 2 2 3 6" xfId="43128"/>
    <cellStyle name="Standaard 60 3 2 2 4" xfId="43129"/>
    <cellStyle name="Standaard 60 3 2 2 4 2" xfId="43130"/>
    <cellStyle name="Standaard 60 3 2 2 4 2 2" xfId="43131"/>
    <cellStyle name="Standaard 60 3 2 2 4 2 2 2" xfId="43132"/>
    <cellStyle name="Standaard 60 3 2 2 4 2 3" xfId="43133"/>
    <cellStyle name="Standaard 60 3 2 2 4 3" xfId="43134"/>
    <cellStyle name="Standaard 60 3 2 2 4 3 2" xfId="43135"/>
    <cellStyle name="Standaard 60 3 2 2 4 4" xfId="43136"/>
    <cellStyle name="Standaard 60 3 2 2 5" xfId="43137"/>
    <cellStyle name="Standaard 60 3 2 2 5 2" xfId="43138"/>
    <cellStyle name="Standaard 60 3 2 2 5 2 2" xfId="43139"/>
    <cellStyle name="Standaard 60 3 2 2 5 3" xfId="43140"/>
    <cellStyle name="Standaard 60 3 2 2 6" xfId="43141"/>
    <cellStyle name="Standaard 60 3 2 2 6 2" xfId="43142"/>
    <cellStyle name="Standaard 60 3 2 2 7" xfId="43143"/>
    <cellStyle name="Standaard 60 3 2 2 8" xfId="43144"/>
    <cellStyle name="Standaard 60 3 2 3" xfId="43145"/>
    <cellStyle name="Standaard 60 3 2 3 2" xfId="43146"/>
    <cellStyle name="Standaard 60 3 2 3 2 2" xfId="43147"/>
    <cellStyle name="Standaard 60 3 2 3 2 2 2" xfId="43148"/>
    <cellStyle name="Standaard 60 3 2 3 2 2 2 2" xfId="43149"/>
    <cellStyle name="Standaard 60 3 2 3 2 2 2 2 2" xfId="43150"/>
    <cellStyle name="Standaard 60 3 2 3 2 2 2 3" xfId="43151"/>
    <cellStyle name="Standaard 60 3 2 3 2 2 3" xfId="43152"/>
    <cellStyle name="Standaard 60 3 2 3 2 2 3 2" xfId="43153"/>
    <cellStyle name="Standaard 60 3 2 3 2 2 4" xfId="43154"/>
    <cellStyle name="Standaard 60 3 2 3 2 3" xfId="43155"/>
    <cellStyle name="Standaard 60 3 2 3 2 3 2" xfId="43156"/>
    <cellStyle name="Standaard 60 3 2 3 2 3 2 2" xfId="43157"/>
    <cellStyle name="Standaard 60 3 2 3 2 3 3" xfId="43158"/>
    <cellStyle name="Standaard 60 3 2 3 2 4" xfId="43159"/>
    <cellStyle name="Standaard 60 3 2 3 2 4 2" xfId="43160"/>
    <cellStyle name="Standaard 60 3 2 3 2 5" xfId="43161"/>
    <cellStyle name="Standaard 60 3 2 3 2 6" xfId="43162"/>
    <cellStyle name="Standaard 60 3 2 3 3" xfId="43163"/>
    <cellStyle name="Standaard 60 3 2 3 3 2" xfId="43164"/>
    <cellStyle name="Standaard 60 3 2 3 3 2 2" xfId="43165"/>
    <cellStyle name="Standaard 60 3 2 3 3 2 2 2" xfId="43166"/>
    <cellStyle name="Standaard 60 3 2 3 3 2 3" xfId="43167"/>
    <cellStyle name="Standaard 60 3 2 3 3 3" xfId="43168"/>
    <cellStyle name="Standaard 60 3 2 3 3 3 2" xfId="43169"/>
    <cellStyle name="Standaard 60 3 2 3 3 4" xfId="43170"/>
    <cellStyle name="Standaard 60 3 2 3 4" xfId="43171"/>
    <cellStyle name="Standaard 60 3 2 3 4 2" xfId="43172"/>
    <cellStyle name="Standaard 60 3 2 3 4 2 2" xfId="43173"/>
    <cellStyle name="Standaard 60 3 2 3 4 3" xfId="43174"/>
    <cellStyle name="Standaard 60 3 2 3 5" xfId="43175"/>
    <cellStyle name="Standaard 60 3 2 3 5 2" xfId="43176"/>
    <cellStyle name="Standaard 60 3 2 3 6" xfId="43177"/>
    <cellStyle name="Standaard 60 3 2 3 7" xfId="43178"/>
    <cellStyle name="Standaard 60 3 2 4" xfId="43179"/>
    <cellStyle name="Standaard 60 3 2 4 2" xfId="43180"/>
    <cellStyle name="Standaard 60 3 2 4 2 2" xfId="43181"/>
    <cellStyle name="Standaard 60 3 2 4 2 2 2" xfId="43182"/>
    <cellStyle name="Standaard 60 3 2 4 2 2 2 2" xfId="43183"/>
    <cellStyle name="Standaard 60 3 2 4 2 2 3" xfId="43184"/>
    <cellStyle name="Standaard 60 3 2 4 2 3" xfId="43185"/>
    <cellStyle name="Standaard 60 3 2 4 2 3 2" xfId="43186"/>
    <cellStyle name="Standaard 60 3 2 4 2 4" xfId="43187"/>
    <cellStyle name="Standaard 60 3 2 4 3" xfId="43188"/>
    <cellStyle name="Standaard 60 3 2 4 3 2" xfId="43189"/>
    <cellStyle name="Standaard 60 3 2 4 3 2 2" xfId="43190"/>
    <cellStyle name="Standaard 60 3 2 4 3 3" xfId="43191"/>
    <cellStyle name="Standaard 60 3 2 4 4" xfId="43192"/>
    <cellStyle name="Standaard 60 3 2 4 4 2" xfId="43193"/>
    <cellStyle name="Standaard 60 3 2 4 5" xfId="43194"/>
    <cellStyle name="Standaard 60 3 2 4 6" xfId="43195"/>
    <cellStyle name="Standaard 60 3 2 5" xfId="43196"/>
    <cellStyle name="Standaard 60 3 2 5 2" xfId="43197"/>
    <cellStyle name="Standaard 60 3 2 5 2 2" xfId="43198"/>
    <cellStyle name="Standaard 60 3 2 5 2 2 2" xfId="43199"/>
    <cellStyle name="Standaard 60 3 2 5 2 3" xfId="43200"/>
    <cellStyle name="Standaard 60 3 2 5 3" xfId="43201"/>
    <cellStyle name="Standaard 60 3 2 5 3 2" xfId="43202"/>
    <cellStyle name="Standaard 60 3 2 5 4" xfId="43203"/>
    <cellStyle name="Standaard 60 3 2 6" xfId="43204"/>
    <cellStyle name="Standaard 60 3 2 6 2" xfId="43205"/>
    <cellStyle name="Standaard 60 3 2 6 2 2" xfId="43206"/>
    <cellStyle name="Standaard 60 3 2 6 3" xfId="43207"/>
    <cellStyle name="Standaard 60 3 2 7" xfId="43208"/>
    <cellStyle name="Standaard 60 3 2 7 2" xfId="43209"/>
    <cellStyle name="Standaard 60 3 2 8" xfId="43210"/>
    <cellStyle name="Standaard 60 3 2 9" xfId="43211"/>
    <cellStyle name="Standaard 60 3 3" xfId="43212"/>
    <cellStyle name="Standaard 60 3 3 2" xfId="43213"/>
    <cellStyle name="Standaard 60 3 3 2 2" xfId="43214"/>
    <cellStyle name="Standaard 60 3 3 2 2 2" xfId="43215"/>
    <cellStyle name="Standaard 60 3 3 2 2 2 2" xfId="43216"/>
    <cellStyle name="Standaard 60 3 3 2 2 2 2 2" xfId="43217"/>
    <cellStyle name="Standaard 60 3 3 2 2 2 2 2 2" xfId="43218"/>
    <cellStyle name="Standaard 60 3 3 2 2 2 2 3" xfId="43219"/>
    <cellStyle name="Standaard 60 3 3 2 2 2 3" xfId="43220"/>
    <cellStyle name="Standaard 60 3 3 2 2 2 3 2" xfId="43221"/>
    <cellStyle name="Standaard 60 3 3 2 2 2 4" xfId="43222"/>
    <cellStyle name="Standaard 60 3 3 2 2 3" xfId="43223"/>
    <cellStyle name="Standaard 60 3 3 2 2 3 2" xfId="43224"/>
    <cellStyle name="Standaard 60 3 3 2 2 3 2 2" xfId="43225"/>
    <cellStyle name="Standaard 60 3 3 2 2 3 3" xfId="43226"/>
    <cellStyle name="Standaard 60 3 3 2 2 4" xfId="43227"/>
    <cellStyle name="Standaard 60 3 3 2 2 4 2" xfId="43228"/>
    <cellStyle name="Standaard 60 3 3 2 2 5" xfId="43229"/>
    <cellStyle name="Standaard 60 3 3 2 2 6" xfId="43230"/>
    <cellStyle name="Standaard 60 3 3 2 3" xfId="43231"/>
    <cellStyle name="Standaard 60 3 3 2 3 2" xfId="43232"/>
    <cellStyle name="Standaard 60 3 3 2 3 2 2" xfId="43233"/>
    <cellStyle name="Standaard 60 3 3 2 3 2 2 2" xfId="43234"/>
    <cellStyle name="Standaard 60 3 3 2 3 2 3" xfId="43235"/>
    <cellStyle name="Standaard 60 3 3 2 3 3" xfId="43236"/>
    <cellStyle name="Standaard 60 3 3 2 3 3 2" xfId="43237"/>
    <cellStyle name="Standaard 60 3 3 2 3 4" xfId="43238"/>
    <cellStyle name="Standaard 60 3 3 2 4" xfId="43239"/>
    <cellStyle name="Standaard 60 3 3 2 4 2" xfId="43240"/>
    <cellStyle name="Standaard 60 3 3 2 4 2 2" xfId="43241"/>
    <cellStyle name="Standaard 60 3 3 2 4 3" xfId="43242"/>
    <cellStyle name="Standaard 60 3 3 2 5" xfId="43243"/>
    <cellStyle name="Standaard 60 3 3 2 5 2" xfId="43244"/>
    <cellStyle name="Standaard 60 3 3 2 6" xfId="43245"/>
    <cellStyle name="Standaard 60 3 3 2 7" xfId="43246"/>
    <cellStyle name="Standaard 60 3 3 3" xfId="43247"/>
    <cellStyle name="Standaard 60 3 3 3 2" xfId="43248"/>
    <cellStyle name="Standaard 60 3 3 3 2 2" xfId="43249"/>
    <cellStyle name="Standaard 60 3 3 3 2 2 2" xfId="43250"/>
    <cellStyle name="Standaard 60 3 3 3 2 2 2 2" xfId="43251"/>
    <cellStyle name="Standaard 60 3 3 3 2 2 3" xfId="43252"/>
    <cellStyle name="Standaard 60 3 3 3 2 3" xfId="43253"/>
    <cellStyle name="Standaard 60 3 3 3 2 3 2" xfId="43254"/>
    <cellStyle name="Standaard 60 3 3 3 2 4" xfId="43255"/>
    <cellStyle name="Standaard 60 3 3 3 3" xfId="43256"/>
    <cellStyle name="Standaard 60 3 3 3 3 2" xfId="43257"/>
    <cellStyle name="Standaard 60 3 3 3 3 2 2" xfId="43258"/>
    <cellStyle name="Standaard 60 3 3 3 3 3" xfId="43259"/>
    <cellStyle name="Standaard 60 3 3 3 4" xfId="43260"/>
    <cellStyle name="Standaard 60 3 3 3 4 2" xfId="43261"/>
    <cellStyle name="Standaard 60 3 3 3 5" xfId="43262"/>
    <cellStyle name="Standaard 60 3 3 3 6" xfId="43263"/>
    <cellStyle name="Standaard 60 3 3 4" xfId="43264"/>
    <cellStyle name="Standaard 60 3 3 4 2" xfId="43265"/>
    <cellStyle name="Standaard 60 3 3 4 2 2" xfId="43266"/>
    <cellStyle name="Standaard 60 3 3 4 2 2 2" xfId="43267"/>
    <cellStyle name="Standaard 60 3 3 4 2 3" xfId="43268"/>
    <cellStyle name="Standaard 60 3 3 4 3" xfId="43269"/>
    <cellStyle name="Standaard 60 3 3 4 3 2" xfId="43270"/>
    <cellStyle name="Standaard 60 3 3 4 4" xfId="43271"/>
    <cellStyle name="Standaard 60 3 3 5" xfId="43272"/>
    <cellStyle name="Standaard 60 3 3 5 2" xfId="43273"/>
    <cellStyle name="Standaard 60 3 3 5 2 2" xfId="43274"/>
    <cellStyle name="Standaard 60 3 3 5 3" xfId="43275"/>
    <cellStyle name="Standaard 60 3 3 6" xfId="43276"/>
    <cellStyle name="Standaard 60 3 3 6 2" xfId="43277"/>
    <cellStyle name="Standaard 60 3 3 7" xfId="43278"/>
    <cellStyle name="Standaard 60 3 3 8" xfId="43279"/>
    <cellStyle name="Standaard 60 3 4" xfId="43280"/>
    <cellStyle name="Standaard 60 3 4 2" xfId="43281"/>
    <cellStyle name="Standaard 60 3 4 2 2" xfId="43282"/>
    <cellStyle name="Standaard 60 3 4 2 2 2" xfId="43283"/>
    <cellStyle name="Standaard 60 3 4 2 2 2 2" xfId="43284"/>
    <cellStyle name="Standaard 60 3 4 2 2 2 2 2" xfId="43285"/>
    <cellStyle name="Standaard 60 3 4 2 2 2 2 2 2" xfId="43286"/>
    <cellStyle name="Standaard 60 3 4 2 2 2 2 3" xfId="43287"/>
    <cellStyle name="Standaard 60 3 4 2 2 2 3" xfId="43288"/>
    <cellStyle name="Standaard 60 3 4 2 2 2 3 2" xfId="43289"/>
    <cellStyle name="Standaard 60 3 4 2 2 2 4" xfId="43290"/>
    <cellStyle name="Standaard 60 3 4 2 2 3" xfId="43291"/>
    <cellStyle name="Standaard 60 3 4 2 2 3 2" xfId="43292"/>
    <cellStyle name="Standaard 60 3 4 2 2 3 2 2" xfId="43293"/>
    <cellStyle name="Standaard 60 3 4 2 2 3 3" xfId="43294"/>
    <cellStyle name="Standaard 60 3 4 2 2 4" xfId="43295"/>
    <cellStyle name="Standaard 60 3 4 2 2 4 2" xfId="43296"/>
    <cellStyle name="Standaard 60 3 4 2 2 5" xfId="43297"/>
    <cellStyle name="Standaard 60 3 4 2 2 6" xfId="43298"/>
    <cellStyle name="Standaard 60 3 4 2 3" xfId="43299"/>
    <cellStyle name="Standaard 60 3 4 2 3 2" xfId="43300"/>
    <cellStyle name="Standaard 60 3 4 2 3 2 2" xfId="43301"/>
    <cellStyle name="Standaard 60 3 4 2 3 2 2 2" xfId="43302"/>
    <cellStyle name="Standaard 60 3 4 2 3 2 3" xfId="43303"/>
    <cellStyle name="Standaard 60 3 4 2 3 3" xfId="43304"/>
    <cellStyle name="Standaard 60 3 4 2 3 3 2" xfId="43305"/>
    <cellStyle name="Standaard 60 3 4 2 3 4" xfId="43306"/>
    <cellStyle name="Standaard 60 3 4 2 4" xfId="43307"/>
    <cellStyle name="Standaard 60 3 4 2 4 2" xfId="43308"/>
    <cellStyle name="Standaard 60 3 4 2 4 2 2" xfId="43309"/>
    <cellStyle name="Standaard 60 3 4 2 4 3" xfId="43310"/>
    <cellStyle name="Standaard 60 3 4 2 5" xfId="43311"/>
    <cellStyle name="Standaard 60 3 4 2 5 2" xfId="43312"/>
    <cellStyle name="Standaard 60 3 4 2 6" xfId="43313"/>
    <cellStyle name="Standaard 60 3 4 2 7" xfId="43314"/>
    <cellStyle name="Standaard 60 3 4 3" xfId="43315"/>
    <cellStyle name="Standaard 60 3 4 3 2" xfId="43316"/>
    <cellStyle name="Standaard 60 3 4 3 2 2" xfId="43317"/>
    <cellStyle name="Standaard 60 3 4 3 2 2 2" xfId="43318"/>
    <cellStyle name="Standaard 60 3 4 3 2 2 2 2" xfId="43319"/>
    <cellStyle name="Standaard 60 3 4 3 2 2 3" xfId="43320"/>
    <cellStyle name="Standaard 60 3 4 3 2 3" xfId="43321"/>
    <cellStyle name="Standaard 60 3 4 3 2 3 2" xfId="43322"/>
    <cellStyle name="Standaard 60 3 4 3 2 4" xfId="43323"/>
    <cellStyle name="Standaard 60 3 4 3 3" xfId="43324"/>
    <cellStyle name="Standaard 60 3 4 3 3 2" xfId="43325"/>
    <cellStyle name="Standaard 60 3 4 3 3 2 2" xfId="43326"/>
    <cellStyle name="Standaard 60 3 4 3 3 3" xfId="43327"/>
    <cellStyle name="Standaard 60 3 4 3 4" xfId="43328"/>
    <cellStyle name="Standaard 60 3 4 3 4 2" xfId="43329"/>
    <cellStyle name="Standaard 60 3 4 3 5" xfId="43330"/>
    <cellStyle name="Standaard 60 3 4 3 6" xfId="43331"/>
    <cellStyle name="Standaard 60 3 4 4" xfId="43332"/>
    <cellStyle name="Standaard 60 3 4 4 2" xfId="43333"/>
    <cellStyle name="Standaard 60 3 4 4 2 2" xfId="43334"/>
    <cellStyle name="Standaard 60 3 4 4 2 2 2" xfId="43335"/>
    <cellStyle name="Standaard 60 3 4 4 2 3" xfId="43336"/>
    <cellStyle name="Standaard 60 3 4 4 3" xfId="43337"/>
    <cellStyle name="Standaard 60 3 4 4 3 2" xfId="43338"/>
    <cellStyle name="Standaard 60 3 4 4 4" xfId="43339"/>
    <cellStyle name="Standaard 60 3 4 5" xfId="43340"/>
    <cellStyle name="Standaard 60 3 4 5 2" xfId="43341"/>
    <cellStyle name="Standaard 60 3 4 5 2 2" xfId="43342"/>
    <cellStyle name="Standaard 60 3 4 5 3" xfId="43343"/>
    <cellStyle name="Standaard 60 3 4 6" xfId="43344"/>
    <cellStyle name="Standaard 60 3 4 6 2" xfId="43345"/>
    <cellStyle name="Standaard 60 3 4 7" xfId="43346"/>
    <cellStyle name="Standaard 60 3 4 8" xfId="43347"/>
    <cellStyle name="Standaard 60 3 5" xfId="43348"/>
    <cellStyle name="Standaard 60 3 5 2" xfId="43349"/>
    <cellStyle name="Standaard 60 3 5 2 2" xfId="43350"/>
    <cellStyle name="Standaard 60 3 5 2 2 2" xfId="43351"/>
    <cellStyle name="Standaard 60 3 5 2 2 2 2" xfId="43352"/>
    <cellStyle name="Standaard 60 3 5 2 2 2 2 2" xfId="43353"/>
    <cellStyle name="Standaard 60 3 5 2 2 2 3" xfId="43354"/>
    <cellStyle name="Standaard 60 3 5 2 2 3" xfId="43355"/>
    <cellStyle name="Standaard 60 3 5 2 2 3 2" xfId="43356"/>
    <cellStyle name="Standaard 60 3 5 2 2 4" xfId="43357"/>
    <cellStyle name="Standaard 60 3 5 2 3" xfId="43358"/>
    <cellStyle name="Standaard 60 3 5 2 3 2" xfId="43359"/>
    <cellStyle name="Standaard 60 3 5 2 3 2 2" xfId="43360"/>
    <cellStyle name="Standaard 60 3 5 2 3 3" xfId="43361"/>
    <cellStyle name="Standaard 60 3 5 2 4" xfId="43362"/>
    <cellStyle name="Standaard 60 3 5 2 4 2" xfId="43363"/>
    <cellStyle name="Standaard 60 3 5 2 5" xfId="43364"/>
    <cellStyle name="Standaard 60 3 5 2 6" xfId="43365"/>
    <cellStyle name="Standaard 60 3 5 3" xfId="43366"/>
    <cellStyle name="Standaard 60 3 5 3 2" xfId="43367"/>
    <cellStyle name="Standaard 60 3 5 3 2 2" xfId="43368"/>
    <cellStyle name="Standaard 60 3 5 3 2 2 2" xfId="43369"/>
    <cellStyle name="Standaard 60 3 5 3 2 3" xfId="43370"/>
    <cellStyle name="Standaard 60 3 5 3 3" xfId="43371"/>
    <cellStyle name="Standaard 60 3 5 3 3 2" xfId="43372"/>
    <cellStyle name="Standaard 60 3 5 3 4" xfId="43373"/>
    <cellStyle name="Standaard 60 3 5 4" xfId="43374"/>
    <cellStyle name="Standaard 60 3 5 4 2" xfId="43375"/>
    <cellStyle name="Standaard 60 3 5 4 2 2" xfId="43376"/>
    <cellStyle name="Standaard 60 3 5 4 3" xfId="43377"/>
    <cellStyle name="Standaard 60 3 5 5" xfId="43378"/>
    <cellStyle name="Standaard 60 3 5 5 2" xfId="43379"/>
    <cellStyle name="Standaard 60 3 5 6" xfId="43380"/>
    <cellStyle name="Standaard 60 3 5 7" xfId="43381"/>
    <cellStyle name="Standaard 60 3 6" xfId="43382"/>
    <cellStyle name="Standaard 60 3 6 2" xfId="43383"/>
    <cellStyle name="Standaard 60 3 6 2 2" xfId="43384"/>
    <cellStyle name="Standaard 60 3 6 2 2 2" xfId="43385"/>
    <cellStyle name="Standaard 60 3 6 2 2 2 2" xfId="43386"/>
    <cellStyle name="Standaard 60 3 6 2 2 3" xfId="43387"/>
    <cellStyle name="Standaard 60 3 6 2 3" xfId="43388"/>
    <cellStyle name="Standaard 60 3 6 2 3 2" xfId="43389"/>
    <cellStyle name="Standaard 60 3 6 2 4" xfId="43390"/>
    <cellStyle name="Standaard 60 3 6 3" xfId="43391"/>
    <cellStyle name="Standaard 60 3 6 3 2" xfId="43392"/>
    <cellStyle name="Standaard 60 3 6 3 2 2" xfId="43393"/>
    <cellStyle name="Standaard 60 3 6 3 3" xfId="43394"/>
    <cellStyle name="Standaard 60 3 6 4" xfId="43395"/>
    <cellStyle name="Standaard 60 3 6 4 2" xfId="43396"/>
    <cellStyle name="Standaard 60 3 6 5" xfId="43397"/>
    <cellStyle name="Standaard 60 3 6 6" xfId="43398"/>
    <cellStyle name="Standaard 60 3 7" xfId="43399"/>
    <cellStyle name="Standaard 60 3 7 2" xfId="43400"/>
    <cellStyle name="Standaard 60 3 7 2 2" xfId="43401"/>
    <cellStyle name="Standaard 60 3 7 2 2 2" xfId="43402"/>
    <cellStyle name="Standaard 60 3 7 2 3" xfId="43403"/>
    <cellStyle name="Standaard 60 3 7 3" xfId="43404"/>
    <cellStyle name="Standaard 60 3 7 3 2" xfId="43405"/>
    <cellStyle name="Standaard 60 3 7 4" xfId="43406"/>
    <cellStyle name="Standaard 60 3 8" xfId="43407"/>
    <cellStyle name="Standaard 60 3 8 2" xfId="43408"/>
    <cellStyle name="Standaard 60 3 8 2 2" xfId="43409"/>
    <cellStyle name="Standaard 60 3 8 3" xfId="43410"/>
    <cellStyle name="Standaard 60 3 9" xfId="43411"/>
    <cellStyle name="Standaard 60 3 9 2" xfId="43412"/>
    <cellStyle name="Standaard 60 4" xfId="43413"/>
    <cellStyle name="Standaard 60 4 2" xfId="43414"/>
    <cellStyle name="Standaard 60 4 2 2" xfId="43415"/>
    <cellStyle name="Standaard 60 4 2 2 2" xfId="43416"/>
    <cellStyle name="Standaard 60 4 2 2 2 2" xfId="43417"/>
    <cellStyle name="Standaard 60 4 2 2 2 2 2" xfId="43418"/>
    <cellStyle name="Standaard 60 4 2 2 2 2 2 2" xfId="43419"/>
    <cellStyle name="Standaard 60 4 2 2 2 2 2 2 2" xfId="43420"/>
    <cellStyle name="Standaard 60 4 2 2 2 2 2 3" xfId="43421"/>
    <cellStyle name="Standaard 60 4 2 2 2 2 3" xfId="43422"/>
    <cellStyle name="Standaard 60 4 2 2 2 2 3 2" xfId="43423"/>
    <cellStyle name="Standaard 60 4 2 2 2 2 4" xfId="43424"/>
    <cellStyle name="Standaard 60 4 2 2 2 3" xfId="43425"/>
    <cellStyle name="Standaard 60 4 2 2 2 3 2" xfId="43426"/>
    <cellStyle name="Standaard 60 4 2 2 2 3 2 2" xfId="43427"/>
    <cellStyle name="Standaard 60 4 2 2 2 3 3" xfId="43428"/>
    <cellStyle name="Standaard 60 4 2 2 2 4" xfId="43429"/>
    <cellStyle name="Standaard 60 4 2 2 2 4 2" xfId="43430"/>
    <cellStyle name="Standaard 60 4 2 2 2 5" xfId="43431"/>
    <cellStyle name="Standaard 60 4 2 2 2 6" xfId="43432"/>
    <cellStyle name="Standaard 60 4 2 2 3" xfId="43433"/>
    <cellStyle name="Standaard 60 4 2 2 3 2" xfId="43434"/>
    <cellStyle name="Standaard 60 4 2 2 3 2 2" xfId="43435"/>
    <cellStyle name="Standaard 60 4 2 2 3 2 2 2" xfId="43436"/>
    <cellStyle name="Standaard 60 4 2 2 3 2 3" xfId="43437"/>
    <cellStyle name="Standaard 60 4 2 2 3 3" xfId="43438"/>
    <cellStyle name="Standaard 60 4 2 2 3 3 2" xfId="43439"/>
    <cellStyle name="Standaard 60 4 2 2 3 4" xfId="43440"/>
    <cellStyle name="Standaard 60 4 2 2 4" xfId="43441"/>
    <cellStyle name="Standaard 60 4 2 2 4 2" xfId="43442"/>
    <cellStyle name="Standaard 60 4 2 2 4 2 2" xfId="43443"/>
    <cellStyle name="Standaard 60 4 2 2 4 3" xfId="43444"/>
    <cellStyle name="Standaard 60 4 2 2 5" xfId="43445"/>
    <cellStyle name="Standaard 60 4 2 2 5 2" xfId="43446"/>
    <cellStyle name="Standaard 60 4 2 2 6" xfId="43447"/>
    <cellStyle name="Standaard 60 4 2 2 7" xfId="43448"/>
    <cellStyle name="Standaard 60 4 2 3" xfId="43449"/>
    <cellStyle name="Standaard 60 4 2 3 2" xfId="43450"/>
    <cellStyle name="Standaard 60 4 2 3 2 2" xfId="43451"/>
    <cellStyle name="Standaard 60 4 2 3 2 2 2" xfId="43452"/>
    <cellStyle name="Standaard 60 4 2 3 2 2 2 2" xfId="43453"/>
    <cellStyle name="Standaard 60 4 2 3 2 2 3" xfId="43454"/>
    <cellStyle name="Standaard 60 4 2 3 2 3" xfId="43455"/>
    <cellStyle name="Standaard 60 4 2 3 2 3 2" xfId="43456"/>
    <cellStyle name="Standaard 60 4 2 3 2 4" xfId="43457"/>
    <cellStyle name="Standaard 60 4 2 3 3" xfId="43458"/>
    <cellStyle name="Standaard 60 4 2 3 3 2" xfId="43459"/>
    <cellStyle name="Standaard 60 4 2 3 3 2 2" xfId="43460"/>
    <cellStyle name="Standaard 60 4 2 3 3 3" xfId="43461"/>
    <cellStyle name="Standaard 60 4 2 3 4" xfId="43462"/>
    <cellStyle name="Standaard 60 4 2 3 4 2" xfId="43463"/>
    <cellStyle name="Standaard 60 4 2 3 5" xfId="43464"/>
    <cellStyle name="Standaard 60 4 2 3 6" xfId="43465"/>
    <cellStyle name="Standaard 60 4 2 4" xfId="43466"/>
    <cellStyle name="Standaard 60 4 2 4 2" xfId="43467"/>
    <cellStyle name="Standaard 60 4 2 4 2 2" xfId="43468"/>
    <cellStyle name="Standaard 60 4 2 4 2 2 2" xfId="43469"/>
    <cellStyle name="Standaard 60 4 2 4 2 3" xfId="43470"/>
    <cellStyle name="Standaard 60 4 2 4 3" xfId="43471"/>
    <cellStyle name="Standaard 60 4 2 4 3 2" xfId="43472"/>
    <cellStyle name="Standaard 60 4 2 4 4" xfId="43473"/>
    <cellStyle name="Standaard 60 4 2 5" xfId="43474"/>
    <cellStyle name="Standaard 60 4 2 5 2" xfId="43475"/>
    <cellStyle name="Standaard 60 4 2 5 2 2" xfId="43476"/>
    <cellStyle name="Standaard 60 4 2 5 3" xfId="43477"/>
    <cellStyle name="Standaard 60 4 2 6" xfId="43478"/>
    <cellStyle name="Standaard 60 4 2 6 2" xfId="43479"/>
    <cellStyle name="Standaard 60 4 2 7" xfId="43480"/>
    <cellStyle name="Standaard 60 4 2 8" xfId="43481"/>
    <cellStyle name="Standaard 60 4 3" xfId="43482"/>
    <cellStyle name="Standaard 60 4 3 2" xfId="43483"/>
    <cellStyle name="Standaard 60 4 3 2 2" xfId="43484"/>
    <cellStyle name="Standaard 60 4 3 2 2 2" xfId="43485"/>
    <cellStyle name="Standaard 60 4 3 2 2 2 2" xfId="43486"/>
    <cellStyle name="Standaard 60 4 3 2 2 2 2 2" xfId="43487"/>
    <cellStyle name="Standaard 60 4 3 2 2 2 3" xfId="43488"/>
    <cellStyle name="Standaard 60 4 3 2 2 3" xfId="43489"/>
    <cellStyle name="Standaard 60 4 3 2 2 3 2" xfId="43490"/>
    <cellStyle name="Standaard 60 4 3 2 2 4" xfId="43491"/>
    <cellStyle name="Standaard 60 4 3 2 3" xfId="43492"/>
    <cellStyle name="Standaard 60 4 3 2 3 2" xfId="43493"/>
    <cellStyle name="Standaard 60 4 3 2 3 2 2" xfId="43494"/>
    <cellStyle name="Standaard 60 4 3 2 3 3" xfId="43495"/>
    <cellStyle name="Standaard 60 4 3 2 4" xfId="43496"/>
    <cellStyle name="Standaard 60 4 3 2 4 2" xfId="43497"/>
    <cellStyle name="Standaard 60 4 3 2 5" xfId="43498"/>
    <cellStyle name="Standaard 60 4 3 2 6" xfId="43499"/>
    <cellStyle name="Standaard 60 4 3 3" xfId="43500"/>
    <cellStyle name="Standaard 60 4 3 3 2" xfId="43501"/>
    <cellStyle name="Standaard 60 4 3 3 2 2" xfId="43502"/>
    <cellStyle name="Standaard 60 4 3 3 2 2 2" xfId="43503"/>
    <cellStyle name="Standaard 60 4 3 3 2 3" xfId="43504"/>
    <cellStyle name="Standaard 60 4 3 3 3" xfId="43505"/>
    <cellStyle name="Standaard 60 4 3 3 3 2" xfId="43506"/>
    <cellStyle name="Standaard 60 4 3 3 4" xfId="43507"/>
    <cellStyle name="Standaard 60 4 3 4" xfId="43508"/>
    <cellStyle name="Standaard 60 4 3 4 2" xfId="43509"/>
    <cellStyle name="Standaard 60 4 3 4 2 2" xfId="43510"/>
    <cellStyle name="Standaard 60 4 3 4 3" xfId="43511"/>
    <cellStyle name="Standaard 60 4 3 5" xfId="43512"/>
    <cellStyle name="Standaard 60 4 3 5 2" xfId="43513"/>
    <cellStyle name="Standaard 60 4 3 6" xfId="43514"/>
    <cellStyle name="Standaard 60 4 3 7" xfId="43515"/>
    <cellStyle name="Standaard 60 4 4" xfId="43516"/>
    <cellStyle name="Standaard 60 4 4 2" xfId="43517"/>
    <cellStyle name="Standaard 60 4 4 2 2" xfId="43518"/>
    <cellStyle name="Standaard 60 4 4 2 2 2" xfId="43519"/>
    <cellStyle name="Standaard 60 4 4 2 2 2 2" xfId="43520"/>
    <cellStyle name="Standaard 60 4 4 2 2 3" xfId="43521"/>
    <cellStyle name="Standaard 60 4 4 2 3" xfId="43522"/>
    <cellStyle name="Standaard 60 4 4 2 3 2" xfId="43523"/>
    <cellStyle name="Standaard 60 4 4 2 4" xfId="43524"/>
    <cellStyle name="Standaard 60 4 4 3" xfId="43525"/>
    <cellStyle name="Standaard 60 4 4 3 2" xfId="43526"/>
    <cellStyle name="Standaard 60 4 4 3 2 2" xfId="43527"/>
    <cellStyle name="Standaard 60 4 4 3 3" xfId="43528"/>
    <cellStyle name="Standaard 60 4 4 4" xfId="43529"/>
    <cellStyle name="Standaard 60 4 4 4 2" xfId="43530"/>
    <cellStyle name="Standaard 60 4 4 5" xfId="43531"/>
    <cellStyle name="Standaard 60 4 4 6" xfId="43532"/>
    <cellStyle name="Standaard 60 4 5" xfId="43533"/>
    <cellStyle name="Standaard 60 4 5 2" xfId="43534"/>
    <cellStyle name="Standaard 60 4 5 2 2" xfId="43535"/>
    <cellStyle name="Standaard 60 4 5 2 2 2" xfId="43536"/>
    <cellStyle name="Standaard 60 4 5 2 3" xfId="43537"/>
    <cellStyle name="Standaard 60 4 5 3" xfId="43538"/>
    <cellStyle name="Standaard 60 4 5 3 2" xfId="43539"/>
    <cellStyle name="Standaard 60 4 5 4" xfId="43540"/>
    <cellStyle name="Standaard 60 4 6" xfId="43541"/>
    <cellStyle name="Standaard 60 4 6 2" xfId="43542"/>
    <cellStyle name="Standaard 60 4 6 2 2" xfId="43543"/>
    <cellStyle name="Standaard 60 4 6 3" xfId="43544"/>
    <cellStyle name="Standaard 60 4 7" xfId="43545"/>
    <cellStyle name="Standaard 60 4 7 2" xfId="43546"/>
    <cellStyle name="Standaard 60 4 8" xfId="43547"/>
    <cellStyle name="Standaard 60 4 9" xfId="43548"/>
    <cellStyle name="Standaard 60 5" xfId="43549"/>
    <cellStyle name="Standaard 60 5 2" xfId="43550"/>
    <cellStyle name="Standaard 60 5 2 2" xfId="43551"/>
    <cellStyle name="Standaard 60 5 2 2 2" xfId="43552"/>
    <cellStyle name="Standaard 60 5 2 2 2 2" xfId="43553"/>
    <cellStyle name="Standaard 60 5 2 2 2 2 2" xfId="43554"/>
    <cellStyle name="Standaard 60 5 2 2 2 2 2 2" xfId="43555"/>
    <cellStyle name="Standaard 60 5 2 2 2 2 3" xfId="43556"/>
    <cellStyle name="Standaard 60 5 2 2 2 3" xfId="43557"/>
    <cellStyle name="Standaard 60 5 2 2 2 3 2" xfId="43558"/>
    <cellStyle name="Standaard 60 5 2 2 2 4" xfId="43559"/>
    <cellStyle name="Standaard 60 5 2 2 3" xfId="43560"/>
    <cellStyle name="Standaard 60 5 2 2 3 2" xfId="43561"/>
    <cellStyle name="Standaard 60 5 2 2 3 2 2" xfId="43562"/>
    <cellStyle name="Standaard 60 5 2 2 3 3" xfId="43563"/>
    <cellStyle name="Standaard 60 5 2 2 4" xfId="43564"/>
    <cellStyle name="Standaard 60 5 2 2 4 2" xfId="43565"/>
    <cellStyle name="Standaard 60 5 2 2 5" xfId="43566"/>
    <cellStyle name="Standaard 60 5 2 2 6" xfId="43567"/>
    <cellStyle name="Standaard 60 5 2 3" xfId="43568"/>
    <cellStyle name="Standaard 60 5 2 3 2" xfId="43569"/>
    <cellStyle name="Standaard 60 5 2 3 2 2" xfId="43570"/>
    <cellStyle name="Standaard 60 5 2 3 2 2 2" xfId="43571"/>
    <cellStyle name="Standaard 60 5 2 3 2 3" xfId="43572"/>
    <cellStyle name="Standaard 60 5 2 3 3" xfId="43573"/>
    <cellStyle name="Standaard 60 5 2 3 3 2" xfId="43574"/>
    <cellStyle name="Standaard 60 5 2 3 4" xfId="43575"/>
    <cellStyle name="Standaard 60 5 2 4" xfId="43576"/>
    <cellStyle name="Standaard 60 5 2 4 2" xfId="43577"/>
    <cellStyle name="Standaard 60 5 2 4 2 2" xfId="43578"/>
    <cellStyle name="Standaard 60 5 2 4 3" xfId="43579"/>
    <cellStyle name="Standaard 60 5 2 5" xfId="43580"/>
    <cellStyle name="Standaard 60 5 2 5 2" xfId="43581"/>
    <cellStyle name="Standaard 60 5 2 6" xfId="43582"/>
    <cellStyle name="Standaard 60 5 2 7" xfId="43583"/>
    <cellStyle name="Standaard 60 5 3" xfId="43584"/>
    <cellStyle name="Standaard 60 5 3 2" xfId="43585"/>
    <cellStyle name="Standaard 60 5 3 2 2" xfId="43586"/>
    <cellStyle name="Standaard 60 5 3 2 2 2" xfId="43587"/>
    <cellStyle name="Standaard 60 5 3 2 2 2 2" xfId="43588"/>
    <cellStyle name="Standaard 60 5 3 2 2 3" xfId="43589"/>
    <cellStyle name="Standaard 60 5 3 2 3" xfId="43590"/>
    <cellStyle name="Standaard 60 5 3 2 3 2" xfId="43591"/>
    <cellStyle name="Standaard 60 5 3 2 4" xfId="43592"/>
    <cellStyle name="Standaard 60 5 3 3" xfId="43593"/>
    <cellStyle name="Standaard 60 5 3 3 2" xfId="43594"/>
    <cellStyle name="Standaard 60 5 3 3 2 2" xfId="43595"/>
    <cellStyle name="Standaard 60 5 3 3 3" xfId="43596"/>
    <cellStyle name="Standaard 60 5 3 4" xfId="43597"/>
    <cellStyle name="Standaard 60 5 3 4 2" xfId="43598"/>
    <cellStyle name="Standaard 60 5 3 5" xfId="43599"/>
    <cellStyle name="Standaard 60 5 3 6" xfId="43600"/>
    <cellStyle name="Standaard 60 5 4" xfId="43601"/>
    <cellStyle name="Standaard 60 5 4 2" xfId="43602"/>
    <cellStyle name="Standaard 60 5 4 2 2" xfId="43603"/>
    <cellStyle name="Standaard 60 5 4 2 2 2" xfId="43604"/>
    <cellStyle name="Standaard 60 5 4 2 3" xfId="43605"/>
    <cellStyle name="Standaard 60 5 4 3" xfId="43606"/>
    <cellStyle name="Standaard 60 5 4 3 2" xfId="43607"/>
    <cellStyle name="Standaard 60 5 4 4" xfId="43608"/>
    <cellStyle name="Standaard 60 5 5" xfId="43609"/>
    <cellStyle name="Standaard 60 5 5 2" xfId="43610"/>
    <cellStyle name="Standaard 60 5 5 2 2" xfId="43611"/>
    <cellStyle name="Standaard 60 5 5 3" xfId="43612"/>
    <cellStyle name="Standaard 60 5 6" xfId="43613"/>
    <cellStyle name="Standaard 60 5 6 2" xfId="43614"/>
    <cellStyle name="Standaard 60 5 7" xfId="43615"/>
    <cellStyle name="Standaard 60 5 8" xfId="43616"/>
    <cellStyle name="Standaard 60 6" xfId="43617"/>
    <cellStyle name="Standaard 60 6 2" xfId="43618"/>
    <cellStyle name="Standaard 60 6 2 2" xfId="43619"/>
    <cellStyle name="Standaard 60 6 2 2 2" xfId="43620"/>
    <cellStyle name="Standaard 60 6 2 2 2 2" xfId="43621"/>
    <cellStyle name="Standaard 60 6 2 2 2 2 2" xfId="43622"/>
    <cellStyle name="Standaard 60 6 2 2 2 2 2 2" xfId="43623"/>
    <cellStyle name="Standaard 60 6 2 2 2 2 3" xfId="43624"/>
    <cellStyle name="Standaard 60 6 2 2 2 3" xfId="43625"/>
    <cellStyle name="Standaard 60 6 2 2 2 3 2" xfId="43626"/>
    <cellStyle name="Standaard 60 6 2 2 2 4" xfId="43627"/>
    <cellStyle name="Standaard 60 6 2 2 3" xfId="43628"/>
    <cellStyle name="Standaard 60 6 2 2 3 2" xfId="43629"/>
    <cellStyle name="Standaard 60 6 2 2 3 2 2" xfId="43630"/>
    <cellStyle name="Standaard 60 6 2 2 3 3" xfId="43631"/>
    <cellStyle name="Standaard 60 6 2 2 4" xfId="43632"/>
    <cellStyle name="Standaard 60 6 2 2 4 2" xfId="43633"/>
    <cellStyle name="Standaard 60 6 2 2 5" xfId="43634"/>
    <cellStyle name="Standaard 60 6 2 2 6" xfId="43635"/>
    <cellStyle name="Standaard 60 6 2 3" xfId="43636"/>
    <cellStyle name="Standaard 60 6 2 3 2" xfId="43637"/>
    <cellStyle name="Standaard 60 6 2 3 2 2" xfId="43638"/>
    <cellStyle name="Standaard 60 6 2 3 2 2 2" xfId="43639"/>
    <cellStyle name="Standaard 60 6 2 3 2 3" xfId="43640"/>
    <cellStyle name="Standaard 60 6 2 3 3" xfId="43641"/>
    <cellStyle name="Standaard 60 6 2 3 3 2" xfId="43642"/>
    <cellStyle name="Standaard 60 6 2 3 4" xfId="43643"/>
    <cellStyle name="Standaard 60 6 2 4" xfId="43644"/>
    <cellStyle name="Standaard 60 6 2 4 2" xfId="43645"/>
    <cellStyle name="Standaard 60 6 2 4 2 2" xfId="43646"/>
    <cellStyle name="Standaard 60 6 2 4 3" xfId="43647"/>
    <cellStyle name="Standaard 60 6 2 5" xfId="43648"/>
    <cellStyle name="Standaard 60 6 2 5 2" xfId="43649"/>
    <cellStyle name="Standaard 60 6 2 6" xfId="43650"/>
    <cellStyle name="Standaard 60 6 2 7" xfId="43651"/>
    <cellStyle name="Standaard 60 6 3" xfId="43652"/>
    <cellStyle name="Standaard 60 6 3 2" xfId="43653"/>
    <cellStyle name="Standaard 60 6 3 2 2" xfId="43654"/>
    <cellStyle name="Standaard 60 6 3 2 2 2" xfId="43655"/>
    <cellStyle name="Standaard 60 6 3 2 2 2 2" xfId="43656"/>
    <cellStyle name="Standaard 60 6 3 2 2 3" xfId="43657"/>
    <cellStyle name="Standaard 60 6 3 2 3" xfId="43658"/>
    <cellStyle name="Standaard 60 6 3 2 3 2" xfId="43659"/>
    <cellStyle name="Standaard 60 6 3 2 4" xfId="43660"/>
    <cellStyle name="Standaard 60 6 3 3" xfId="43661"/>
    <cellStyle name="Standaard 60 6 3 3 2" xfId="43662"/>
    <cellStyle name="Standaard 60 6 3 3 2 2" xfId="43663"/>
    <cellStyle name="Standaard 60 6 3 3 3" xfId="43664"/>
    <cellStyle name="Standaard 60 6 3 4" xfId="43665"/>
    <cellStyle name="Standaard 60 6 3 4 2" xfId="43666"/>
    <cellStyle name="Standaard 60 6 3 5" xfId="43667"/>
    <cellStyle name="Standaard 60 6 3 6" xfId="43668"/>
    <cellStyle name="Standaard 60 6 4" xfId="43669"/>
    <cellStyle name="Standaard 60 6 4 2" xfId="43670"/>
    <cellStyle name="Standaard 60 6 4 2 2" xfId="43671"/>
    <cellStyle name="Standaard 60 6 4 2 2 2" xfId="43672"/>
    <cellStyle name="Standaard 60 6 4 2 3" xfId="43673"/>
    <cellStyle name="Standaard 60 6 4 3" xfId="43674"/>
    <cellStyle name="Standaard 60 6 4 3 2" xfId="43675"/>
    <cellStyle name="Standaard 60 6 4 4" xfId="43676"/>
    <cellStyle name="Standaard 60 6 5" xfId="43677"/>
    <cellStyle name="Standaard 60 6 5 2" xfId="43678"/>
    <cellStyle name="Standaard 60 6 5 2 2" xfId="43679"/>
    <cellStyle name="Standaard 60 6 5 3" xfId="43680"/>
    <cellStyle name="Standaard 60 6 6" xfId="43681"/>
    <cellStyle name="Standaard 60 6 6 2" xfId="43682"/>
    <cellStyle name="Standaard 60 6 7" xfId="43683"/>
    <cellStyle name="Standaard 60 6 8" xfId="43684"/>
    <cellStyle name="Standaard 60 7" xfId="43685"/>
    <cellStyle name="Standaard 60 7 2" xfId="43686"/>
    <cellStyle name="Standaard 60 7 2 2" xfId="43687"/>
    <cellStyle name="Standaard 60 7 2 2 2" xfId="43688"/>
    <cellStyle name="Standaard 60 7 2 2 2 2" xfId="43689"/>
    <cellStyle name="Standaard 60 7 2 2 2 2 2" xfId="43690"/>
    <cellStyle name="Standaard 60 7 2 2 2 3" xfId="43691"/>
    <cellStyle name="Standaard 60 7 2 2 3" xfId="43692"/>
    <cellStyle name="Standaard 60 7 2 2 3 2" xfId="43693"/>
    <cellStyle name="Standaard 60 7 2 2 4" xfId="43694"/>
    <cellStyle name="Standaard 60 7 2 3" xfId="43695"/>
    <cellStyle name="Standaard 60 7 2 3 2" xfId="43696"/>
    <cellStyle name="Standaard 60 7 2 3 2 2" xfId="43697"/>
    <cellStyle name="Standaard 60 7 2 3 3" xfId="43698"/>
    <cellStyle name="Standaard 60 7 2 4" xfId="43699"/>
    <cellStyle name="Standaard 60 7 2 4 2" xfId="43700"/>
    <cellStyle name="Standaard 60 7 2 5" xfId="43701"/>
    <cellStyle name="Standaard 60 7 2 6" xfId="43702"/>
    <cellStyle name="Standaard 60 7 3" xfId="43703"/>
    <cellStyle name="Standaard 60 7 3 2" xfId="43704"/>
    <cellStyle name="Standaard 60 7 3 2 2" xfId="43705"/>
    <cellStyle name="Standaard 60 7 3 2 2 2" xfId="43706"/>
    <cellStyle name="Standaard 60 7 3 2 3" xfId="43707"/>
    <cellStyle name="Standaard 60 7 3 3" xfId="43708"/>
    <cellStyle name="Standaard 60 7 3 3 2" xfId="43709"/>
    <cellStyle name="Standaard 60 7 3 4" xfId="43710"/>
    <cellStyle name="Standaard 60 7 4" xfId="43711"/>
    <cellStyle name="Standaard 60 7 4 2" xfId="43712"/>
    <cellStyle name="Standaard 60 7 4 2 2" xfId="43713"/>
    <cellStyle name="Standaard 60 7 4 3" xfId="43714"/>
    <cellStyle name="Standaard 60 7 5" xfId="43715"/>
    <cellStyle name="Standaard 60 7 5 2" xfId="43716"/>
    <cellStyle name="Standaard 60 7 6" xfId="43717"/>
    <cellStyle name="Standaard 60 7 7" xfId="43718"/>
    <cellStyle name="Standaard 60 8" xfId="43719"/>
    <cellStyle name="Standaard 60 8 2" xfId="43720"/>
    <cellStyle name="Standaard 60 8 2 2" xfId="43721"/>
    <cellStyle name="Standaard 60 8 2 2 2" xfId="43722"/>
    <cellStyle name="Standaard 60 8 2 2 2 2" xfId="43723"/>
    <cellStyle name="Standaard 60 8 2 2 3" xfId="43724"/>
    <cellStyle name="Standaard 60 8 2 3" xfId="43725"/>
    <cellStyle name="Standaard 60 8 2 3 2" xfId="43726"/>
    <cellStyle name="Standaard 60 8 2 4" xfId="43727"/>
    <cellStyle name="Standaard 60 8 3" xfId="43728"/>
    <cellStyle name="Standaard 60 8 3 2" xfId="43729"/>
    <cellStyle name="Standaard 60 8 3 2 2" xfId="43730"/>
    <cellStyle name="Standaard 60 8 3 3" xfId="43731"/>
    <cellStyle name="Standaard 60 8 4" xfId="43732"/>
    <cellStyle name="Standaard 60 8 4 2" xfId="43733"/>
    <cellStyle name="Standaard 60 8 5" xfId="43734"/>
    <cellStyle name="Standaard 60 8 6" xfId="43735"/>
    <cellStyle name="Standaard 60 9" xfId="43736"/>
    <cellStyle name="Standaard 60 9 2" xfId="43737"/>
    <cellStyle name="Standaard 60 9 2 2" xfId="43738"/>
    <cellStyle name="Standaard 60 9 2 2 2" xfId="43739"/>
    <cellStyle name="Standaard 60 9 2 3" xfId="43740"/>
    <cellStyle name="Standaard 60 9 3" xfId="43741"/>
    <cellStyle name="Standaard 60 9 3 2" xfId="43742"/>
    <cellStyle name="Standaard 60 9 4" xfId="43743"/>
    <cellStyle name="Standaard 61" xfId="43744"/>
    <cellStyle name="Standaard 61 10" xfId="43745"/>
    <cellStyle name="Standaard 61 10 2" xfId="43746"/>
    <cellStyle name="Standaard 61 10 2 2" xfId="43747"/>
    <cellStyle name="Standaard 61 10 3" xfId="43748"/>
    <cellStyle name="Standaard 61 11" xfId="43749"/>
    <cellStyle name="Standaard 61 11 2" xfId="43750"/>
    <cellStyle name="Standaard 61 12" xfId="43751"/>
    <cellStyle name="Standaard 61 13" xfId="43752"/>
    <cellStyle name="Standaard 61 2" xfId="43753"/>
    <cellStyle name="Standaard 61 2 10" xfId="43754"/>
    <cellStyle name="Standaard 61 2 10 2" xfId="43755"/>
    <cellStyle name="Standaard 61 2 11" xfId="43756"/>
    <cellStyle name="Standaard 61 2 12" xfId="43757"/>
    <cellStyle name="Standaard 61 2 2" xfId="43758"/>
    <cellStyle name="Standaard 61 2 2 10" xfId="43759"/>
    <cellStyle name="Standaard 61 2 2 11" xfId="43760"/>
    <cellStyle name="Standaard 61 2 2 2" xfId="43761"/>
    <cellStyle name="Standaard 61 2 2 2 2" xfId="43762"/>
    <cellStyle name="Standaard 61 2 2 2 2 2" xfId="43763"/>
    <cellStyle name="Standaard 61 2 2 2 2 2 2" xfId="43764"/>
    <cellStyle name="Standaard 61 2 2 2 2 2 2 2" xfId="43765"/>
    <cellStyle name="Standaard 61 2 2 2 2 2 2 2 2" xfId="43766"/>
    <cellStyle name="Standaard 61 2 2 2 2 2 2 2 2 2" xfId="43767"/>
    <cellStyle name="Standaard 61 2 2 2 2 2 2 2 2 2 2" xfId="43768"/>
    <cellStyle name="Standaard 61 2 2 2 2 2 2 2 2 3" xfId="43769"/>
    <cellStyle name="Standaard 61 2 2 2 2 2 2 2 3" xfId="43770"/>
    <cellStyle name="Standaard 61 2 2 2 2 2 2 2 3 2" xfId="43771"/>
    <cellStyle name="Standaard 61 2 2 2 2 2 2 2 4" xfId="43772"/>
    <cellStyle name="Standaard 61 2 2 2 2 2 2 3" xfId="43773"/>
    <cellStyle name="Standaard 61 2 2 2 2 2 2 3 2" xfId="43774"/>
    <cellStyle name="Standaard 61 2 2 2 2 2 2 3 2 2" xfId="43775"/>
    <cellStyle name="Standaard 61 2 2 2 2 2 2 3 3" xfId="43776"/>
    <cellStyle name="Standaard 61 2 2 2 2 2 2 4" xfId="43777"/>
    <cellStyle name="Standaard 61 2 2 2 2 2 2 4 2" xfId="43778"/>
    <cellStyle name="Standaard 61 2 2 2 2 2 2 5" xfId="43779"/>
    <cellStyle name="Standaard 61 2 2 2 2 2 2 6" xfId="43780"/>
    <cellStyle name="Standaard 61 2 2 2 2 2 3" xfId="43781"/>
    <cellStyle name="Standaard 61 2 2 2 2 2 3 2" xfId="43782"/>
    <cellStyle name="Standaard 61 2 2 2 2 2 3 2 2" xfId="43783"/>
    <cellStyle name="Standaard 61 2 2 2 2 2 3 2 2 2" xfId="43784"/>
    <cellStyle name="Standaard 61 2 2 2 2 2 3 2 3" xfId="43785"/>
    <cellStyle name="Standaard 61 2 2 2 2 2 3 3" xfId="43786"/>
    <cellStyle name="Standaard 61 2 2 2 2 2 3 3 2" xfId="43787"/>
    <cellStyle name="Standaard 61 2 2 2 2 2 3 4" xfId="43788"/>
    <cellStyle name="Standaard 61 2 2 2 2 2 4" xfId="43789"/>
    <cellStyle name="Standaard 61 2 2 2 2 2 4 2" xfId="43790"/>
    <cellStyle name="Standaard 61 2 2 2 2 2 4 2 2" xfId="43791"/>
    <cellStyle name="Standaard 61 2 2 2 2 2 4 3" xfId="43792"/>
    <cellStyle name="Standaard 61 2 2 2 2 2 5" xfId="43793"/>
    <cellStyle name="Standaard 61 2 2 2 2 2 5 2" xfId="43794"/>
    <cellStyle name="Standaard 61 2 2 2 2 2 6" xfId="43795"/>
    <cellStyle name="Standaard 61 2 2 2 2 2 7" xfId="43796"/>
    <cellStyle name="Standaard 61 2 2 2 2 3" xfId="43797"/>
    <cellStyle name="Standaard 61 2 2 2 2 3 2" xfId="43798"/>
    <cellStyle name="Standaard 61 2 2 2 2 3 2 2" xfId="43799"/>
    <cellStyle name="Standaard 61 2 2 2 2 3 2 2 2" xfId="43800"/>
    <cellStyle name="Standaard 61 2 2 2 2 3 2 2 2 2" xfId="43801"/>
    <cellStyle name="Standaard 61 2 2 2 2 3 2 2 3" xfId="43802"/>
    <cellStyle name="Standaard 61 2 2 2 2 3 2 3" xfId="43803"/>
    <cellStyle name="Standaard 61 2 2 2 2 3 2 3 2" xfId="43804"/>
    <cellStyle name="Standaard 61 2 2 2 2 3 2 4" xfId="43805"/>
    <cellStyle name="Standaard 61 2 2 2 2 3 3" xfId="43806"/>
    <cellStyle name="Standaard 61 2 2 2 2 3 3 2" xfId="43807"/>
    <cellStyle name="Standaard 61 2 2 2 2 3 3 2 2" xfId="43808"/>
    <cellStyle name="Standaard 61 2 2 2 2 3 3 3" xfId="43809"/>
    <cellStyle name="Standaard 61 2 2 2 2 3 4" xfId="43810"/>
    <cellStyle name="Standaard 61 2 2 2 2 3 4 2" xfId="43811"/>
    <cellStyle name="Standaard 61 2 2 2 2 3 5" xfId="43812"/>
    <cellStyle name="Standaard 61 2 2 2 2 3 6" xfId="43813"/>
    <cellStyle name="Standaard 61 2 2 2 2 4" xfId="43814"/>
    <cellStyle name="Standaard 61 2 2 2 2 4 2" xfId="43815"/>
    <cellStyle name="Standaard 61 2 2 2 2 4 2 2" xfId="43816"/>
    <cellStyle name="Standaard 61 2 2 2 2 4 2 2 2" xfId="43817"/>
    <cellStyle name="Standaard 61 2 2 2 2 4 2 3" xfId="43818"/>
    <cellStyle name="Standaard 61 2 2 2 2 4 3" xfId="43819"/>
    <cellStyle name="Standaard 61 2 2 2 2 4 3 2" xfId="43820"/>
    <cellStyle name="Standaard 61 2 2 2 2 4 4" xfId="43821"/>
    <cellStyle name="Standaard 61 2 2 2 2 5" xfId="43822"/>
    <cellStyle name="Standaard 61 2 2 2 2 5 2" xfId="43823"/>
    <cellStyle name="Standaard 61 2 2 2 2 5 2 2" xfId="43824"/>
    <cellStyle name="Standaard 61 2 2 2 2 5 3" xfId="43825"/>
    <cellStyle name="Standaard 61 2 2 2 2 6" xfId="43826"/>
    <cellStyle name="Standaard 61 2 2 2 2 6 2" xfId="43827"/>
    <cellStyle name="Standaard 61 2 2 2 2 7" xfId="43828"/>
    <cellStyle name="Standaard 61 2 2 2 2 8" xfId="43829"/>
    <cellStyle name="Standaard 61 2 2 2 3" xfId="43830"/>
    <cellStyle name="Standaard 61 2 2 2 3 2" xfId="43831"/>
    <cellStyle name="Standaard 61 2 2 2 3 2 2" xfId="43832"/>
    <cellStyle name="Standaard 61 2 2 2 3 2 2 2" xfId="43833"/>
    <cellStyle name="Standaard 61 2 2 2 3 2 2 2 2" xfId="43834"/>
    <cellStyle name="Standaard 61 2 2 2 3 2 2 2 2 2" xfId="43835"/>
    <cellStyle name="Standaard 61 2 2 2 3 2 2 2 3" xfId="43836"/>
    <cellStyle name="Standaard 61 2 2 2 3 2 2 3" xfId="43837"/>
    <cellStyle name="Standaard 61 2 2 2 3 2 2 3 2" xfId="43838"/>
    <cellStyle name="Standaard 61 2 2 2 3 2 2 4" xfId="43839"/>
    <cellStyle name="Standaard 61 2 2 2 3 2 3" xfId="43840"/>
    <cellStyle name="Standaard 61 2 2 2 3 2 3 2" xfId="43841"/>
    <cellStyle name="Standaard 61 2 2 2 3 2 3 2 2" xfId="43842"/>
    <cellStyle name="Standaard 61 2 2 2 3 2 3 3" xfId="43843"/>
    <cellStyle name="Standaard 61 2 2 2 3 2 4" xfId="43844"/>
    <cellStyle name="Standaard 61 2 2 2 3 2 4 2" xfId="43845"/>
    <cellStyle name="Standaard 61 2 2 2 3 2 5" xfId="43846"/>
    <cellStyle name="Standaard 61 2 2 2 3 2 6" xfId="43847"/>
    <cellStyle name="Standaard 61 2 2 2 3 3" xfId="43848"/>
    <cellStyle name="Standaard 61 2 2 2 3 3 2" xfId="43849"/>
    <cellStyle name="Standaard 61 2 2 2 3 3 2 2" xfId="43850"/>
    <cellStyle name="Standaard 61 2 2 2 3 3 2 2 2" xfId="43851"/>
    <cellStyle name="Standaard 61 2 2 2 3 3 2 3" xfId="43852"/>
    <cellStyle name="Standaard 61 2 2 2 3 3 3" xfId="43853"/>
    <cellStyle name="Standaard 61 2 2 2 3 3 3 2" xfId="43854"/>
    <cellStyle name="Standaard 61 2 2 2 3 3 4" xfId="43855"/>
    <cellStyle name="Standaard 61 2 2 2 3 4" xfId="43856"/>
    <cellStyle name="Standaard 61 2 2 2 3 4 2" xfId="43857"/>
    <cellStyle name="Standaard 61 2 2 2 3 4 2 2" xfId="43858"/>
    <cellStyle name="Standaard 61 2 2 2 3 4 3" xfId="43859"/>
    <cellStyle name="Standaard 61 2 2 2 3 5" xfId="43860"/>
    <cellStyle name="Standaard 61 2 2 2 3 5 2" xfId="43861"/>
    <cellStyle name="Standaard 61 2 2 2 3 6" xfId="43862"/>
    <cellStyle name="Standaard 61 2 2 2 3 7" xfId="43863"/>
    <cellStyle name="Standaard 61 2 2 2 4" xfId="43864"/>
    <cellStyle name="Standaard 61 2 2 2 4 2" xfId="43865"/>
    <cellStyle name="Standaard 61 2 2 2 4 2 2" xfId="43866"/>
    <cellStyle name="Standaard 61 2 2 2 4 2 2 2" xfId="43867"/>
    <cellStyle name="Standaard 61 2 2 2 4 2 2 2 2" xfId="43868"/>
    <cellStyle name="Standaard 61 2 2 2 4 2 2 3" xfId="43869"/>
    <cellStyle name="Standaard 61 2 2 2 4 2 3" xfId="43870"/>
    <cellStyle name="Standaard 61 2 2 2 4 2 3 2" xfId="43871"/>
    <cellStyle name="Standaard 61 2 2 2 4 2 4" xfId="43872"/>
    <cellStyle name="Standaard 61 2 2 2 4 3" xfId="43873"/>
    <cellStyle name="Standaard 61 2 2 2 4 3 2" xfId="43874"/>
    <cellStyle name="Standaard 61 2 2 2 4 3 2 2" xfId="43875"/>
    <cellStyle name="Standaard 61 2 2 2 4 3 3" xfId="43876"/>
    <cellStyle name="Standaard 61 2 2 2 4 4" xfId="43877"/>
    <cellStyle name="Standaard 61 2 2 2 4 4 2" xfId="43878"/>
    <cellStyle name="Standaard 61 2 2 2 4 5" xfId="43879"/>
    <cellStyle name="Standaard 61 2 2 2 4 6" xfId="43880"/>
    <cellStyle name="Standaard 61 2 2 2 5" xfId="43881"/>
    <cellStyle name="Standaard 61 2 2 2 5 2" xfId="43882"/>
    <cellStyle name="Standaard 61 2 2 2 5 2 2" xfId="43883"/>
    <cellStyle name="Standaard 61 2 2 2 5 2 2 2" xfId="43884"/>
    <cellStyle name="Standaard 61 2 2 2 5 2 3" xfId="43885"/>
    <cellStyle name="Standaard 61 2 2 2 5 3" xfId="43886"/>
    <cellStyle name="Standaard 61 2 2 2 5 3 2" xfId="43887"/>
    <cellStyle name="Standaard 61 2 2 2 5 4" xfId="43888"/>
    <cellStyle name="Standaard 61 2 2 2 6" xfId="43889"/>
    <cellStyle name="Standaard 61 2 2 2 6 2" xfId="43890"/>
    <cellStyle name="Standaard 61 2 2 2 6 2 2" xfId="43891"/>
    <cellStyle name="Standaard 61 2 2 2 6 3" xfId="43892"/>
    <cellStyle name="Standaard 61 2 2 2 7" xfId="43893"/>
    <cellStyle name="Standaard 61 2 2 2 7 2" xfId="43894"/>
    <cellStyle name="Standaard 61 2 2 2 8" xfId="43895"/>
    <cellStyle name="Standaard 61 2 2 2 9" xfId="43896"/>
    <cellStyle name="Standaard 61 2 2 3" xfId="43897"/>
    <cellStyle name="Standaard 61 2 2 3 2" xfId="43898"/>
    <cellStyle name="Standaard 61 2 2 3 2 2" xfId="43899"/>
    <cellStyle name="Standaard 61 2 2 3 2 2 2" xfId="43900"/>
    <cellStyle name="Standaard 61 2 2 3 2 2 2 2" xfId="43901"/>
    <cellStyle name="Standaard 61 2 2 3 2 2 2 2 2" xfId="43902"/>
    <cellStyle name="Standaard 61 2 2 3 2 2 2 2 2 2" xfId="43903"/>
    <cellStyle name="Standaard 61 2 2 3 2 2 2 2 3" xfId="43904"/>
    <cellStyle name="Standaard 61 2 2 3 2 2 2 3" xfId="43905"/>
    <cellStyle name="Standaard 61 2 2 3 2 2 2 3 2" xfId="43906"/>
    <cellStyle name="Standaard 61 2 2 3 2 2 2 4" xfId="43907"/>
    <cellStyle name="Standaard 61 2 2 3 2 2 3" xfId="43908"/>
    <cellStyle name="Standaard 61 2 2 3 2 2 3 2" xfId="43909"/>
    <cellStyle name="Standaard 61 2 2 3 2 2 3 2 2" xfId="43910"/>
    <cellStyle name="Standaard 61 2 2 3 2 2 3 3" xfId="43911"/>
    <cellStyle name="Standaard 61 2 2 3 2 2 4" xfId="43912"/>
    <cellStyle name="Standaard 61 2 2 3 2 2 4 2" xfId="43913"/>
    <cellStyle name="Standaard 61 2 2 3 2 2 5" xfId="43914"/>
    <cellStyle name="Standaard 61 2 2 3 2 2 6" xfId="43915"/>
    <cellStyle name="Standaard 61 2 2 3 2 3" xfId="43916"/>
    <cellStyle name="Standaard 61 2 2 3 2 3 2" xfId="43917"/>
    <cellStyle name="Standaard 61 2 2 3 2 3 2 2" xfId="43918"/>
    <cellStyle name="Standaard 61 2 2 3 2 3 2 2 2" xfId="43919"/>
    <cellStyle name="Standaard 61 2 2 3 2 3 2 3" xfId="43920"/>
    <cellStyle name="Standaard 61 2 2 3 2 3 3" xfId="43921"/>
    <cellStyle name="Standaard 61 2 2 3 2 3 3 2" xfId="43922"/>
    <cellStyle name="Standaard 61 2 2 3 2 3 4" xfId="43923"/>
    <cellStyle name="Standaard 61 2 2 3 2 4" xfId="43924"/>
    <cellStyle name="Standaard 61 2 2 3 2 4 2" xfId="43925"/>
    <cellStyle name="Standaard 61 2 2 3 2 4 2 2" xfId="43926"/>
    <cellStyle name="Standaard 61 2 2 3 2 4 3" xfId="43927"/>
    <cellStyle name="Standaard 61 2 2 3 2 5" xfId="43928"/>
    <cellStyle name="Standaard 61 2 2 3 2 5 2" xfId="43929"/>
    <cellStyle name="Standaard 61 2 2 3 2 6" xfId="43930"/>
    <cellStyle name="Standaard 61 2 2 3 2 7" xfId="43931"/>
    <cellStyle name="Standaard 61 2 2 3 3" xfId="43932"/>
    <cellStyle name="Standaard 61 2 2 3 3 2" xfId="43933"/>
    <cellStyle name="Standaard 61 2 2 3 3 2 2" xfId="43934"/>
    <cellStyle name="Standaard 61 2 2 3 3 2 2 2" xfId="43935"/>
    <cellStyle name="Standaard 61 2 2 3 3 2 2 2 2" xfId="43936"/>
    <cellStyle name="Standaard 61 2 2 3 3 2 2 3" xfId="43937"/>
    <cellStyle name="Standaard 61 2 2 3 3 2 3" xfId="43938"/>
    <cellStyle name="Standaard 61 2 2 3 3 2 3 2" xfId="43939"/>
    <cellStyle name="Standaard 61 2 2 3 3 2 4" xfId="43940"/>
    <cellStyle name="Standaard 61 2 2 3 3 3" xfId="43941"/>
    <cellStyle name="Standaard 61 2 2 3 3 3 2" xfId="43942"/>
    <cellStyle name="Standaard 61 2 2 3 3 3 2 2" xfId="43943"/>
    <cellStyle name="Standaard 61 2 2 3 3 3 3" xfId="43944"/>
    <cellStyle name="Standaard 61 2 2 3 3 4" xfId="43945"/>
    <cellStyle name="Standaard 61 2 2 3 3 4 2" xfId="43946"/>
    <cellStyle name="Standaard 61 2 2 3 3 5" xfId="43947"/>
    <cellStyle name="Standaard 61 2 2 3 3 6" xfId="43948"/>
    <cellStyle name="Standaard 61 2 2 3 4" xfId="43949"/>
    <cellStyle name="Standaard 61 2 2 3 4 2" xfId="43950"/>
    <cellStyle name="Standaard 61 2 2 3 4 2 2" xfId="43951"/>
    <cellStyle name="Standaard 61 2 2 3 4 2 2 2" xfId="43952"/>
    <cellStyle name="Standaard 61 2 2 3 4 2 3" xfId="43953"/>
    <cellStyle name="Standaard 61 2 2 3 4 3" xfId="43954"/>
    <cellStyle name="Standaard 61 2 2 3 4 3 2" xfId="43955"/>
    <cellStyle name="Standaard 61 2 2 3 4 4" xfId="43956"/>
    <cellStyle name="Standaard 61 2 2 3 5" xfId="43957"/>
    <cellStyle name="Standaard 61 2 2 3 5 2" xfId="43958"/>
    <cellStyle name="Standaard 61 2 2 3 5 2 2" xfId="43959"/>
    <cellStyle name="Standaard 61 2 2 3 5 3" xfId="43960"/>
    <cellStyle name="Standaard 61 2 2 3 6" xfId="43961"/>
    <cellStyle name="Standaard 61 2 2 3 6 2" xfId="43962"/>
    <cellStyle name="Standaard 61 2 2 3 7" xfId="43963"/>
    <cellStyle name="Standaard 61 2 2 3 8" xfId="43964"/>
    <cellStyle name="Standaard 61 2 2 4" xfId="43965"/>
    <cellStyle name="Standaard 61 2 2 4 2" xfId="43966"/>
    <cellStyle name="Standaard 61 2 2 4 2 2" xfId="43967"/>
    <cellStyle name="Standaard 61 2 2 4 2 2 2" xfId="43968"/>
    <cellStyle name="Standaard 61 2 2 4 2 2 2 2" xfId="43969"/>
    <cellStyle name="Standaard 61 2 2 4 2 2 2 2 2" xfId="43970"/>
    <cellStyle name="Standaard 61 2 2 4 2 2 2 2 2 2" xfId="43971"/>
    <cellStyle name="Standaard 61 2 2 4 2 2 2 2 3" xfId="43972"/>
    <cellStyle name="Standaard 61 2 2 4 2 2 2 3" xfId="43973"/>
    <cellStyle name="Standaard 61 2 2 4 2 2 2 3 2" xfId="43974"/>
    <cellStyle name="Standaard 61 2 2 4 2 2 2 4" xfId="43975"/>
    <cellStyle name="Standaard 61 2 2 4 2 2 3" xfId="43976"/>
    <cellStyle name="Standaard 61 2 2 4 2 2 3 2" xfId="43977"/>
    <cellStyle name="Standaard 61 2 2 4 2 2 3 2 2" xfId="43978"/>
    <cellStyle name="Standaard 61 2 2 4 2 2 3 3" xfId="43979"/>
    <cellStyle name="Standaard 61 2 2 4 2 2 4" xfId="43980"/>
    <cellStyle name="Standaard 61 2 2 4 2 2 4 2" xfId="43981"/>
    <cellStyle name="Standaard 61 2 2 4 2 2 5" xfId="43982"/>
    <cellStyle name="Standaard 61 2 2 4 2 2 6" xfId="43983"/>
    <cellStyle name="Standaard 61 2 2 4 2 3" xfId="43984"/>
    <cellStyle name="Standaard 61 2 2 4 2 3 2" xfId="43985"/>
    <cellStyle name="Standaard 61 2 2 4 2 3 2 2" xfId="43986"/>
    <cellStyle name="Standaard 61 2 2 4 2 3 2 2 2" xfId="43987"/>
    <cellStyle name="Standaard 61 2 2 4 2 3 2 3" xfId="43988"/>
    <cellStyle name="Standaard 61 2 2 4 2 3 3" xfId="43989"/>
    <cellStyle name="Standaard 61 2 2 4 2 3 3 2" xfId="43990"/>
    <cellStyle name="Standaard 61 2 2 4 2 3 4" xfId="43991"/>
    <cellStyle name="Standaard 61 2 2 4 2 4" xfId="43992"/>
    <cellStyle name="Standaard 61 2 2 4 2 4 2" xfId="43993"/>
    <cellStyle name="Standaard 61 2 2 4 2 4 2 2" xfId="43994"/>
    <cellStyle name="Standaard 61 2 2 4 2 4 3" xfId="43995"/>
    <cellStyle name="Standaard 61 2 2 4 2 5" xfId="43996"/>
    <cellStyle name="Standaard 61 2 2 4 2 5 2" xfId="43997"/>
    <cellStyle name="Standaard 61 2 2 4 2 6" xfId="43998"/>
    <cellStyle name="Standaard 61 2 2 4 2 7" xfId="43999"/>
    <cellStyle name="Standaard 61 2 2 4 3" xfId="44000"/>
    <cellStyle name="Standaard 61 2 2 4 3 2" xfId="44001"/>
    <cellStyle name="Standaard 61 2 2 4 3 2 2" xfId="44002"/>
    <cellStyle name="Standaard 61 2 2 4 3 2 2 2" xfId="44003"/>
    <cellStyle name="Standaard 61 2 2 4 3 2 2 2 2" xfId="44004"/>
    <cellStyle name="Standaard 61 2 2 4 3 2 2 3" xfId="44005"/>
    <cellStyle name="Standaard 61 2 2 4 3 2 3" xfId="44006"/>
    <cellStyle name="Standaard 61 2 2 4 3 2 3 2" xfId="44007"/>
    <cellStyle name="Standaard 61 2 2 4 3 2 4" xfId="44008"/>
    <cellStyle name="Standaard 61 2 2 4 3 3" xfId="44009"/>
    <cellStyle name="Standaard 61 2 2 4 3 3 2" xfId="44010"/>
    <cellStyle name="Standaard 61 2 2 4 3 3 2 2" xfId="44011"/>
    <cellStyle name="Standaard 61 2 2 4 3 3 3" xfId="44012"/>
    <cellStyle name="Standaard 61 2 2 4 3 4" xfId="44013"/>
    <cellStyle name="Standaard 61 2 2 4 3 4 2" xfId="44014"/>
    <cellStyle name="Standaard 61 2 2 4 3 5" xfId="44015"/>
    <cellStyle name="Standaard 61 2 2 4 3 6" xfId="44016"/>
    <cellStyle name="Standaard 61 2 2 4 4" xfId="44017"/>
    <cellStyle name="Standaard 61 2 2 4 4 2" xfId="44018"/>
    <cellStyle name="Standaard 61 2 2 4 4 2 2" xfId="44019"/>
    <cellStyle name="Standaard 61 2 2 4 4 2 2 2" xfId="44020"/>
    <cellStyle name="Standaard 61 2 2 4 4 2 3" xfId="44021"/>
    <cellStyle name="Standaard 61 2 2 4 4 3" xfId="44022"/>
    <cellStyle name="Standaard 61 2 2 4 4 3 2" xfId="44023"/>
    <cellStyle name="Standaard 61 2 2 4 4 4" xfId="44024"/>
    <cellStyle name="Standaard 61 2 2 4 5" xfId="44025"/>
    <cellStyle name="Standaard 61 2 2 4 5 2" xfId="44026"/>
    <cellStyle name="Standaard 61 2 2 4 5 2 2" xfId="44027"/>
    <cellStyle name="Standaard 61 2 2 4 5 3" xfId="44028"/>
    <cellStyle name="Standaard 61 2 2 4 6" xfId="44029"/>
    <cellStyle name="Standaard 61 2 2 4 6 2" xfId="44030"/>
    <cellStyle name="Standaard 61 2 2 4 7" xfId="44031"/>
    <cellStyle name="Standaard 61 2 2 4 8" xfId="44032"/>
    <cellStyle name="Standaard 61 2 2 5" xfId="44033"/>
    <cellStyle name="Standaard 61 2 2 5 2" xfId="44034"/>
    <cellStyle name="Standaard 61 2 2 5 2 2" xfId="44035"/>
    <cellStyle name="Standaard 61 2 2 5 2 2 2" xfId="44036"/>
    <cellStyle name="Standaard 61 2 2 5 2 2 2 2" xfId="44037"/>
    <cellStyle name="Standaard 61 2 2 5 2 2 2 2 2" xfId="44038"/>
    <cellStyle name="Standaard 61 2 2 5 2 2 2 3" xfId="44039"/>
    <cellStyle name="Standaard 61 2 2 5 2 2 3" xfId="44040"/>
    <cellStyle name="Standaard 61 2 2 5 2 2 3 2" xfId="44041"/>
    <cellStyle name="Standaard 61 2 2 5 2 2 4" xfId="44042"/>
    <cellStyle name="Standaard 61 2 2 5 2 3" xfId="44043"/>
    <cellStyle name="Standaard 61 2 2 5 2 3 2" xfId="44044"/>
    <cellStyle name="Standaard 61 2 2 5 2 3 2 2" xfId="44045"/>
    <cellStyle name="Standaard 61 2 2 5 2 3 3" xfId="44046"/>
    <cellStyle name="Standaard 61 2 2 5 2 4" xfId="44047"/>
    <cellStyle name="Standaard 61 2 2 5 2 4 2" xfId="44048"/>
    <cellStyle name="Standaard 61 2 2 5 2 5" xfId="44049"/>
    <cellStyle name="Standaard 61 2 2 5 2 6" xfId="44050"/>
    <cellStyle name="Standaard 61 2 2 5 3" xfId="44051"/>
    <cellStyle name="Standaard 61 2 2 5 3 2" xfId="44052"/>
    <cellStyle name="Standaard 61 2 2 5 3 2 2" xfId="44053"/>
    <cellStyle name="Standaard 61 2 2 5 3 2 2 2" xfId="44054"/>
    <cellStyle name="Standaard 61 2 2 5 3 2 3" xfId="44055"/>
    <cellStyle name="Standaard 61 2 2 5 3 3" xfId="44056"/>
    <cellStyle name="Standaard 61 2 2 5 3 3 2" xfId="44057"/>
    <cellStyle name="Standaard 61 2 2 5 3 4" xfId="44058"/>
    <cellStyle name="Standaard 61 2 2 5 4" xfId="44059"/>
    <cellStyle name="Standaard 61 2 2 5 4 2" xfId="44060"/>
    <cellStyle name="Standaard 61 2 2 5 4 2 2" xfId="44061"/>
    <cellStyle name="Standaard 61 2 2 5 4 3" xfId="44062"/>
    <cellStyle name="Standaard 61 2 2 5 5" xfId="44063"/>
    <cellStyle name="Standaard 61 2 2 5 5 2" xfId="44064"/>
    <cellStyle name="Standaard 61 2 2 5 6" xfId="44065"/>
    <cellStyle name="Standaard 61 2 2 5 7" xfId="44066"/>
    <cellStyle name="Standaard 61 2 2 6" xfId="44067"/>
    <cellStyle name="Standaard 61 2 2 6 2" xfId="44068"/>
    <cellStyle name="Standaard 61 2 2 6 2 2" xfId="44069"/>
    <cellStyle name="Standaard 61 2 2 6 2 2 2" xfId="44070"/>
    <cellStyle name="Standaard 61 2 2 6 2 2 2 2" xfId="44071"/>
    <cellStyle name="Standaard 61 2 2 6 2 2 3" xfId="44072"/>
    <cellStyle name="Standaard 61 2 2 6 2 3" xfId="44073"/>
    <cellStyle name="Standaard 61 2 2 6 2 3 2" xfId="44074"/>
    <cellStyle name="Standaard 61 2 2 6 2 4" xfId="44075"/>
    <cellStyle name="Standaard 61 2 2 6 3" xfId="44076"/>
    <cellStyle name="Standaard 61 2 2 6 3 2" xfId="44077"/>
    <cellStyle name="Standaard 61 2 2 6 3 2 2" xfId="44078"/>
    <cellStyle name="Standaard 61 2 2 6 3 3" xfId="44079"/>
    <cellStyle name="Standaard 61 2 2 6 4" xfId="44080"/>
    <cellStyle name="Standaard 61 2 2 6 4 2" xfId="44081"/>
    <cellStyle name="Standaard 61 2 2 6 5" xfId="44082"/>
    <cellStyle name="Standaard 61 2 2 6 6" xfId="44083"/>
    <cellStyle name="Standaard 61 2 2 7" xfId="44084"/>
    <cellStyle name="Standaard 61 2 2 7 2" xfId="44085"/>
    <cellStyle name="Standaard 61 2 2 7 2 2" xfId="44086"/>
    <cellStyle name="Standaard 61 2 2 7 2 2 2" xfId="44087"/>
    <cellStyle name="Standaard 61 2 2 7 2 3" xfId="44088"/>
    <cellStyle name="Standaard 61 2 2 7 3" xfId="44089"/>
    <cellStyle name="Standaard 61 2 2 7 3 2" xfId="44090"/>
    <cellStyle name="Standaard 61 2 2 7 4" xfId="44091"/>
    <cellStyle name="Standaard 61 2 2 8" xfId="44092"/>
    <cellStyle name="Standaard 61 2 2 8 2" xfId="44093"/>
    <cellStyle name="Standaard 61 2 2 8 2 2" xfId="44094"/>
    <cellStyle name="Standaard 61 2 2 8 3" xfId="44095"/>
    <cellStyle name="Standaard 61 2 2 9" xfId="44096"/>
    <cellStyle name="Standaard 61 2 2 9 2" xfId="44097"/>
    <cellStyle name="Standaard 61 2 3" xfId="44098"/>
    <cellStyle name="Standaard 61 2 3 2" xfId="44099"/>
    <cellStyle name="Standaard 61 2 3 2 2" xfId="44100"/>
    <cellStyle name="Standaard 61 2 3 2 2 2" xfId="44101"/>
    <cellStyle name="Standaard 61 2 3 2 2 2 2" xfId="44102"/>
    <cellStyle name="Standaard 61 2 3 2 2 2 2 2" xfId="44103"/>
    <cellStyle name="Standaard 61 2 3 2 2 2 2 2 2" xfId="44104"/>
    <cellStyle name="Standaard 61 2 3 2 2 2 2 2 2 2" xfId="44105"/>
    <cellStyle name="Standaard 61 2 3 2 2 2 2 2 3" xfId="44106"/>
    <cellStyle name="Standaard 61 2 3 2 2 2 2 3" xfId="44107"/>
    <cellStyle name="Standaard 61 2 3 2 2 2 2 3 2" xfId="44108"/>
    <cellStyle name="Standaard 61 2 3 2 2 2 2 4" xfId="44109"/>
    <cellStyle name="Standaard 61 2 3 2 2 2 3" xfId="44110"/>
    <cellStyle name="Standaard 61 2 3 2 2 2 3 2" xfId="44111"/>
    <cellStyle name="Standaard 61 2 3 2 2 2 3 2 2" xfId="44112"/>
    <cellStyle name="Standaard 61 2 3 2 2 2 3 3" xfId="44113"/>
    <cellStyle name="Standaard 61 2 3 2 2 2 4" xfId="44114"/>
    <cellStyle name="Standaard 61 2 3 2 2 2 4 2" xfId="44115"/>
    <cellStyle name="Standaard 61 2 3 2 2 2 5" xfId="44116"/>
    <cellStyle name="Standaard 61 2 3 2 2 2 6" xfId="44117"/>
    <cellStyle name="Standaard 61 2 3 2 2 3" xfId="44118"/>
    <cellStyle name="Standaard 61 2 3 2 2 3 2" xfId="44119"/>
    <cellStyle name="Standaard 61 2 3 2 2 3 2 2" xfId="44120"/>
    <cellStyle name="Standaard 61 2 3 2 2 3 2 2 2" xfId="44121"/>
    <cellStyle name="Standaard 61 2 3 2 2 3 2 3" xfId="44122"/>
    <cellStyle name="Standaard 61 2 3 2 2 3 3" xfId="44123"/>
    <cellStyle name="Standaard 61 2 3 2 2 3 3 2" xfId="44124"/>
    <cellStyle name="Standaard 61 2 3 2 2 3 4" xfId="44125"/>
    <cellStyle name="Standaard 61 2 3 2 2 4" xfId="44126"/>
    <cellStyle name="Standaard 61 2 3 2 2 4 2" xfId="44127"/>
    <cellStyle name="Standaard 61 2 3 2 2 4 2 2" xfId="44128"/>
    <cellStyle name="Standaard 61 2 3 2 2 4 3" xfId="44129"/>
    <cellStyle name="Standaard 61 2 3 2 2 5" xfId="44130"/>
    <cellStyle name="Standaard 61 2 3 2 2 5 2" xfId="44131"/>
    <cellStyle name="Standaard 61 2 3 2 2 6" xfId="44132"/>
    <cellStyle name="Standaard 61 2 3 2 2 7" xfId="44133"/>
    <cellStyle name="Standaard 61 2 3 2 3" xfId="44134"/>
    <cellStyle name="Standaard 61 2 3 2 3 2" xfId="44135"/>
    <cellStyle name="Standaard 61 2 3 2 3 2 2" xfId="44136"/>
    <cellStyle name="Standaard 61 2 3 2 3 2 2 2" xfId="44137"/>
    <cellStyle name="Standaard 61 2 3 2 3 2 2 2 2" xfId="44138"/>
    <cellStyle name="Standaard 61 2 3 2 3 2 2 3" xfId="44139"/>
    <cellStyle name="Standaard 61 2 3 2 3 2 3" xfId="44140"/>
    <cellStyle name="Standaard 61 2 3 2 3 2 3 2" xfId="44141"/>
    <cellStyle name="Standaard 61 2 3 2 3 2 4" xfId="44142"/>
    <cellStyle name="Standaard 61 2 3 2 3 3" xfId="44143"/>
    <cellStyle name="Standaard 61 2 3 2 3 3 2" xfId="44144"/>
    <cellStyle name="Standaard 61 2 3 2 3 3 2 2" xfId="44145"/>
    <cellStyle name="Standaard 61 2 3 2 3 3 3" xfId="44146"/>
    <cellStyle name="Standaard 61 2 3 2 3 4" xfId="44147"/>
    <cellStyle name="Standaard 61 2 3 2 3 4 2" xfId="44148"/>
    <cellStyle name="Standaard 61 2 3 2 3 5" xfId="44149"/>
    <cellStyle name="Standaard 61 2 3 2 3 6" xfId="44150"/>
    <cellStyle name="Standaard 61 2 3 2 4" xfId="44151"/>
    <cellStyle name="Standaard 61 2 3 2 4 2" xfId="44152"/>
    <cellStyle name="Standaard 61 2 3 2 4 2 2" xfId="44153"/>
    <cellStyle name="Standaard 61 2 3 2 4 2 2 2" xfId="44154"/>
    <cellStyle name="Standaard 61 2 3 2 4 2 3" xfId="44155"/>
    <cellStyle name="Standaard 61 2 3 2 4 3" xfId="44156"/>
    <cellStyle name="Standaard 61 2 3 2 4 3 2" xfId="44157"/>
    <cellStyle name="Standaard 61 2 3 2 4 4" xfId="44158"/>
    <cellStyle name="Standaard 61 2 3 2 5" xfId="44159"/>
    <cellStyle name="Standaard 61 2 3 2 5 2" xfId="44160"/>
    <cellStyle name="Standaard 61 2 3 2 5 2 2" xfId="44161"/>
    <cellStyle name="Standaard 61 2 3 2 5 3" xfId="44162"/>
    <cellStyle name="Standaard 61 2 3 2 6" xfId="44163"/>
    <cellStyle name="Standaard 61 2 3 2 6 2" xfId="44164"/>
    <cellStyle name="Standaard 61 2 3 2 7" xfId="44165"/>
    <cellStyle name="Standaard 61 2 3 2 8" xfId="44166"/>
    <cellStyle name="Standaard 61 2 3 3" xfId="44167"/>
    <cellStyle name="Standaard 61 2 3 3 2" xfId="44168"/>
    <cellStyle name="Standaard 61 2 3 3 2 2" xfId="44169"/>
    <cellStyle name="Standaard 61 2 3 3 2 2 2" xfId="44170"/>
    <cellStyle name="Standaard 61 2 3 3 2 2 2 2" xfId="44171"/>
    <cellStyle name="Standaard 61 2 3 3 2 2 2 2 2" xfId="44172"/>
    <cellStyle name="Standaard 61 2 3 3 2 2 2 3" xfId="44173"/>
    <cellStyle name="Standaard 61 2 3 3 2 2 3" xfId="44174"/>
    <cellStyle name="Standaard 61 2 3 3 2 2 3 2" xfId="44175"/>
    <cellStyle name="Standaard 61 2 3 3 2 2 4" xfId="44176"/>
    <cellStyle name="Standaard 61 2 3 3 2 3" xfId="44177"/>
    <cellStyle name="Standaard 61 2 3 3 2 3 2" xfId="44178"/>
    <cellStyle name="Standaard 61 2 3 3 2 3 2 2" xfId="44179"/>
    <cellStyle name="Standaard 61 2 3 3 2 3 3" xfId="44180"/>
    <cellStyle name="Standaard 61 2 3 3 2 4" xfId="44181"/>
    <cellStyle name="Standaard 61 2 3 3 2 4 2" xfId="44182"/>
    <cellStyle name="Standaard 61 2 3 3 2 5" xfId="44183"/>
    <cellStyle name="Standaard 61 2 3 3 2 6" xfId="44184"/>
    <cellStyle name="Standaard 61 2 3 3 3" xfId="44185"/>
    <cellStyle name="Standaard 61 2 3 3 3 2" xfId="44186"/>
    <cellStyle name="Standaard 61 2 3 3 3 2 2" xfId="44187"/>
    <cellStyle name="Standaard 61 2 3 3 3 2 2 2" xfId="44188"/>
    <cellStyle name="Standaard 61 2 3 3 3 2 3" xfId="44189"/>
    <cellStyle name="Standaard 61 2 3 3 3 3" xfId="44190"/>
    <cellStyle name="Standaard 61 2 3 3 3 3 2" xfId="44191"/>
    <cellStyle name="Standaard 61 2 3 3 3 4" xfId="44192"/>
    <cellStyle name="Standaard 61 2 3 3 4" xfId="44193"/>
    <cellStyle name="Standaard 61 2 3 3 4 2" xfId="44194"/>
    <cellStyle name="Standaard 61 2 3 3 4 2 2" xfId="44195"/>
    <cellStyle name="Standaard 61 2 3 3 4 3" xfId="44196"/>
    <cellStyle name="Standaard 61 2 3 3 5" xfId="44197"/>
    <cellStyle name="Standaard 61 2 3 3 5 2" xfId="44198"/>
    <cellStyle name="Standaard 61 2 3 3 6" xfId="44199"/>
    <cellStyle name="Standaard 61 2 3 3 7" xfId="44200"/>
    <cellStyle name="Standaard 61 2 3 4" xfId="44201"/>
    <cellStyle name="Standaard 61 2 3 4 2" xfId="44202"/>
    <cellStyle name="Standaard 61 2 3 4 2 2" xfId="44203"/>
    <cellStyle name="Standaard 61 2 3 4 2 2 2" xfId="44204"/>
    <cellStyle name="Standaard 61 2 3 4 2 2 2 2" xfId="44205"/>
    <cellStyle name="Standaard 61 2 3 4 2 2 3" xfId="44206"/>
    <cellStyle name="Standaard 61 2 3 4 2 3" xfId="44207"/>
    <cellStyle name="Standaard 61 2 3 4 2 3 2" xfId="44208"/>
    <cellStyle name="Standaard 61 2 3 4 2 4" xfId="44209"/>
    <cellStyle name="Standaard 61 2 3 4 3" xfId="44210"/>
    <cellStyle name="Standaard 61 2 3 4 3 2" xfId="44211"/>
    <cellStyle name="Standaard 61 2 3 4 3 2 2" xfId="44212"/>
    <cellStyle name="Standaard 61 2 3 4 3 3" xfId="44213"/>
    <cellStyle name="Standaard 61 2 3 4 4" xfId="44214"/>
    <cellStyle name="Standaard 61 2 3 4 4 2" xfId="44215"/>
    <cellStyle name="Standaard 61 2 3 4 5" xfId="44216"/>
    <cellStyle name="Standaard 61 2 3 4 6" xfId="44217"/>
    <cellStyle name="Standaard 61 2 3 5" xfId="44218"/>
    <cellStyle name="Standaard 61 2 3 5 2" xfId="44219"/>
    <cellStyle name="Standaard 61 2 3 5 2 2" xfId="44220"/>
    <cellStyle name="Standaard 61 2 3 5 2 2 2" xfId="44221"/>
    <cellStyle name="Standaard 61 2 3 5 2 3" xfId="44222"/>
    <cellStyle name="Standaard 61 2 3 5 3" xfId="44223"/>
    <cellStyle name="Standaard 61 2 3 5 3 2" xfId="44224"/>
    <cellStyle name="Standaard 61 2 3 5 4" xfId="44225"/>
    <cellStyle name="Standaard 61 2 3 6" xfId="44226"/>
    <cellStyle name="Standaard 61 2 3 6 2" xfId="44227"/>
    <cellStyle name="Standaard 61 2 3 6 2 2" xfId="44228"/>
    <cellStyle name="Standaard 61 2 3 6 3" xfId="44229"/>
    <cellStyle name="Standaard 61 2 3 7" xfId="44230"/>
    <cellStyle name="Standaard 61 2 3 7 2" xfId="44231"/>
    <cellStyle name="Standaard 61 2 3 8" xfId="44232"/>
    <cellStyle name="Standaard 61 2 3 9" xfId="44233"/>
    <cellStyle name="Standaard 61 2 4" xfId="44234"/>
    <cellStyle name="Standaard 61 2 4 2" xfId="44235"/>
    <cellStyle name="Standaard 61 2 4 2 2" xfId="44236"/>
    <cellStyle name="Standaard 61 2 4 2 2 2" xfId="44237"/>
    <cellStyle name="Standaard 61 2 4 2 2 2 2" xfId="44238"/>
    <cellStyle name="Standaard 61 2 4 2 2 2 2 2" xfId="44239"/>
    <cellStyle name="Standaard 61 2 4 2 2 2 2 2 2" xfId="44240"/>
    <cellStyle name="Standaard 61 2 4 2 2 2 2 3" xfId="44241"/>
    <cellStyle name="Standaard 61 2 4 2 2 2 3" xfId="44242"/>
    <cellStyle name="Standaard 61 2 4 2 2 2 3 2" xfId="44243"/>
    <cellStyle name="Standaard 61 2 4 2 2 2 4" xfId="44244"/>
    <cellStyle name="Standaard 61 2 4 2 2 3" xfId="44245"/>
    <cellStyle name="Standaard 61 2 4 2 2 3 2" xfId="44246"/>
    <cellStyle name="Standaard 61 2 4 2 2 3 2 2" xfId="44247"/>
    <cellStyle name="Standaard 61 2 4 2 2 3 3" xfId="44248"/>
    <cellStyle name="Standaard 61 2 4 2 2 4" xfId="44249"/>
    <cellStyle name="Standaard 61 2 4 2 2 4 2" xfId="44250"/>
    <cellStyle name="Standaard 61 2 4 2 2 5" xfId="44251"/>
    <cellStyle name="Standaard 61 2 4 2 2 6" xfId="44252"/>
    <cellStyle name="Standaard 61 2 4 2 3" xfId="44253"/>
    <cellStyle name="Standaard 61 2 4 2 3 2" xfId="44254"/>
    <cellStyle name="Standaard 61 2 4 2 3 2 2" xfId="44255"/>
    <cellStyle name="Standaard 61 2 4 2 3 2 2 2" xfId="44256"/>
    <cellStyle name="Standaard 61 2 4 2 3 2 3" xfId="44257"/>
    <cellStyle name="Standaard 61 2 4 2 3 3" xfId="44258"/>
    <cellStyle name="Standaard 61 2 4 2 3 3 2" xfId="44259"/>
    <cellStyle name="Standaard 61 2 4 2 3 4" xfId="44260"/>
    <cellStyle name="Standaard 61 2 4 2 4" xfId="44261"/>
    <cellStyle name="Standaard 61 2 4 2 4 2" xfId="44262"/>
    <cellStyle name="Standaard 61 2 4 2 4 2 2" xfId="44263"/>
    <cellStyle name="Standaard 61 2 4 2 4 3" xfId="44264"/>
    <cellStyle name="Standaard 61 2 4 2 5" xfId="44265"/>
    <cellStyle name="Standaard 61 2 4 2 5 2" xfId="44266"/>
    <cellStyle name="Standaard 61 2 4 2 6" xfId="44267"/>
    <cellStyle name="Standaard 61 2 4 2 7" xfId="44268"/>
    <cellStyle name="Standaard 61 2 4 3" xfId="44269"/>
    <cellStyle name="Standaard 61 2 4 3 2" xfId="44270"/>
    <cellStyle name="Standaard 61 2 4 3 2 2" xfId="44271"/>
    <cellStyle name="Standaard 61 2 4 3 2 2 2" xfId="44272"/>
    <cellStyle name="Standaard 61 2 4 3 2 2 2 2" xfId="44273"/>
    <cellStyle name="Standaard 61 2 4 3 2 2 3" xfId="44274"/>
    <cellStyle name="Standaard 61 2 4 3 2 3" xfId="44275"/>
    <cellStyle name="Standaard 61 2 4 3 2 3 2" xfId="44276"/>
    <cellStyle name="Standaard 61 2 4 3 2 4" xfId="44277"/>
    <cellStyle name="Standaard 61 2 4 3 3" xfId="44278"/>
    <cellStyle name="Standaard 61 2 4 3 3 2" xfId="44279"/>
    <cellStyle name="Standaard 61 2 4 3 3 2 2" xfId="44280"/>
    <cellStyle name="Standaard 61 2 4 3 3 3" xfId="44281"/>
    <cellStyle name="Standaard 61 2 4 3 4" xfId="44282"/>
    <cellStyle name="Standaard 61 2 4 3 4 2" xfId="44283"/>
    <cellStyle name="Standaard 61 2 4 3 5" xfId="44284"/>
    <cellStyle name="Standaard 61 2 4 3 6" xfId="44285"/>
    <cellStyle name="Standaard 61 2 4 4" xfId="44286"/>
    <cellStyle name="Standaard 61 2 4 4 2" xfId="44287"/>
    <cellStyle name="Standaard 61 2 4 4 2 2" xfId="44288"/>
    <cellStyle name="Standaard 61 2 4 4 2 2 2" xfId="44289"/>
    <cellStyle name="Standaard 61 2 4 4 2 3" xfId="44290"/>
    <cellStyle name="Standaard 61 2 4 4 3" xfId="44291"/>
    <cellStyle name="Standaard 61 2 4 4 3 2" xfId="44292"/>
    <cellStyle name="Standaard 61 2 4 4 4" xfId="44293"/>
    <cellStyle name="Standaard 61 2 4 5" xfId="44294"/>
    <cellStyle name="Standaard 61 2 4 5 2" xfId="44295"/>
    <cellStyle name="Standaard 61 2 4 5 2 2" xfId="44296"/>
    <cellStyle name="Standaard 61 2 4 5 3" xfId="44297"/>
    <cellStyle name="Standaard 61 2 4 6" xfId="44298"/>
    <cellStyle name="Standaard 61 2 4 6 2" xfId="44299"/>
    <cellStyle name="Standaard 61 2 4 7" xfId="44300"/>
    <cellStyle name="Standaard 61 2 4 8" xfId="44301"/>
    <cellStyle name="Standaard 61 2 5" xfId="44302"/>
    <cellStyle name="Standaard 61 2 5 2" xfId="44303"/>
    <cellStyle name="Standaard 61 2 5 2 2" xfId="44304"/>
    <cellStyle name="Standaard 61 2 5 2 2 2" xfId="44305"/>
    <cellStyle name="Standaard 61 2 5 2 2 2 2" xfId="44306"/>
    <cellStyle name="Standaard 61 2 5 2 2 2 2 2" xfId="44307"/>
    <cellStyle name="Standaard 61 2 5 2 2 2 2 2 2" xfId="44308"/>
    <cellStyle name="Standaard 61 2 5 2 2 2 2 3" xfId="44309"/>
    <cellStyle name="Standaard 61 2 5 2 2 2 3" xfId="44310"/>
    <cellStyle name="Standaard 61 2 5 2 2 2 3 2" xfId="44311"/>
    <cellStyle name="Standaard 61 2 5 2 2 2 4" xfId="44312"/>
    <cellStyle name="Standaard 61 2 5 2 2 3" xfId="44313"/>
    <cellStyle name="Standaard 61 2 5 2 2 3 2" xfId="44314"/>
    <cellStyle name="Standaard 61 2 5 2 2 3 2 2" xfId="44315"/>
    <cellStyle name="Standaard 61 2 5 2 2 3 3" xfId="44316"/>
    <cellStyle name="Standaard 61 2 5 2 2 4" xfId="44317"/>
    <cellStyle name="Standaard 61 2 5 2 2 4 2" xfId="44318"/>
    <cellStyle name="Standaard 61 2 5 2 2 5" xfId="44319"/>
    <cellStyle name="Standaard 61 2 5 2 2 6" xfId="44320"/>
    <cellStyle name="Standaard 61 2 5 2 3" xfId="44321"/>
    <cellStyle name="Standaard 61 2 5 2 3 2" xfId="44322"/>
    <cellStyle name="Standaard 61 2 5 2 3 2 2" xfId="44323"/>
    <cellStyle name="Standaard 61 2 5 2 3 2 2 2" xfId="44324"/>
    <cellStyle name="Standaard 61 2 5 2 3 2 3" xfId="44325"/>
    <cellStyle name="Standaard 61 2 5 2 3 3" xfId="44326"/>
    <cellStyle name="Standaard 61 2 5 2 3 3 2" xfId="44327"/>
    <cellStyle name="Standaard 61 2 5 2 3 4" xfId="44328"/>
    <cellStyle name="Standaard 61 2 5 2 4" xfId="44329"/>
    <cellStyle name="Standaard 61 2 5 2 4 2" xfId="44330"/>
    <cellStyle name="Standaard 61 2 5 2 4 2 2" xfId="44331"/>
    <cellStyle name="Standaard 61 2 5 2 4 3" xfId="44332"/>
    <cellStyle name="Standaard 61 2 5 2 5" xfId="44333"/>
    <cellStyle name="Standaard 61 2 5 2 5 2" xfId="44334"/>
    <cellStyle name="Standaard 61 2 5 2 6" xfId="44335"/>
    <cellStyle name="Standaard 61 2 5 2 7" xfId="44336"/>
    <cellStyle name="Standaard 61 2 5 3" xfId="44337"/>
    <cellStyle name="Standaard 61 2 5 3 2" xfId="44338"/>
    <cellStyle name="Standaard 61 2 5 3 2 2" xfId="44339"/>
    <cellStyle name="Standaard 61 2 5 3 2 2 2" xfId="44340"/>
    <cellStyle name="Standaard 61 2 5 3 2 2 2 2" xfId="44341"/>
    <cellStyle name="Standaard 61 2 5 3 2 2 3" xfId="44342"/>
    <cellStyle name="Standaard 61 2 5 3 2 3" xfId="44343"/>
    <cellStyle name="Standaard 61 2 5 3 2 3 2" xfId="44344"/>
    <cellStyle name="Standaard 61 2 5 3 2 4" xfId="44345"/>
    <cellStyle name="Standaard 61 2 5 3 3" xfId="44346"/>
    <cellStyle name="Standaard 61 2 5 3 3 2" xfId="44347"/>
    <cellStyle name="Standaard 61 2 5 3 3 2 2" xfId="44348"/>
    <cellStyle name="Standaard 61 2 5 3 3 3" xfId="44349"/>
    <cellStyle name="Standaard 61 2 5 3 4" xfId="44350"/>
    <cellStyle name="Standaard 61 2 5 3 4 2" xfId="44351"/>
    <cellStyle name="Standaard 61 2 5 3 5" xfId="44352"/>
    <cellStyle name="Standaard 61 2 5 3 6" xfId="44353"/>
    <cellStyle name="Standaard 61 2 5 4" xfId="44354"/>
    <cellStyle name="Standaard 61 2 5 4 2" xfId="44355"/>
    <cellStyle name="Standaard 61 2 5 4 2 2" xfId="44356"/>
    <cellStyle name="Standaard 61 2 5 4 2 2 2" xfId="44357"/>
    <cellStyle name="Standaard 61 2 5 4 2 3" xfId="44358"/>
    <cellStyle name="Standaard 61 2 5 4 3" xfId="44359"/>
    <cellStyle name="Standaard 61 2 5 4 3 2" xfId="44360"/>
    <cellStyle name="Standaard 61 2 5 4 4" xfId="44361"/>
    <cellStyle name="Standaard 61 2 5 5" xfId="44362"/>
    <cellStyle name="Standaard 61 2 5 5 2" xfId="44363"/>
    <cellStyle name="Standaard 61 2 5 5 2 2" xfId="44364"/>
    <cellStyle name="Standaard 61 2 5 5 3" xfId="44365"/>
    <cellStyle name="Standaard 61 2 5 6" xfId="44366"/>
    <cellStyle name="Standaard 61 2 5 6 2" xfId="44367"/>
    <cellStyle name="Standaard 61 2 5 7" xfId="44368"/>
    <cellStyle name="Standaard 61 2 5 8" xfId="44369"/>
    <cellStyle name="Standaard 61 2 6" xfId="44370"/>
    <cellStyle name="Standaard 61 2 6 2" xfId="44371"/>
    <cellStyle name="Standaard 61 2 6 2 2" xfId="44372"/>
    <cellStyle name="Standaard 61 2 6 2 2 2" xfId="44373"/>
    <cellStyle name="Standaard 61 2 6 2 2 2 2" xfId="44374"/>
    <cellStyle name="Standaard 61 2 6 2 2 2 2 2" xfId="44375"/>
    <cellStyle name="Standaard 61 2 6 2 2 2 3" xfId="44376"/>
    <cellStyle name="Standaard 61 2 6 2 2 3" xfId="44377"/>
    <cellStyle name="Standaard 61 2 6 2 2 3 2" xfId="44378"/>
    <cellStyle name="Standaard 61 2 6 2 2 4" xfId="44379"/>
    <cellStyle name="Standaard 61 2 6 2 3" xfId="44380"/>
    <cellStyle name="Standaard 61 2 6 2 3 2" xfId="44381"/>
    <cellStyle name="Standaard 61 2 6 2 3 2 2" xfId="44382"/>
    <cellStyle name="Standaard 61 2 6 2 3 3" xfId="44383"/>
    <cellStyle name="Standaard 61 2 6 2 4" xfId="44384"/>
    <cellStyle name="Standaard 61 2 6 2 4 2" xfId="44385"/>
    <cellStyle name="Standaard 61 2 6 2 5" xfId="44386"/>
    <cellStyle name="Standaard 61 2 6 2 6" xfId="44387"/>
    <cellStyle name="Standaard 61 2 6 3" xfId="44388"/>
    <cellStyle name="Standaard 61 2 6 3 2" xfId="44389"/>
    <cellStyle name="Standaard 61 2 6 3 2 2" xfId="44390"/>
    <cellStyle name="Standaard 61 2 6 3 2 2 2" xfId="44391"/>
    <cellStyle name="Standaard 61 2 6 3 2 3" xfId="44392"/>
    <cellStyle name="Standaard 61 2 6 3 3" xfId="44393"/>
    <cellStyle name="Standaard 61 2 6 3 3 2" xfId="44394"/>
    <cellStyle name="Standaard 61 2 6 3 4" xfId="44395"/>
    <cellStyle name="Standaard 61 2 6 4" xfId="44396"/>
    <cellStyle name="Standaard 61 2 6 4 2" xfId="44397"/>
    <cellStyle name="Standaard 61 2 6 4 2 2" xfId="44398"/>
    <cellStyle name="Standaard 61 2 6 4 3" xfId="44399"/>
    <cellStyle name="Standaard 61 2 6 5" xfId="44400"/>
    <cellStyle name="Standaard 61 2 6 5 2" xfId="44401"/>
    <cellStyle name="Standaard 61 2 6 6" xfId="44402"/>
    <cellStyle name="Standaard 61 2 6 7" xfId="44403"/>
    <cellStyle name="Standaard 61 2 7" xfId="44404"/>
    <cellStyle name="Standaard 61 2 7 2" xfId="44405"/>
    <cellStyle name="Standaard 61 2 7 2 2" xfId="44406"/>
    <cellStyle name="Standaard 61 2 7 2 2 2" xfId="44407"/>
    <cellStyle name="Standaard 61 2 7 2 2 2 2" xfId="44408"/>
    <cellStyle name="Standaard 61 2 7 2 2 3" xfId="44409"/>
    <cellStyle name="Standaard 61 2 7 2 3" xfId="44410"/>
    <cellStyle name="Standaard 61 2 7 2 3 2" xfId="44411"/>
    <cellStyle name="Standaard 61 2 7 2 4" xfId="44412"/>
    <cellStyle name="Standaard 61 2 7 3" xfId="44413"/>
    <cellStyle name="Standaard 61 2 7 3 2" xfId="44414"/>
    <cellStyle name="Standaard 61 2 7 3 2 2" xfId="44415"/>
    <cellStyle name="Standaard 61 2 7 3 3" xfId="44416"/>
    <cellStyle name="Standaard 61 2 7 4" xfId="44417"/>
    <cellStyle name="Standaard 61 2 7 4 2" xfId="44418"/>
    <cellStyle name="Standaard 61 2 7 5" xfId="44419"/>
    <cellStyle name="Standaard 61 2 7 6" xfId="44420"/>
    <cellStyle name="Standaard 61 2 8" xfId="44421"/>
    <cellStyle name="Standaard 61 2 8 2" xfId="44422"/>
    <cellStyle name="Standaard 61 2 8 2 2" xfId="44423"/>
    <cellStyle name="Standaard 61 2 8 2 2 2" xfId="44424"/>
    <cellStyle name="Standaard 61 2 8 2 3" xfId="44425"/>
    <cellStyle name="Standaard 61 2 8 3" xfId="44426"/>
    <cellStyle name="Standaard 61 2 8 3 2" xfId="44427"/>
    <cellStyle name="Standaard 61 2 8 4" xfId="44428"/>
    <cellStyle name="Standaard 61 2 9" xfId="44429"/>
    <cellStyle name="Standaard 61 2 9 2" xfId="44430"/>
    <cellStyle name="Standaard 61 2 9 2 2" xfId="44431"/>
    <cellStyle name="Standaard 61 2 9 3" xfId="44432"/>
    <cellStyle name="Standaard 61 3" xfId="44433"/>
    <cellStyle name="Standaard 61 3 10" xfId="44434"/>
    <cellStyle name="Standaard 61 3 11" xfId="44435"/>
    <cellStyle name="Standaard 61 3 2" xfId="44436"/>
    <cellStyle name="Standaard 61 3 2 2" xfId="44437"/>
    <cellStyle name="Standaard 61 3 2 2 2" xfId="44438"/>
    <cellStyle name="Standaard 61 3 2 2 2 2" xfId="44439"/>
    <cellStyle name="Standaard 61 3 2 2 2 2 2" xfId="44440"/>
    <cellStyle name="Standaard 61 3 2 2 2 2 2 2" xfId="44441"/>
    <cellStyle name="Standaard 61 3 2 2 2 2 2 2 2" xfId="44442"/>
    <cellStyle name="Standaard 61 3 2 2 2 2 2 2 2 2" xfId="44443"/>
    <cellStyle name="Standaard 61 3 2 2 2 2 2 2 3" xfId="44444"/>
    <cellStyle name="Standaard 61 3 2 2 2 2 2 3" xfId="44445"/>
    <cellStyle name="Standaard 61 3 2 2 2 2 2 3 2" xfId="44446"/>
    <cellStyle name="Standaard 61 3 2 2 2 2 2 4" xfId="44447"/>
    <cellStyle name="Standaard 61 3 2 2 2 2 3" xfId="44448"/>
    <cellStyle name="Standaard 61 3 2 2 2 2 3 2" xfId="44449"/>
    <cellStyle name="Standaard 61 3 2 2 2 2 3 2 2" xfId="44450"/>
    <cellStyle name="Standaard 61 3 2 2 2 2 3 3" xfId="44451"/>
    <cellStyle name="Standaard 61 3 2 2 2 2 4" xfId="44452"/>
    <cellStyle name="Standaard 61 3 2 2 2 2 4 2" xfId="44453"/>
    <cellStyle name="Standaard 61 3 2 2 2 2 5" xfId="44454"/>
    <cellStyle name="Standaard 61 3 2 2 2 2 6" xfId="44455"/>
    <cellStyle name="Standaard 61 3 2 2 2 3" xfId="44456"/>
    <cellStyle name="Standaard 61 3 2 2 2 3 2" xfId="44457"/>
    <cellStyle name="Standaard 61 3 2 2 2 3 2 2" xfId="44458"/>
    <cellStyle name="Standaard 61 3 2 2 2 3 2 2 2" xfId="44459"/>
    <cellStyle name="Standaard 61 3 2 2 2 3 2 3" xfId="44460"/>
    <cellStyle name="Standaard 61 3 2 2 2 3 3" xfId="44461"/>
    <cellStyle name="Standaard 61 3 2 2 2 3 3 2" xfId="44462"/>
    <cellStyle name="Standaard 61 3 2 2 2 3 4" xfId="44463"/>
    <cellStyle name="Standaard 61 3 2 2 2 4" xfId="44464"/>
    <cellStyle name="Standaard 61 3 2 2 2 4 2" xfId="44465"/>
    <cellStyle name="Standaard 61 3 2 2 2 4 2 2" xfId="44466"/>
    <cellStyle name="Standaard 61 3 2 2 2 4 3" xfId="44467"/>
    <cellStyle name="Standaard 61 3 2 2 2 5" xfId="44468"/>
    <cellStyle name="Standaard 61 3 2 2 2 5 2" xfId="44469"/>
    <cellStyle name="Standaard 61 3 2 2 2 6" xfId="44470"/>
    <cellStyle name="Standaard 61 3 2 2 2 7" xfId="44471"/>
    <cellStyle name="Standaard 61 3 2 2 3" xfId="44472"/>
    <cellStyle name="Standaard 61 3 2 2 3 2" xfId="44473"/>
    <cellStyle name="Standaard 61 3 2 2 3 2 2" xfId="44474"/>
    <cellStyle name="Standaard 61 3 2 2 3 2 2 2" xfId="44475"/>
    <cellStyle name="Standaard 61 3 2 2 3 2 2 2 2" xfId="44476"/>
    <cellStyle name="Standaard 61 3 2 2 3 2 2 3" xfId="44477"/>
    <cellStyle name="Standaard 61 3 2 2 3 2 3" xfId="44478"/>
    <cellStyle name="Standaard 61 3 2 2 3 2 3 2" xfId="44479"/>
    <cellStyle name="Standaard 61 3 2 2 3 2 4" xfId="44480"/>
    <cellStyle name="Standaard 61 3 2 2 3 3" xfId="44481"/>
    <cellStyle name="Standaard 61 3 2 2 3 3 2" xfId="44482"/>
    <cellStyle name="Standaard 61 3 2 2 3 3 2 2" xfId="44483"/>
    <cellStyle name="Standaard 61 3 2 2 3 3 3" xfId="44484"/>
    <cellStyle name="Standaard 61 3 2 2 3 4" xfId="44485"/>
    <cellStyle name="Standaard 61 3 2 2 3 4 2" xfId="44486"/>
    <cellStyle name="Standaard 61 3 2 2 3 5" xfId="44487"/>
    <cellStyle name="Standaard 61 3 2 2 3 6" xfId="44488"/>
    <cellStyle name="Standaard 61 3 2 2 4" xfId="44489"/>
    <cellStyle name="Standaard 61 3 2 2 4 2" xfId="44490"/>
    <cellStyle name="Standaard 61 3 2 2 4 2 2" xfId="44491"/>
    <cellStyle name="Standaard 61 3 2 2 4 2 2 2" xfId="44492"/>
    <cellStyle name="Standaard 61 3 2 2 4 2 3" xfId="44493"/>
    <cellStyle name="Standaard 61 3 2 2 4 3" xfId="44494"/>
    <cellStyle name="Standaard 61 3 2 2 4 3 2" xfId="44495"/>
    <cellStyle name="Standaard 61 3 2 2 4 4" xfId="44496"/>
    <cellStyle name="Standaard 61 3 2 2 5" xfId="44497"/>
    <cellStyle name="Standaard 61 3 2 2 5 2" xfId="44498"/>
    <cellStyle name="Standaard 61 3 2 2 5 2 2" xfId="44499"/>
    <cellStyle name="Standaard 61 3 2 2 5 3" xfId="44500"/>
    <cellStyle name="Standaard 61 3 2 2 6" xfId="44501"/>
    <cellStyle name="Standaard 61 3 2 2 6 2" xfId="44502"/>
    <cellStyle name="Standaard 61 3 2 2 7" xfId="44503"/>
    <cellStyle name="Standaard 61 3 2 2 8" xfId="44504"/>
    <cellStyle name="Standaard 61 3 2 3" xfId="44505"/>
    <cellStyle name="Standaard 61 3 2 3 2" xfId="44506"/>
    <cellStyle name="Standaard 61 3 2 3 2 2" xfId="44507"/>
    <cellStyle name="Standaard 61 3 2 3 2 2 2" xfId="44508"/>
    <cellStyle name="Standaard 61 3 2 3 2 2 2 2" xfId="44509"/>
    <cellStyle name="Standaard 61 3 2 3 2 2 2 2 2" xfId="44510"/>
    <cellStyle name="Standaard 61 3 2 3 2 2 2 3" xfId="44511"/>
    <cellStyle name="Standaard 61 3 2 3 2 2 3" xfId="44512"/>
    <cellStyle name="Standaard 61 3 2 3 2 2 3 2" xfId="44513"/>
    <cellStyle name="Standaard 61 3 2 3 2 2 4" xfId="44514"/>
    <cellStyle name="Standaard 61 3 2 3 2 3" xfId="44515"/>
    <cellStyle name="Standaard 61 3 2 3 2 3 2" xfId="44516"/>
    <cellStyle name="Standaard 61 3 2 3 2 3 2 2" xfId="44517"/>
    <cellStyle name="Standaard 61 3 2 3 2 3 3" xfId="44518"/>
    <cellStyle name="Standaard 61 3 2 3 2 4" xfId="44519"/>
    <cellStyle name="Standaard 61 3 2 3 2 4 2" xfId="44520"/>
    <cellStyle name="Standaard 61 3 2 3 2 5" xfId="44521"/>
    <cellStyle name="Standaard 61 3 2 3 2 6" xfId="44522"/>
    <cellStyle name="Standaard 61 3 2 3 3" xfId="44523"/>
    <cellStyle name="Standaard 61 3 2 3 3 2" xfId="44524"/>
    <cellStyle name="Standaard 61 3 2 3 3 2 2" xfId="44525"/>
    <cellStyle name="Standaard 61 3 2 3 3 2 2 2" xfId="44526"/>
    <cellStyle name="Standaard 61 3 2 3 3 2 3" xfId="44527"/>
    <cellStyle name="Standaard 61 3 2 3 3 3" xfId="44528"/>
    <cellStyle name="Standaard 61 3 2 3 3 3 2" xfId="44529"/>
    <cellStyle name="Standaard 61 3 2 3 3 4" xfId="44530"/>
    <cellStyle name="Standaard 61 3 2 3 4" xfId="44531"/>
    <cellStyle name="Standaard 61 3 2 3 4 2" xfId="44532"/>
    <cellStyle name="Standaard 61 3 2 3 4 2 2" xfId="44533"/>
    <cellStyle name="Standaard 61 3 2 3 4 3" xfId="44534"/>
    <cellStyle name="Standaard 61 3 2 3 5" xfId="44535"/>
    <cellStyle name="Standaard 61 3 2 3 5 2" xfId="44536"/>
    <cellStyle name="Standaard 61 3 2 3 6" xfId="44537"/>
    <cellStyle name="Standaard 61 3 2 3 7" xfId="44538"/>
    <cellStyle name="Standaard 61 3 2 4" xfId="44539"/>
    <cellStyle name="Standaard 61 3 2 4 2" xfId="44540"/>
    <cellStyle name="Standaard 61 3 2 4 2 2" xfId="44541"/>
    <cellStyle name="Standaard 61 3 2 4 2 2 2" xfId="44542"/>
    <cellStyle name="Standaard 61 3 2 4 2 2 2 2" xfId="44543"/>
    <cellStyle name="Standaard 61 3 2 4 2 2 3" xfId="44544"/>
    <cellStyle name="Standaard 61 3 2 4 2 3" xfId="44545"/>
    <cellStyle name="Standaard 61 3 2 4 2 3 2" xfId="44546"/>
    <cellStyle name="Standaard 61 3 2 4 2 4" xfId="44547"/>
    <cellStyle name="Standaard 61 3 2 4 3" xfId="44548"/>
    <cellStyle name="Standaard 61 3 2 4 3 2" xfId="44549"/>
    <cellStyle name="Standaard 61 3 2 4 3 2 2" xfId="44550"/>
    <cellStyle name="Standaard 61 3 2 4 3 3" xfId="44551"/>
    <cellStyle name="Standaard 61 3 2 4 4" xfId="44552"/>
    <cellStyle name="Standaard 61 3 2 4 4 2" xfId="44553"/>
    <cellStyle name="Standaard 61 3 2 4 5" xfId="44554"/>
    <cellStyle name="Standaard 61 3 2 4 6" xfId="44555"/>
    <cellStyle name="Standaard 61 3 2 5" xfId="44556"/>
    <cellStyle name="Standaard 61 3 2 5 2" xfId="44557"/>
    <cellStyle name="Standaard 61 3 2 5 2 2" xfId="44558"/>
    <cellStyle name="Standaard 61 3 2 5 2 2 2" xfId="44559"/>
    <cellStyle name="Standaard 61 3 2 5 2 3" xfId="44560"/>
    <cellStyle name="Standaard 61 3 2 5 3" xfId="44561"/>
    <cellStyle name="Standaard 61 3 2 5 3 2" xfId="44562"/>
    <cellStyle name="Standaard 61 3 2 5 4" xfId="44563"/>
    <cellStyle name="Standaard 61 3 2 6" xfId="44564"/>
    <cellStyle name="Standaard 61 3 2 6 2" xfId="44565"/>
    <cellStyle name="Standaard 61 3 2 6 2 2" xfId="44566"/>
    <cellStyle name="Standaard 61 3 2 6 3" xfId="44567"/>
    <cellStyle name="Standaard 61 3 2 7" xfId="44568"/>
    <cellStyle name="Standaard 61 3 2 7 2" xfId="44569"/>
    <cellStyle name="Standaard 61 3 2 8" xfId="44570"/>
    <cellStyle name="Standaard 61 3 2 9" xfId="44571"/>
    <cellStyle name="Standaard 61 3 3" xfId="44572"/>
    <cellStyle name="Standaard 61 3 3 2" xfId="44573"/>
    <cellStyle name="Standaard 61 3 3 2 2" xfId="44574"/>
    <cellStyle name="Standaard 61 3 3 2 2 2" xfId="44575"/>
    <cellStyle name="Standaard 61 3 3 2 2 2 2" xfId="44576"/>
    <cellStyle name="Standaard 61 3 3 2 2 2 2 2" xfId="44577"/>
    <cellStyle name="Standaard 61 3 3 2 2 2 2 2 2" xfId="44578"/>
    <cellStyle name="Standaard 61 3 3 2 2 2 2 3" xfId="44579"/>
    <cellStyle name="Standaard 61 3 3 2 2 2 3" xfId="44580"/>
    <cellStyle name="Standaard 61 3 3 2 2 2 3 2" xfId="44581"/>
    <cellStyle name="Standaard 61 3 3 2 2 2 4" xfId="44582"/>
    <cellStyle name="Standaard 61 3 3 2 2 3" xfId="44583"/>
    <cellStyle name="Standaard 61 3 3 2 2 3 2" xfId="44584"/>
    <cellStyle name="Standaard 61 3 3 2 2 3 2 2" xfId="44585"/>
    <cellStyle name="Standaard 61 3 3 2 2 3 3" xfId="44586"/>
    <cellStyle name="Standaard 61 3 3 2 2 4" xfId="44587"/>
    <cellStyle name="Standaard 61 3 3 2 2 4 2" xfId="44588"/>
    <cellStyle name="Standaard 61 3 3 2 2 5" xfId="44589"/>
    <cellStyle name="Standaard 61 3 3 2 2 6" xfId="44590"/>
    <cellStyle name="Standaard 61 3 3 2 3" xfId="44591"/>
    <cellStyle name="Standaard 61 3 3 2 3 2" xfId="44592"/>
    <cellStyle name="Standaard 61 3 3 2 3 2 2" xfId="44593"/>
    <cellStyle name="Standaard 61 3 3 2 3 2 2 2" xfId="44594"/>
    <cellStyle name="Standaard 61 3 3 2 3 2 3" xfId="44595"/>
    <cellStyle name="Standaard 61 3 3 2 3 3" xfId="44596"/>
    <cellStyle name="Standaard 61 3 3 2 3 3 2" xfId="44597"/>
    <cellStyle name="Standaard 61 3 3 2 3 4" xfId="44598"/>
    <cellStyle name="Standaard 61 3 3 2 4" xfId="44599"/>
    <cellStyle name="Standaard 61 3 3 2 4 2" xfId="44600"/>
    <cellStyle name="Standaard 61 3 3 2 4 2 2" xfId="44601"/>
    <cellStyle name="Standaard 61 3 3 2 4 3" xfId="44602"/>
    <cellStyle name="Standaard 61 3 3 2 5" xfId="44603"/>
    <cellStyle name="Standaard 61 3 3 2 5 2" xfId="44604"/>
    <cellStyle name="Standaard 61 3 3 2 6" xfId="44605"/>
    <cellStyle name="Standaard 61 3 3 2 7" xfId="44606"/>
    <cellStyle name="Standaard 61 3 3 3" xfId="44607"/>
    <cellStyle name="Standaard 61 3 3 3 2" xfId="44608"/>
    <cellStyle name="Standaard 61 3 3 3 2 2" xfId="44609"/>
    <cellStyle name="Standaard 61 3 3 3 2 2 2" xfId="44610"/>
    <cellStyle name="Standaard 61 3 3 3 2 2 2 2" xfId="44611"/>
    <cellStyle name="Standaard 61 3 3 3 2 2 3" xfId="44612"/>
    <cellStyle name="Standaard 61 3 3 3 2 3" xfId="44613"/>
    <cellStyle name="Standaard 61 3 3 3 2 3 2" xfId="44614"/>
    <cellStyle name="Standaard 61 3 3 3 2 4" xfId="44615"/>
    <cellStyle name="Standaard 61 3 3 3 3" xfId="44616"/>
    <cellStyle name="Standaard 61 3 3 3 3 2" xfId="44617"/>
    <cellStyle name="Standaard 61 3 3 3 3 2 2" xfId="44618"/>
    <cellStyle name="Standaard 61 3 3 3 3 3" xfId="44619"/>
    <cellStyle name="Standaard 61 3 3 3 4" xfId="44620"/>
    <cellStyle name="Standaard 61 3 3 3 4 2" xfId="44621"/>
    <cellStyle name="Standaard 61 3 3 3 5" xfId="44622"/>
    <cellStyle name="Standaard 61 3 3 3 6" xfId="44623"/>
    <cellStyle name="Standaard 61 3 3 4" xfId="44624"/>
    <cellStyle name="Standaard 61 3 3 4 2" xfId="44625"/>
    <cellStyle name="Standaard 61 3 3 4 2 2" xfId="44626"/>
    <cellStyle name="Standaard 61 3 3 4 2 2 2" xfId="44627"/>
    <cellStyle name="Standaard 61 3 3 4 2 3" xfId="44628"/>
    <cellStyle name="Standaard 61 3 3 4 3" xfId="44629"/>
    <cellStyle name="Standaard 61 3 3 4 3 2" xfId="44630"/>
    <cellStyle name="Standaard 61 3 3 4 4" xfId="44631"/>
    <cellStyle name="Standaard 61 3 3 5" xfId="44632"/>
    <cellStyle name="Standaard 61 3 3 5 2" xfId="44633"/>
    <cellStyle name="Standaard 61 3 3 5 2 2" xfId="44634"/>
    <cellStyle name="Standaard 61 3 3 5 3" xfId="44635"/>
    <cellStyle name="Standaard 61 3 3 6" xfId="44636"/>
    <cellStyle name="Standaard 61 3 3 6 2" xfId="44637"/>
    <cellStyle name="Standaard 61 3 3 7" xfId="44638"/>
    <cellStyle name="Standaard 61 3 3 8" xfId="44639"/>
    <cellStyle name="Standaard 61 3 4" xfId="44640"/>
    <cellStyle name="Standaard 61 3 4 2" xfId="44641"/>
    <cellStyle name="Standaard 61 3 4 2 2" xfId="44642"/>
    <cellStyle name="Standaard 61 3 4 2 2 2" xfId="44643"/>
    <cellStyle name="Standaard 61 3 4 2 2 2 2" xfId="44644"/>
    <cellStyle name="Standaard 61 3 4 2 2 2 2 2" xfId="44645"/>
    <cellStyle name="Standaard 61 3 4 2 2 2 2 2 2" xfId="44646"/>
    <cellStyle name="Standaard 61 3 4 2 2 2 2 3" xfId="44647"/>
    <cellStyle name="Standaard 61 3 4 2 2 2 3" xfId="44648"/>
    <cellStyle name="Standaard 61 3 4 2 2 2 3 2" xfId="44649"/>
    <cellStyle name="Standaard 61 3 4 2 2 2 4" xfId="44650"/>
    <cellStyle name="Standaard 61 3 4 2 2 3" xfId="44651"/>
    <cellStyle name="Standaard 61 3 4 2 2 3 2" xfId="44652"/>
    <cellStyle name="Standaard 61 3 4 2 2 3 2 2" xfId="44653"/>
    <cellStyle name="Standaard 61 3 4 2 2 3 3" xfId="44654"/>
    <cellStyle name="Standaard 61 3 4 2 2 4" xfId="44655"/>
    <cellStyle name="Standaard 61 3 4 2 2 4 2" xfId="44656"/>
    <cellStyle name="Standaard 61 3 4 2 2 5" xfId="44657"/>
    <cellStyle name="Standaard 61 3 4 2 2 6" xfId="44658"/>
    <cellStyle name="Standaard 61 3 4 2 3" xfId="44659"/>
    <cellStyle name="Standaard 61 3 4 2 3 2" xfId="44660"/>
    <cellStyle name="Standaard 61 3 4 2 3 2 2" xfId="44661"/>
    <cellStyle name="Standaard 61 3 4 2 3 2 2 2" xfId="44662"/>
    <cellStyle name="Standaard 61 3 4 2 3 2 3" xfId="44663"/>
    <cellStyle name="Standaard 61 3 4 2 3 3" xfId="44664"/>
    <cellStyle name="Standaard 61 3 4 2 3 3 2" xfId="44665"/>
    <cellStyle name="Standaard 61 3 4 2 3 4" xfId="44666"/>
    <cellStyle name="Standaard 61 3 4 2 4" xfId="44667"/>
    <cellStyle name="Standaard 61 3 4 2 4 2" xfId="44668"/>
    <cellStyle name="Standaard 61 3 4 2 4 2 2" xfId="44669"/>
    <cellStyle name="Standaard 61 3 4 2 4 3" xfId="44670"/>
    <cellStyle name="Standaard 61 3 4 2 5" xfId="44671"/>
    <cellStyle name="Standaard 61 3 4 2 5 2" xfId="44672"/>
    <cellStyle name="Standaard 61 3 4 2 6" xfId="44673"/>
    <cellStyle name="Standaard 61 3 4 2 7" xfId="44674"/>
    <cellStyle name="Standaard 61 3 4 3" xfId="44675"/>
    <cellStyle name="Standaard 61 3 4 3 2" xfId="44676"/>
    <cellStyle name="Standaard 61 3 4 3 2 2" xfId="44677"/>
    <cellStyle name="Standaard 61 3 4 3 2 2 2" xfId="44678"/>
    <cellStyle name="Standaard 61 3 4 3 2 2 2 2" xfId="44679"/>
    <cellStyle name="Standaard 61 3 4 3 2 2 3" xfId="44680"/>
    <cellStyle name="Standaard 61 3 4 3 2 3" xfId="44681"/>
    <cellStyle name="Standaard 61 3 4 3 2 3 2" xfId="44682"/>
    <cellStyle name="Standaard 61 3 4 3 2 4" xfId="44683"/>
    <cellStyle name="Standaard 61 3 4 3 3" xfId="44684"/>
    <cellStyle name="Standaard 61 3 4 3 3 2" xfId="44685"/>
    <cellStyle name="Standaard 61 3 4 3 3 2 2" xfId="44686"/>
    <cellStyle name="Standaard 61 3 4 3 3 3" xfId="44687"/>
    <cellStyle name="Standaard 61 3 4 3 4" xfId="44688"/>
    <cellStyle name="Standaard 61 3 4 3 4 2" xfId="44689"/>
    <cellStyle name="Standaard 61 3 4 3 5" xfId="44690"/>
    <cellStyle name="Standaard 61 3 4 3 6" xfId="44691"/>
    <cellStyle name="Standaard 61 3 4 4" xfId="44692"/>
    <cellStyle name="Standaard 61 3 4 4 2" xfId="44693"/>
    <cellStyle name="Standaard 61 3 4 4 2 2" xfId="44694"/>
    <cellStyle name="Standaard 61 3 4 4 2 2 2" xfId="44695"/>
    <cellStyle name="Standaard 61 3 4 4 2 3" xfId="44696"/>
    <cellStyle name="Standaard 61 3 4 4 3" xfId="44697"/>
    <cellStyle name="Standaard 61 3 4 4 3 2" xfId="44698"/>
    <cellStyle name="Standaard 61 3 4 4 4" xfId="44699"/>
    <cellStyle name="Standaard 61 3 4 5" xfId="44700"/>
    <cellStyle name="Standaard 61 3 4 5 2" xfId="44701"/>
    <cellStyle name="Standaard 61 3 4 5 2 2" xfId="44702"/>
    <cellStyle name="Standaard 61 3 4 5 3" xfId="44703"/>
    <cellStyle name="Standaard 61 3 4 6" xfId="44704"/>
    <cellStyle name="Standaard 61 3 4 6 2" xfId="44705"/>
    <cellStyle name="Standaard 61 3 4 7" xfId="44706"/>
    <cellStyle name="Standaard 61 3 4 8" xfId="44707"/>
    <cellStyle name="Standaard 61 3 5" xfId="44708"/>
    <cellStyle name="Standaard 61 3 5 2" xfId="44709"/>
    <cellStyle name="Standaard 61 3 5 2 2" xfId="44710"/>
    <cellStyle name="Standaard 61 3 5 2 2 2" xfId="44711"/>
    <cellStyle name="Standaard 61 3 5 2 2 2 2" xfId="44712"/>
    <cellStyle name="Standaard 61 3 5 2 2 2 2 2" xfId="44713"/>
    <cellStyle name="Standaard 61 3 5 2 2 2 3" xfId="44714"/>
    <cellStyle name="Standaard 61 3 5 2 2 3" xfId="44715"/>
    <cellStyle name="Standaard 61 3 5 2 2 3 2" xfId="44716"/>
    <cellStyle name="Standaard 61 3 5 2 2 4" xfId="44717"/>
    <cellStyle name="Standaard 61 3 5 2 3" xfId="44718"/>
    <cellStyle name="Standaard 61 3 5 2 3 2" xfId="44719"/>
    <cellStyle name="Standaard 61 3 5 2 3 2 2" xfId="44720"/>
    <cellStyle name="Standaard 61 3 5 2 3 3" xfId="44721"/>
    <cellStyle name="Standaard 61 3 5 2 4" xfId="44722"/>
    <cellStyle name="Standaard 61 3 5 2 4 2" xfId="44723"/>
    <cellStyle name="Standaard 61 3 5 2 5" xfId="44724"/>
    <cellStyle name="Standaard 61 3 5 2 6" xfId="44725"/>
    <cellStyle name="Standaard 61 3 5 3" xfId="44726"/>
    <cellStyle name="Standaard 61 3 5 3 2" xfId="44727"/>
    <cellStyle name="Standaard 61 3 5 3 2 2" xfId="44728"/>
    <cellStyle name="Standaard 61 3 5 3 2 2 2" xfId="44729"/>
    <cellStyle name="Standaard 61 3 5 3 2 3" xfId="44730"/>
    <cellStyle name="Standaard 61 3 5 3 3" xfId="44731"/>
    <cellStyle name="Standaard 61 3 5 3 3 2" xfId="44732"/>
    <cellStyle name="Standaard 61 3 5 3 4" xfId="44733"/>
    <cellStyle name="Standaard 61 3 5 4" xfId="44734"/>
    <cellStyle name="Standaard 61 3 5 4 2" xfId="44735"/>
    <cellStyle name="Standaard 61 3 5 4 2 2" xfId="44736"/>
    <cellStyle name="Standaard 61 3 5 4 3" xfId="44737"/>
    <cellStyle name="Standaard 61 3 5 5" xfId="44738"/>
    <cellStyle name="Standaard 61 3 5 5 2" xfId="44739"/>
    <cellStyle name="Standaard 61 3 5 6" xfId="44740"/>
    <cellStyle name="Standaard 61 3 5 7" xfId="44741"/>
    <cellStyle name="Standaard 61 3 6" xfId="44742"/>
    <cellStyle name="Standaard 61 3 6 2" xfId="44743"/>
    <cellStyle name="Standaard 61 3 6 2 2" xfId="44744"/>
    <cellStyle name="Standaard 61 3 6 2 2 2" xfId="44745"/>
    <cellStyle name="Standaard 61 3 6 2 2 2 2" xfId="44746"/>
    <cellStyle name="Standaard 61 3 6 2 2 3" xfId="44747"/>
    <cellStyle name="Standaard 61 3 6 2 3" xfId="44748"/>
    <cellStyle name="Standaard 61 3 6 2 3 2" xfId="44749"/>
    <cellStyle name="Standaard 61 3 6 2 4" xfId="44750"/>
    <cellStyle name="Standaard 61 3 6 3" xfId="44751"/>
    <cellStyle name="Standaard 61 3 6 3 2" xfId="44752"/>
    <cellStyle name="Standaard 61 3 6 3 2 2" xfId="44753"/>
    <cellStyle name="Standaard 61 3 6 3 3" xfId="44754"/>
    <cellStyle name="Standaard 61 3 6 4" xfId="44755"/>
    <cellStyle name="Standaard 61 3 6 4 2" xfId="44756"/>
    <cellStyle name="Standaard 61 3 6 5" xfId="44757"/>
    <cellStyle name="Standaard 61 3 6 6" xfId="44758"/>
    <cellStyle name="Standaard 61 3 7" xfId="44759"/>
    <cellStyle name="Standaard 61 3 7 2" xfId="44760"/>
    <cellStyle name="Standaard 61 3 7 2 2" xfId="44761"/>
    <cellStyle name="Standaard 61 3 7 2 2 2" xfId="44762"/>
    <cellStyle name="Standaard 61 3 7 2 3" xfId="44763"/>
    <cellStyle name="Standaard 61 3 7 3" xfId="44764"/>
    <cellStyle name="Standaard 61 3 7 3 2" xfId="44765"/>
    <cellStyle name="Standaard 61 3 7 4" xfId="44766"/>
    <cellStyle name="Standaard 61 3 8" xfId="44767"/>
    <cellStyle name="Standaard 61 3 8 2" xfId="44768"/>
    <cellStyle name="Standaard 61 3 8 2 2" xfId="44769"/>
    <cellStyle name="Standaard 61 3 8 3" xfId="44770"/>
    <cellStyle name="Standaard 61 3 9" xfId="44771"/>
    <cellStyle name="Standaard 61 3 9 2" xfId="44772"/>
    <cellStyle name="Standaard 61 4" xfId="44773"/>
    <cellStyle name="Standaard 61 4 2" xfId="44774"/>
    <cellStyle name="Standaard 61 4 2 2" xfId="44775"/>
    <cellStyle name="Standaard 61 4 2 2 2" xfId="44776"/>
    <cellStyle name="Standaard 61 4 2 2 2 2" xfId="44777"/>
    <cellStyle name="Standaard 61 4 2 2 2 2 2" xfId="44778"/>
    <cellStyle name="Standaard 61 4 2 2 2 2 2 2" xfId="44779"/>
    <cellStyle name="Standaard 61 4 2 2 2 2 2 2 2" xfId="44780"/>
    <cellStyle name="Standaard 61 4 2 2 2 2 2 3" xfId="44781"/>
    <cellStyle name="Standaard 61 4 2 2 2 2 3" xfId="44782"/>
    <cellStyle name="Standaard 61 4 2 2 2 2 3 2" xfId="44783"/>
    <cellStyle name="Standaard 61 4 2 2 2 2 4" xfId="44784"/>
    <cellStyle name="Standaard 61 4 2 2 2 3" xfId="44785"/>
    <cellStyle name="Standaard 61 4 2 2 2 3 2" xfId="44786"/>
    <cellStyle name="Standaard 61 4 2 2 2 3 2 2" xfId="44787"/>
    <cellStyle name="Standaard 61 4 2 2 2 3 3" xfId="44788"/>
    <cellStyle name="Standaard 61 4 2 2 2 4" xfId="44789"/>
    <cellStyle name="Standaard 61 4 2 2 2 4 2" xfId="44790"/>
    <cellStyle name="Standaard 61 4 2 2 2 5" xfId="44791"/>
    <cellStyle name="Standaard 61 4 2 2 2 6" xfId="44792"/>
    <cellStyle name="Standaard 61 4 2 2 3" xfId="44793"/>
    <cellStyle name="Standaard 61 4 2 2 3 2" xfId="44794"/>
    <cellStyle name="Standaard 61 4 2 2 3 2 2" xfId="44795"/>
    <cellStyle name="Standaard 61 4 2 2 3 2 2 2" xfId="44796"/>
    <cellStyle name="Standaard 61 4 2 2 3 2 3" xfId="44797"/>
    <cellStyle name="Standaard 61 4 2 2 3 3" xfId="44798"/>
    <cellStyle name="Standaard 61 4 2 2 3 3 2" xfId="44799"/>
    <cellStyle name="Standaard 61 4 2 2 3 4" xfId="44800"/>
    <cellStyle name="Standaard 61 4 2 2 4" xfId="44801"/>
    <cellStyle name="Standaard 61 4 2 2 4 2" xfId="44802"/>
    <cellStyle name="Standaard 61 4 2 2 4 2 2" xfId="44803"/>
    <cellStyle name="Standaard 61 4 2 2 4 3" xfId="44804"/>
    <cellStyle name="Standaard 61 4 2 2 5" xfId="44805"/>
    <cellStyle name="Standaard 61 4 2 2 5 2" xfId="44806"/>
    <cellStyle name="Standaard 61 4 2 2 6" xfId="44807"/>
    <cellStyle name="Standaard 61 4 2 2 7" xfId="44808"/>
    <cellStyle name="Standaard 61 4 2 3" xfId="44809"/>
    <cellStyle name="Standaard 61 4 2 3 2" xfId="44810"/>
    <cellStyle name="Standaard 61 4 2 3 2 2" xfId="44811"/>
    <cellStyle name="Standaard 61 4 2 3 2 2 2" xfId="44812"/>
    <cellStyle name="Standaard 61 4 2 3 2 2 2 2" xfId="44813"/>
    <cellStyle name="Standaard 61 4 2 3 2 2 3" xfId="44814"/>
    <cellStyle name="Standaard 61 4 2 3 2 3" xfId="44815"/>
    <cellStyle name="Standaard 61 4 2 3 2 3 2" xfId="44816"/>
    <cellStyle name="Standaard 61 4 2 3 2 4" xfId="44817"/>
    <cellStyle name="Standaard 61 4 2 3 3" xfId="44818"/>
    <cellStyle name="Standaard 61 4 2 3 3 2" xfId="44819"/>
    <cellStyle name="Standaard 61 4 2 3 3 2 2" xfId="44820"/>
    <cellStyle name="Standaard 61 4 2 3 3 3" xfId="44821"/>
    <cellStyle name="Standaard 61 4 2 3 4" xfId="44822"/>
    <cellStyle name="Standaard 61 4 2 3 4 2" xfId="44823"/>
    <cellStyle name="Standaard 61 4 2 3 5" xfId="44824"/>
    <cellStyle name="Standaard 61 4 2 3 6" xfId="44825"/>
    <cellStyle name="Standaard 61 4 2 4" xfId="44826"/>
    <cellStyle name="Standaard 61 4 2 4 2" xfId="44827"/>
    <cellStyle name="Standaard 61 4 2 4 2 2" xfId="44828"/>
    <cellStyle name="Standaard 61 4 2 4 2 2 2" xfId="44829"/>
    <cellStyle name="Standaard 61 4 2 4 2 3" xfId="44830"/>
    <cellStyle name="Standaard 61 4 2 4 3" xfId="44831"/>
    <cellStyle name="Standaard 61 4 2 4 3 2" xfId="44832"/>
    <cellStyle name="Standaard 61 4 2 4 4" xfId="44833"/>
    <cellStyle name="Standaard 61 4 2 5" xfId="44834"/>
    <cellStyle name="Standaard 61 4 2 5 2" xfId="44835"/>
    <cellStyle name="Standaard 61 4 2 5 2 2" xfId="44836"/>
    <cellStyle name="Standaard 61 4 2 5 3" xfId="44837"/>
    <cellStyle name="Standaard 61 4 2 6" xfId="44838"/>
    <cellStyle name="Standaard 61 4 2 6 2" xfId="44839"/>
    <cellStyle name="Standaard 61 4 2 7" xfId="44840"/>
    <cellStyle name="Standaard 61 4 2 8" xfId="44841"/>
    <cellStyle name="Standaard 61 4 3" xfId="44842"/>
    <cellStyle name="Standaard 61 4 3 2" xfId="44843"/>
    <cellStyle name="Standaard 61 4 3 2 2" xfId="44844"/>
    <cellStyle name="Standaard 61 4 3 2 2 2" xfId="44845"/>
    <cellStyle name="Standaard 61 4 3 2 2 2 2" xfId="44846"/>
    <cellStyle name="Standaard 61 4 3 2 2 2 2 2" xfId="44847"/>
    <cellStyle name="Standaard 61 4 3 2 2 2 3" xfId="44848"/>
    <cellStyle name="Standaard 61 4 3 2 2 3" xfId="44849"/>
    <cellStyle name="Standaard 61 4 3 2 2 3 2" xfId="44850"/>
    <cellStyle name="Standaard 61 4 3 2 2 4" xfId="44851"/>
    <cellStyle name="Standaard 61 4 3 2 3" xfId="44852"/>
    <cellStyle name="Standaard 61 4 3 2 3 2" xfId="44853"/>
    <cellStyle name="Standaard 61 4 3 2 3 2 2" xfId="44854"/>
    <cellStyle name="Standaard 61 4 3 2 3 3" xfId="44855"/>
    <cellStyle name="Standaard 61 4 3 2 4" xfId="44856"/>
    <cellStyle name="Standaard 61 4 3 2 4 2" xfId="44857"/>
    <cellStyle name="Standaard 61 4 3 2 5" xfId="44858"/>
    <cellStyle name="Standaard 61 4 3 2 6" xfId="44859"/>
    <cellStyle name="Standaard 61 4 3 3" xfId="44860"/>
    <cellStyle name="Standaard 61 4 3 3 2" xfId="44861"/>
    <cellStyle name="Standaard 61 4 3 3 2 2" xfId="44862"/>
    <cellStyle name="Standaard 61 4 3 3 2 2 2" xfId="44863"/>
    <cellStyle name="Standaard 61 4 3 3 2 3" xfId="44864"/>
    <cellStyle name="Standaard 61 4 3 3 3" xfId="44865"/>
    <cellStyle name="Standaard 61 4 3 3 3 2" xfId="44866"/>
    <cellStyle name="Standaard 61 4 3 3 4" xfId="44867"/>
    <cellStyle name="Standaard 61 4 3 4" xfId="44868"/>
    <cellStyle name="Standaard 61 4 3 4 2" xfId="44869"/>
    <cellStyle name="Standaard 61 4 3 4 2 2" xfId="44870"/>
    <cellStyle name="Standaard 61 4 3 4 3" xfId="44871"/>
    <cellStyle name="Standaard 61 4 3 5" xfId="44872"/>
    <cellStyle name="Standaard 61 4 3 5 2" xfId="44873"/>
    <cellStyle name="Standaard 61 4 3 6" xfId="44874"/>
    <cellStyle name="Standaard 61 4 3 7" xfId="44875"/>
    <cellStyle name="Standaard 61 4 4" xfId="44876"/>
    <cellStyle name="Standaard 61 4 4 2" xfId="44877"/>
    <cellStyle name="Standaard 61 4 4 2 2" xfId="44878"/>
    <cellStyle name="Standaard 61 4 4 2 2 2" xfId="44879"/>
    <cellStyle name="Standaard 61 4 4 2 2 2 2" xfId="44880"/>
    <cellStyle name="Standaard 61 4 4 2 2 3" xfId="44881"/>
    <cellStyle name="Standaard 61 4 4 2 3" xfId="44882"/>
    <cellStyle name="Standaard 61 4 4 2 3 2" xfId="44883"/>
    <cellStyle name="Standaard 61 4 4 2 4" xfId="44884"/>
    <cellStyle name="Standaard 61 4 4 3" xfId="44885"/>
    <cellStyle name="Standaard 61 4 4 3 2" xfId="44886"/>
    <cellStyle name="Standaard 61 4 4 3 2 2" xfId="44887"/>
    <cellStyle name="Standaard 61 4 4 3 3" xfId="44888"/>
    <cellStyle name="Standaard 61 4 4 4" xfId="44889"/>
    <cellStyle name="Standaard 61 4 4 4 2" xfId="44890"/>
    <cellStyle name="Standaard 61 4 4 5" xfId="44891"/>
    <cellStyle name="Standaard 61 4 4 6" xfId="44892"/>
    <cellStyle name="Standaard 61 4 5" xfId="44893"/>
    <cellStyle name="Standaard 61 4 5 2" xfId="44894"/>
    <cellStyle name="Standaard 61 4 5 2 2" xfId="44895"/>
    <cellStyle name="Standaard 61 4 5 2 2 2" xfId="44896"/>
    <cellStyle name="Standaard 61 4 5 2 3" xfId="44897"/>
    <cellStyle name="Standaard 61 4 5 3" xfId="44898"/>
    <cellStyle name="Standaard 61 4 5 3 2" xfId="44899"/>
    <cellStyle name="Standaard 61 4 5 4" xfId="44900"/>
    <cellStyle name="Standaard 61 4 6" xfId="44901"/>
    <cellStyle name="Standaard 61 4 6 2" xfId="44902"/>
    <cellStyle name="Standaard 61 4 6 2 2" xfId="44903"/>
    <cellStyle name="Standaard 61 4 6 3" xfId="44904"/>
    <cellStyle name="Standaard 61 4 7" xfId="44905"/>
    <cellStyle name="Standaard 61 4 7 2" xfId="44906"/>
    <cellStyle name="Standaard 61 4 8" xfId="44907"/>
    <cellStyle name="Standaard 61 4 9" xfId="44908"/>
    <cellStyle name="Standaard 61 5" xfId="44909"/>
    <cellStyle name="Standaard 61 5 2" xfId="44910"/>
    <cellStyle name="Standaard 61 5 2 2" xfId="44911"/>
    <cellStyle name="Standaard 61 5 2 2 2" xfId="44912"/>
    <cellStyle name="Standaard 61 5 2 2 2 2" xfId="44913"/>
    <cellStyle name="Standaard 61 5 2 2 2 2 2" xfId="44914"/>
    <cellStyle name="Standaard 61 5 2 2 2 2 2 2" xfId="44915"/>
    <cellStyle name="Standaard 61 5 2 2 2 2 3" xfId="44916"/>
    <cellStyle name="Standaard 61 5 2 2 2 3" xfId="44917"/>
    <cellStyle name="Standaard 61 5 2 2 2 3 2" xfId="44918"/>
    <cellStyle name="Standaard 61 5 2 2 2 4" xfId="44919"/>
    <cellStyle name="Standaard 61 5 2 2 3" xfId="44920"/>
    <cellStyle name="Standaard 61 5 2 2 3 2" xfId="44921"/>
    <cellStyle name="Standaard 61 5 2 2 3 2 2" xfId="44922"/>
    <cellStyle name="Standaard 61 5 2 2 3 3" xfId="44923"/>
    <cellStyle name="Standaard 61 5 2 2 4" xfId="44924"/>
    <cellStyle name="Standaard 61 5 2 2 4 2" xfId="44925"/>
    <cellStyle name="Standaard 61 5 2 2 5" xfId="44926"/>
    <cellStyle name="Standaard 61 5 2 2 6" xfId="44927"/>
    <cellStyle name="Standaard 61 5 2 3" xfId="44928"/>
    <cellStyle name="Standaard 61 5 2 3 2" xfId="44929"/>
    <cellStyle name="Standaard 61 5 2 3 2 2" xfId="44930"/>
    <cellStyle name="Standaard 61 5 2 3 2 2 2" xfId="44931"/>
    <cellStyle name="Standaard 61 5 2 3 2 3" xfId="44932"/>
    <cellStyle name="Standaard 61 5 2 3 3" xfId="44933"/>
    <cellStyle name="Standaard 61 5 2 3 3 2" xfId="44934"/>
    <cellStyle name="Standaard 61 5 2 3 4" xfId="44935"/>
    <cellStyle name="Standaard 61 5 2 4" xfId="44936"/>
    <cellStyle name="Standaard 61 5 2 4 2" xfId="44937"/>
    <cellStyle name="Standaard 61 5 2 4 2 2" xfId="44938"/>
    <cellStyle name="Standaard 61 5 2 4 3" xfId="44939"/>
    <cellStyle name="Standaard 61 5 2 5" xfId="44940"/>
    <cellStyle name="Standaard 61 5 2 5 2" xfId="44941"/>
    <cellStyle name="Standaard 61 5 2 6" xfId="44942"/>
    <cellStyle name="Standaard 61 5 2 7" xfId="44943"/>
    <cellStyle name="Standaard 61 5 3" xfId="44944"/>
    <cellStyle name="Standaard 61 5 3 2" xfId="44945"/>
    <cellStyle name="Standaard 61 5 3 2 2" xfId="44946"/>
    <cellStyle name="Standaard 61 5 3 2 2 2" xfId="44947"/>
    <cellStyle name="Standaard 61 5 3 2 2 2 2" xfId="44948"/>
    <cellStyle name="Standaard 61 5 3 2 2 3" xfId="44949"/>
    <cellStyle name="Standaard 61 5 3 2 3" xfId="44950"/>
    <cellStyle name="Standaard 61 5 3 2 3 2" xfId="44951"/>
    <cellStyle name="Standaard 61 5 3 2 4" xfId="44952"/>
    <cellStyle name="Standaard 61 5 3 3" xfId="44953"/>
    <cellStyle name="Standaard 61 5 3 3 2" xfId="44954"/>
    <cellStyle name="Standaard 61 5 3 3 2 2" xfId="44955"/>
    <cellStyle name="Standaard 61 5 3 3 3" xfId="44956"/>
    <cellStyle name="Standaard 61 5 3 4" xfId="44957"/>
    <cellStyle name="Standaard 61 5 3 4 2" xfId="44958"/>
    <cellStyle name="Standaard 61 5 3 5" xfId="44959"/>
    <cellStyle name="Standaard 61 5 3 6" xfId="44960"/>
    <cellStyle name="Standaard 61 5 4" xfId="44961"/>
    <cellStyle name="Standaard 61 5 4 2" xfId="44962"/>
    <cellStyle name="Standaard 61 5 4 2 2" xfId="44963"/>
    <cellStyle name="Standaard 61 5 4 2 2 2" xfId="44964"/>
    <cellStyle name="Standaard 61 5 4 2 3" xfId="44965"/>
    <cellStyle name="Standaard 61 5 4 3" xfId="44966"/>
    <cellStyle name="Standaard 61 5 4 3 2" xfId="44967"/>
    <cellStyle name="Standaard 61 5 4 4" xfId="44968"/>
    <cellStyle name="Standaard 61 5 5" xfId="44969"/>
    <cellStyle name="Standaard 61 5 5 2" xfId="44970"/>
    <cellStyle name="Standaard 61 5 5 2 2" xfId="44971"/>
    <cellStyle name="Standaard 61 5 5 3" xfId="44972"/>
    <cellStyle name="Standaard 61 5 6" xfId="44973"/>
    <cellStyle name="Standaard 61 5 6 2" xfId="44974"/>
    <cellStyle name="Standaard 61 5 7" xfId="44975"/>
    <cellStyle name="Standaard 61 5 8" xfId="44976"/>
    <cellStyle name="Standaard 61 6" xfId="44977"/>
    <cellStyle name="Standaard 61 6 2" xfId="44978"/>
    <cellStyle name="Standaard 61 6 2 2" xfId="44979"/>
    <cellStyle name="Standaard 61 6 2 2 2" xfId="44980"/>
    <cellStyle name="Standaard 61 6 2 2 2 2" xfId="44981"/>
    <cellStyle name="Standaard 61 6 2 2 2 2 2" xfId="44982"/>
    <cellStyle name="Standaard 61 6 2 2 2 2 2 2" xfId="44983"/>
    <cellStyle name="Standaard 61 6 2 2 2 2 3" xfId="44984"/>
    <cellStyle name="Standaard 61 6 2 2 2 3" xfId="44985"/>
    <cellStyle name="Standaard 61 6 2 2 2 3 2" xfId="44986"/>
    <cellStyle name="Standaard 61 6 2 2 2 4" xfId="44987"/>
    <cellStyle name="Standaard 61 6 2 2 3" xfId="44988"/>
    <cellStyle name="Standaard 61 6 2 2 3 2" xfId="44989"/>
    <cellStyle name="Standaard 61 6 2 2 3 2 2" xfId="44990"/>
    <cellStyle name="Standaard 61 6 2 2 3 3" xfId="44991"/>
    <cellStyle name="Standaard 61 6 2 2 4" xfId="44992"/>
    <cellStyle name="Standaard 61 6 2 2 4 2" xfId="44993"/>
    <cellStyle name="Standaard 61 6 2 2 5" xfId="44994"/>
    <cellStyle name="Standaard 61 6 2 2 6" xfId="44995"/>
    <cellStyle name="Standaard 61 6 2 3" xfId="44996"/>
    <cellStyle name="Standaard 61 6 2 3 2" xfId="44997"/>
    <cellStyle name="Standaard 61 6 2 3 2 2" xfId="44998"/>
    <cellStyle name="Standaard 61 6 2 3 2 2 2" xfId="44999"/>
    <cellStyle name="Standaard 61 6 2 3 2 3" xfId="45000"/>
    <cellStyle name="Standaard 61 6 2 3 3" xfId="45001"/>
    <cellStyle name="Standaard 61 6 2 3 3 2" xfId="45002"/>
    <cellStyle name="Standaard 61 6 2 3 4" xfId="45003"/>
    <cellStyle name="Standaard 61 6 2 4" xfId="45004"/>
    <cellStyle name="Standaard 61 6 2 4 2" xfId="45005"/>
    <cellStyle name="Standaard 61 6 2 4 2 2" xfId="45006"/>
    <cellStyle name="Standaard 61 6 2 4 3" xfId="45007"/>
    <cellStyle name="Standaard 61 6 2 5" xfId="45008"/>
    <cellStyle name="Standaard 61 6 2 5 2" xfId="45009"/>
    <cellStyle name="Standaard 61 6 2 6" xfId="45010"/>
    <cellStyle name="Standaard 61 6 2 7" xfId="45011"/>
    <cellStyle name="Standaard 61 6 3" xfId="45012"/>
    <cellStyle name="Standaard 61 6 3 2" xfId="45013"/>
    <cellStyle name="Standaard 61 6 3 2 2" xfId="45014"/>
    <cellStyle name="Standaard 61 6 3 2 2 2" xfId="45015"/>
    <cellStyle name="Standaard 61 6 3 2 2 2 2" xfId="45016"/>
    <cellStyle name="Standaard 61 6 3 2 2 3" xfId="45017"/>
    <cellStyle name="Standaard 61 6 3 2 3" xfId="45018"/>
    <cellStyle name="Standaard 61 6 3 2 3 2" xfId="45019"/>
    <cellStyle name="Standaard 61 6 3 2 4" xfId="45020"/>
    <cellStyle name="Standaard 61 6 3 3" xfId="45021"/>
    <cellStyle name="Standaard 61 6 3 3 2" xfId="45022"/>
    <cellStyle name="Standaard 61 6 3 3 2 2" xfId="45023"/>
    <cellStyle name="Standaard 61 6 3 3 3" xfId="45024"/>
    <cellStyle name="Standaard 61 6 3 4" xfId="45025"/>
    <cellStyle name="Standaard 61 6 3 4 2" xfId="45026"/>
    <cellStyle name="Standaard 61 6 3 5" xfId="45027"/>
    <cellStyle name="Standaard 61 6 3 6" xfId="45028"/>
    <cellStyle name="Standaard 61 6 4" xfId="45029"/>
    <cellStyle name="Standaard 61 6 4 2" xfId="45030"/>
    <cellStyle name="Standaard 61 6 4 2 2" xfId="45031"/>
    <cellStyle name="Standaard 61 6 4 2 2 2" xfId="45032"/>
    <cellStyle name="Standaard 61 6 4 2 3" xfId="45033"/>
    <cellStyle name="Standaard 61 6 4 3" xfId="45034"/>
    <cellStyle name="Standaard 61 6 4 3 2" xfId="45035"/>
    <cellStyle name="Standaard 61 6 4 4" xfId="45036"/>
    <cellStyle name="Standaard 61 6 5" xfId="45037"/>
    <cellStyle name="Standaard 61 6 5 2" xfId="45038"/>
    <cellStyle name="Standaard 61 6 5 2 2" xfId="45039"/>
    <cellStyle name="Standaard 61 6 5 3" xfId="45040"/>
    <cellStyle name="Standaard 61 6 6" xfId="45041"/>
    <cellStyle name="Standaard 61 6 6 2" xfId="45042"/>
    <cellStyle name="Standaard 61 6 7" xfId="45043"/>
    <cellStyle name="Standaard 61 6 8" xfId="45044"/>
    <cellStyle name="Standaard 61 7" xfId="45045"/>
    <cellStyle name="Standaard 61 7 2" xfId="45046"/>
    <cellStyle name="Standaard 61 7 2 2" xfId="45047"/>
    <cellStyle name="Standaard 61 7 2 2 2" xfId="45048"/>
    <cellStyle name="Standaard 61 7 2 2 2 2" xfId="45049"/>
    <cellStyle name="Standaard 61 7 2 2 2 2 2" xfId="45050"/>
    <cellStyle name="Standaard 61 7 2 2 2 3" xfId="45051"/>
    <cellStyle name="Standaard 61 7 2 2 3" xfId="45052"/>
    <cellStyle name="Standaard 61 7 2 2 3 2" xfId="45053"/>
    <cellStyle name="Standaard 61 7 2 2 4" xfId="45054"/>
    <cellStyle name="Standaard 61 7 2 3" xfId="45055"/>
    <cellStyle name="Standaard 61 7 2 3 2" xfId="45056"/>
    <cellStyle name="Standaard 61 7 2 3 2 2" xfId="45057"/>
    <cellStyle name="Standaard 61 7 2 3 3" xfId="45058"/>
    <cellStyle name="Standaard 61 7 2 4" xfId="45059"/>
    <cellStyle name="Standaard 61 7 2 4 2" xfId="45060"/>
    <cellStyle name="Standaard 61 7 2 5" xfId="45061"/>
    <cellStyle name="Standaard 61 7 2 6" xfId="45062"/>
    <cellStyle name="Standaard 61 7 3" xfId="45063"/>
    <cellStyle name="Standaard 61 7 3 2" xfId="45064"/>
    <cellStyle name="Standaard 61 7 3 2 2" xfId="45065"/>
    <cellStyle name="Standaard 61 7 3 2 2 2" xfId="45066"/>
    <cellStyle name="Standaard 61 7 3 2 3" xfId="45067"/>
    <cellStyle name="Standaard 61 7 3 3" xfId="45068"/>
    <cellStyle name="Standaard 61 7 3 3 2" xfId="45069"/>
    <cellStyle name="Standaard 61 7 3 4" xfId="45070"/>
    <cellStyle name="Standaard 61 7 4" xfId="45071"/>
    <cellStyle name="Standaard 61 7 4 2" xfId="45072"/>
    <cellStyle name="Standaard 61 7 4 2 2" xfId="45073"/>
    <cellStyle name="Standaard 61 7 4 3" xfId="45074"/>
    <cellStyle name="Standaard 61 7 5" xfId="45075"/>
    <cellStyle name="Standaard 61 7 5 2" xfId="45076"/>
    <cellStyle name="Standaard 61 7 6" xfId="45077"/>
    <cellStyle name="Standaard 61 7 7" xfId="45078"/>
    <cellStyle name="Standaard 61 8" xfId="45079"/>
    <cellStyle name="Standaard 61 8 2" xfId="45080"/>
    <cellStyle name="Standaard 61 8 2 2" xfId="45081"/>
    <cellStyle name="Standaard 61 8 2 2 2" xfId="45082"/>
    <cellStyle name="Standaard 61 8 2 2 2 2" xfId="45083"/>
    <cellStyle name="Standaard 61 8 2 2 3" xfId="45084"/>
    <cellStyle name="Standaard 61 8 2 3" xfId="45085"/>
    <cellStyle name="Standaard 61 8 2 3 2" xfId="45086"/>
    <cellStyle name="Standaard 61 8 2 4" xfId="45087"/>
    <cellStyle name="Standaard 61 8 3" xfId="45088"/>
    <cellStyle name="Standaard 61 8 3 2" xfId="45089"/>
    <cellStyle name="Standaard 61 8 3 2 2" xfId="45090"/>
    <cellStyle name="Standaard 61 8 3 3" xfId="45091"/>
    <cellStyle name="Standaard 61 8 4" xfId="45092"/>
    <cellStyle name="Standaard 61 8 4 2" xfId="45093"/>
    <cellStyle name="Standaard 61 8 5" xfId="45094"/>
    <cellStyle name="Standaard 61 8 6" xfId="45095"/>
    <cellStyle name="Standaard 61 9" xfId="45096"/>
    <cellStyle name="Standaard 61 9 2" xfId="45097"/>
    <cellStyle name="Standaard 61 9 2 2" xfId="45098"/>
    <cellStyle name="Standaard 61 9 2 2 2" xfId="45099"/>
    <cellStyle name="Standaard 61 9 2 3" xfId="45100"/>
    <cellStyle name="Standaard 61 9 3" xfId="45101"/>
    <cellStyle name="Standaard 61 9 3 2" xfId="45102"/>
    <cellStyle name="Standaard 61 9 4" xfId="45103"/>
    <cellStyle name="Standaard 62" xfId="45104"/>
    <cellStyle name="Standaard 62 10" xfId="45105"/>
    <cellStyle name="Standaard 62 10 2" xfId="45106"/>
    <cellStyle name="Standaard 62 10 2 2" xfId="45107"/>
    <cellStyle name="Standaard 62 10 3" xfId="45108"/>
    <cellStyle name="Standaard 62 11" xfId="45109"/>
    <cellStyle name="Standaard 62 11 2" xfId="45110"/>
    <cellStyle name="Standaard 62 12" xfId="45111"/>
    <cellStyle name="Standaard 62 13" xfId="45112"/>
    <cellStyle name="Standaard 62 2" xfId="45113"/>
    <cellStyle name="Standaard 62 2 10" xfId="45114"/>
    <cellStyle name="Standaard 62 2 10 2" xfId="45115"/>
    <cellStyle name="Standaard 62 2 11" xfId="45116"/>
    <cellStyle name="Standaard 62 2 12" xfId="45117"/>
    <cellStyle name="Standaard 62 2 2" xfId="45118"/>
    <cellStyle name="Standaard 62 2 2 10" xfId="45119"/>
    <cellStyle name="Standaard 62 2 2 11" xfId="45120"/>
    <cellStyle name="Standaard 62 2 2 2" xfId="45121"/>
    <cellStyle name="Standaard 62 2 2 2 2" xfId="45122"/>
    <cellStyle name="Standaard 62 2 2 2 2 2" xfId="45123"/>
    <cellStyle name="Standaard 62 2 2 2 2 2 2" xfId="45124"/>
    <cellStyle name="Standaard 62 2 2 2 2 2 2 2" xfId="45125"/>
    <cellStyle name="Standaard 62 2 2 2 2 2 2 2 2" xfId="45126"/>
    <cellStyle name="Standaard 62 2 2 2 2 2 2 2 2 2" xfId="45127"/>
    <cellStyle name="Standaard 62 2 2 2 2 2 2 2 2 2 2" xfId="45128"/>
    <cellStyle name="Standaard 62 2 2 2 2 2 2 2 2 3" xfId="45129"/>
    <cellStyle name="Standaard 62 2 2 2 2 2 2 2 3" xfId="45130"/>
    <cellStyle name="Standaard 62 2 2 2 2 2 2 2 3 2" xfId="45131"/>
    <cellStyle name="Standaard 62 2 2 2 2 2 2 2 4" xfId="45132"/>
    <cellStyle name="Standaard 62 2 2 2 2 2 2 3" xfId="45133"/>
    <cellStyle name="Standaard 62 2 2 2 2 2 2 3 2" xfId="45134"/>
    <cellStyle name="Standaard 62 2 2 2 2 2 2 3 2 2" xfId="45135"/>
    <cellStyle name="Standaard 62 2 2 2 2 2 2 3 3" xfId="45136"/>
    <cellStyle name="Standaard 62 2 2 2 2 2 2 4" xfId="45137"/>
    <cellStyle name="Standaard 62 2 2 2 2 2 2 4 2" xfId="45138"/>
    <cellStyle name="Standaard 62 2 2 2 2 2 2 5" xfId="45139"/>
    <cellStyle name="Standaard 62 2 2 2 2 2 2 6" xfId="45140"/>
    <cellStyle name="Standaard 62 2 2 2 2 2 3" xfId="45141"/>
    <cellStyle name="Standaard 62 2 2 2 2 2 3 2" xfId="45142"/>
    <cellStyle name="Standaard 62 2 2 2 2 2 3 2 2" xfId="45143"/>
    <cellStyle name="Standaard 62 2 2 2 2 2 3 2 2 2" xfId="45144"/>
    <cellStyle name="Standaard 62 2 2 2 2 2 3 2 3" xfId="45145"/>
    <cellStyle name="Standaard 62 2 2 2 2 2 3 3" xfId="45146"/>
    <cellStyle name="Standaard 62 2 2 2 2 2 3 3 2" xfId="45147"/>
    <cellStyle name="Standaard 62 2 2 2 2 2 3 4" xfId="45148"/>
    <cellStyle name="Standaard 62 2 2 2 2 2 4" xfId="45149"/>
    <cellStyle name="Standaard 62 2 2 2 2 2 4 2" xfId="45150"/>
    <cellStyle name="Standaard 62 2 2 2 2 2 4 2 2" xfId="45151"/>
    <cellStyle name="Standaard 62 2 2 2 2 2 4 3" xfId="45152"/>
    <cellStyle name="Standaard 62 2 2 2 2 2 5" xfId="45153"/>
    <cellStyle name="Standaard 62 2 2 2 2 2 5 2" xfId="45154"/>
    <cellStyle name="Standaard 62 2 2 2 2 2 6" xfId="45155"/>
    <cellStyle name="Standaard 62 2 2 2 2 2 7" xfId="45156"/>
    <cellStyle name="Standaard 62 2 2 2 2 3" xfId="45157"/>
    <cellStyle name="Standaard 62 2 2 2 2 3 2" xfId="45158"/>
    <cellStyle name="Standaard 62 2 2 2 2 3 2 2" xfId="45159"/>
    <cellStyle name="Standaard 62 2 2 2 2 3 2 2 2" xfId="45160"/>
    <cellStyle name="Standaard 62 2 2 2 2 3 2 2 2 2" xfId="45161"/>
    <cellStyle name="Standaard 62 2 2 2 2 3 2 2 3" xfId="45162"/>
    <cellStyle name="Standaard 62 2 2 2 2 3 2 3" xfId="45163"/>
    <cellStyle name="Standaard 62 2 2 2 2 3 2 3 2" xfId="45164"/>
    <cellStyle name="Standaard 62 2 2 2 2 3 2 4" xfId="45165"/>
    <cellStyle name="Standaard 62 2 2 2 2 3 3" xfId="45166"/>
    <cellStyle name="Standaard 62 2 2 2 2 3 3 2" xfId="45167"/>
    <cellStyle name="Standaard 62 2 2 2 2 3 3 2 2" xfId="45168"/>
    <cellStyle name="Standaard 62 2 2 2 2 3 3 3" xfId="45169"/>
    <cellStyle name="Standaard 62 2 2 2 2 3 4" xfId="45170"/>
    <cellStyle name="Standaard 62 2 2 2 2 3 4 2" xfId="45171"/>
    <cellStyle name="Standaard 62 2 2 2 2 3 5" xfId="45172"/>
    <cellStyle name="Standaard 62 2 2 2 2 3 6" xfId="45173"/>
    <cellStyle name="Standaard 62 2 2 2 2 4" xfId="45174"/>
    <cellStyle name="Standaard 62 2 2 2 2 4 2" xfId="45175"/>
    <cellStyle name="Standaard 62 2 2 2 2 4 2 2" xfId="45176"/>
    <cellStyle name="Standaard 62 2 2 2 2 4 2 2 2" xfId="45177"/>
    <cellStyle name="Standaard 62 2 2 2 2 4 2 3" xfId="45178"/>
    <cellStyle name="Standaard 62 2 2 2 2 4 3" xfId="45179"/>
    <cellStyle name="Standaard 62 2 2 2 2 4 3 2" xfId="45180"/>
    <cellStyle name="Standaard 62 2 2 2 2 4 4" xfId="45181"/>
    <cellStyle name="Standaard 62 2 2 2 2 5" xfId="45182"/>
    <cellStyle name="Standaard 62 2 2 2 2 5 2" xfId="45183"/>
    <cellStyle name="Standaard 62 2 2 2 2 5 2 2" xfId="45184"/>
    <cellStyle name="Standaard 62 2 2 2 2 5 3" xfId="45185"/>
    <cellStyle name="Standaard 62 2 2 2 2 6" xfId="45186"/>
    <cellStyle name="Standaard 62 2 2 2 2 6 2" xfId="45187"/>
    <cellStyle name="Standaard 62 2 2 2 2 7" xfId="45188"/>
    <cellStyle name="Standaard 62 2 2 2 2 8" xfId="45189"/>
    <cellStyle name="Standaard 62 2 2 2 3" xfId="45190"/>
    <cellStyle name="Standaard 62 2 2 2 3 2" xfId="45191"/>
    <cellStyle name="Standaard 62 2 2 2 3 2 2" xfId="45192"/>
    <cellStyle name="Standaard 62 2 2 2 3 2 2 2" xfId="45193"/>
    <cellStyle name="Standaard 62 2 2 2 3 2 2 2 2" xfId="45194"/>
    <cellStyle name="Standaard 62 2 2 2 3 2 2 2 2 2" xfId="45195"/>
    <cellStyle name="Standaard 62 2 2 2 3 2 2 2 3" xfId="45196"/>
    <cellStyle name="Standaard 62 2 2 2 3 2 2 3" xfId="45197"/>
    <cellStyle name="Standaard 62 2 2 2 3 2 2 3 2" xfId="45198"/>
    <cellStyle name="Standaard 62 2 2 2 3 2 2 4" xfId="45199"/>
    <cellStyle name="Standaard 62 2 2 2 3 2 3" xfId="45200"/>
    <cellStyle name="Standaard 62 2 2 2 3 2 3 2" xfId="45201"/>
    <cellStyle name="Standaard 62 2 2 2 3 2 3 2 2" xfId="45202"/>
    <cellStyle name="Standaard 62 2 2 2 3 2 3 3" xfId="45203"/>
    <cellStyle name="Standaard 62 2 2 2 3 2 4" xfId="45204"/>
    <cellStyle name="Standaard 62 2 2 2 3 2 4 2" xfId="45205"/>
    <cellStyle name="Standaard 62 2 2 2 3 2 5" xfId="45206"/>
    <cellStyle name="Standaard 62 2 2 2 3 2 6" xfId="45207"/>
    <cellStyle name="Standaard 62 2 2 2 3 3" xfId="45208"/>
    <cellStyle name="Standaard 62 2 2 2 3 3 2" xfId="45209"/>
    <cellStyle name="Standaard 62 2 2 2 3 3 2 2" xfId="45210"/>
    <cellStyle name="Standaard 62 2 2 2 3 3 2 2 2" xfId="45211"/>
    <cellStyle name="Standaard 62 2 2 2 3 3 2 3" xfId="45212"/>
    <cellStyle name="Standaard 62 2 2 2 3 3 3" xfId="45213"/>
    <cellStyle name="Standaard 62 2 2 2 3 3 3 2" xfId="45214"/>
    <cellStyle name="Standaard 62 2 2 2 3 3 4" xfId="45215"/>
    <cellStyle name="Standaard 62 2 2 2 3 4" xfId="45216"/>
    <cellStyle name="Standaard 62 2 2 2 3 4 2" xfId="45217"/>
    <cellStyle name="Standaard 62 2 2 2 3 4 2 2" xfId="45218"/>
    <cellStyle name="Standaard 62 2 2 2 3 4 3" xfId="45219"/>
    <cellStyle name="Standaard 62 2 2 2 3 5" xfId="45220"/>
    <cellStyle name="Standaard 62 2 2 2 3 5 2" xfId="45221"/>
    <cellStyle name="Standaard 62 2 2 2 3 6" xfId="45222"/>
    <cellStyle name="Standaard 62 2 2 2 3 7" xfId="45223"/>
    <cellStyle name="Standaard 62 2 2 2 4" xfId="45224"/>
    <cellStyle name="Standaard 62 2 2 2 4 2" xfId="45225"/>
    <cellStyle name="Standaard 62 2 2 2 4 2 2" xfId="45226"/>
    <cellStyle name="Standaard 62 2 2 2 4 2 2 2" xfId="45227"/>
    <cellStyle name="Standaard 62 2 2 2 4 2 2 2 2" xfId="45228"/>
    <cellStyle name="Standaard 62 2 2 2 4 2 2 3" xfId="45229"/>
    <cellStyle name="Standaard 62 2 2 2 4 2 3" xfId="45230"/>
    <cellStyle name="Standaard 62 2 2 2 4 2 3 2" xfId="45231"/>
    <cellStyle name="Standaard 62 2 2 2 4 2 4" xfId="45232"/>
    <cellStyle name="Standaard 62 2 2 2 4 3" xfId="45233"/>
    <cellStyle name="Standaard 62 2 2 2 4 3 2" xfId="45234"/>
    <cellStyle name="Standaard 62 2 2 2 4 3 2 2" xfId="45235"/>
    <cellStyle name="Standaard 62 2 2 2 4 3 3" xfId="45236"/>
    <cellStyle name="Standaard 62 2 2 2 4 4" xfId="45237"/>
    <cellStyle name="Standaard 62 2 2 2 4 4 2" xfId="45238"/>
    <cellStyle name="Standaard 62 2 2 2 4 5" xfId="45239"/>
    <cellStyle name="Standaard 62 2 2 2 4 6" xfId="45240"/>
    <cellStyle name="Standaard 62 2 2 2 5" xfId="45241"/>
    <cellStyle name="Standaard 62 2 2 2 5 2" xfId="45242"/>
    <cellStyle name="Standaard 62 2 2 2 5 2 2" xfId="45243"/>
    <cellStyle name="Standaard 62 2 2 2 5 2 2 2" xfId="45244"/>
    <cellStyle name="Standaard 62 2 2 2 5 2 3" xfId="45245"/>
    <cellStyle name="Standaard 62 2 2 2 5 3" xfId="45246"/>
    <cellStyle name="Standaard 62 2 2 2 5 3 2" xfId="45247"/>
    <cellStyle name="Standaard 62 2 2 2 5 4" xfId="45248"/>
    <cellStyle name="Standaard 62 2 2 2 6" xfId="45249"/>
    <cellStyle name="Standaard 62 2 2 2 6 2" xfId="45250"/>
    <cellStyle name="Standaard 62 2 2 2 6 2 2" xfId="45251"/>
    <cellStyle name="Standaard 62 2 2 2 6 3" xfId="45252"/>
    <cellStyle name="Standaard 62 2 2 2 7" xfId="45253"/>
    <cellStyle name="Standaard 62 2 2 2 7 2" xfId="45254"/>
    <cellStyle name="Standaard 62 2 2 2 8" xfId="45255"/>
    <cellStyle name="Standaard 62 2 2 2 9" xfId="45256"/>
    <cellStyle name="Standaard 62 2 2 3" xfId="45257"/>
    <cellStyle name="Standaard 62 2 2 3 2" xfId="45258"/>
    <cellStyle name="Standaard 62 2 2 3 2 2" xfId="45259"/>
    <cellStyle name="Standaard 62 2 2 3 2 2 2" xfId="45260"/>
    <cellStyle name="Standaard 62 2 2 3 2 2 2 2" xfId="45261"/>
    <cellStyle name="Standaard 62 2 2 3 2 2 2 2 2" xfId="45262"/>
    <cellStyle name="Standaard 62 2 2 3 2 2 2 2 2 2" xfId="45263"/>
    <cellStyle name="Standaard 62 2 2 3 2 2 2 2 3" xfId="45264"/>
    <cellStyle name="Standaard 62 2 2 3 2 2 2 3" xfId="45265"/>
    <cellStyle name="Standaard 62 2 2 3 2 2 2 3 2" xfId="45266"/>
    <cellStyle name="Standaard 62 2 2 3 2 2 2 4" xfId="45267"/>
    <cellStyle name="Standaard 62 2 2 3 2 2 3" xfId="45268"/>
    <cellStyle name="Standaard 62 2 2 3 2 2 3 2" xfId="45269"/>
    <cellStyle name="Standaard 62 2 2 3 2 2 3 2 2" xfId="45270"/>
    <cellStyle name="Standaard 62 2 2 3 2 2 3 3" xfId="45271"/>
    <cellStyle name="Standaard 62 2 2 3 2 2 4" xfId="45272"/>
    <cellStyle name="Standaard 62 2 2 3 2 2 4 2" xfId="45273"/>
    <cellStyle name="Standaard 62 2 2 3 2 2 5" xfId="45274"/>
    <cellStyle name="Standaard 62 2 2 3 2 2 6" xfId="45275"/>
    <cellStyle name="Standaard 62 2 2 3 2 3" xfId="45276"/>
    <cellStyle name="Standaard 62 2 2 3 2 3 2" xfId="45277"/>
    <cellStyle name="Standaard 62 2 2 3 2 3 2 2" xfId="45278"/>
    <cellStyle name="Standaard 62 2 2 3 2 3 2 2 2" xfId="45279"/>
    <cellStyle name="Standaard 62 2 2 3 2 3 2 3" xfId="45280"/>
    <cellStyle name="Standaard 62 2 2 3 2 3 3" xfId="45281"/>
    <cellStyle name="Standaard 62 2 2 3 2 3 3 2" xfId="45282"/>
    <cellStyle name="Standaard 62 2 2 3 2 3 4" xfId="45283"/>
    <cellStyle name="Standaard 62 2 2 3 2 4" xfId="45284"/>
    <cellStyle name="Standaard 62 2 2 3 2 4 2" xfId="45285"/>
    <cellStyle name="Standaard 62 2 2 3 2 4 2 2" xfId="45286"/>
    <cellStyle name="Standaard 62 2 2 3 2 4 3" xfId="45287"/>
    <cellStyle name="Standaard 62 2 2 3 2 5" xfId="45288"/>
    <cellStyle name="Standaard 62 2 2 3 2 5 2" xfId="45289"/>
    <cellStyle name="Standaard 62 2 2 3 2 6" xfId="45290"/>
    <cellStyle name="Standaard 62 2 2 3 2 7" xfId="45291"/>
    <cellStyle name="Standaard 62 2 2 3 3" xfId="45292"/>
    <cellStyle name="Standaard 62 2 2 3 3 2" xfId="45293"/>
    <cellStyle name="Standaard 62 2 2 3 3 2 2" xfId="45294"/>
    <cellStyle name="Standaard 62 2 2 3 3 2 2 2" xfId="45295"/>
    <cellStyle name="Standaard 62 2 2 3 3 2 2 2 2" xfId="45296"/>
    <cellStyle name="Standaard 62 2 2 3 3 2 2 3" xfId="45297"/>
    <cellStyle name="Standaard 62 2 2 3 3 2 3" xfId="45298"/>
    <cellStyle name="Standaard 62 2 2 3 3 2 3 2" xfId="45299"/>
    <cellStyle name="Standaard 62 2 2 3 3 2 4" xfId="45300"/>
    <cellStyle name="Standaard 62 2 2 3 3 3" xfId="45301"/>
    <cellStyle name="Standaard 62 2 2 3 3 3 2" xfId="45302"/>
    <cellStyle name="Standaard 62 2 2 3 3 3 2 2" xfId="45303"/>
    <cellStyle name="Standaard 62 2 2 3 3 3 3" xfId="45304"/>
    <cellStyle name="Standaard 62 2 2 3 3 4" xfId="45305"/>
    <cellStyle name="Standaard 62 2 2 3 3 4 2" xfId="45306"/>
    <cellStyle name="Standaard 62 2 2 3 3 5" xfId="45307"/>
    <cellStyle name="Standaard 62 2 2 3 3 6" xfId="45308"/>
    <cellStyle name="Standaard 62 2 2 3 4" xfId="45309"/>
    <cellStyle name="Standaard 62 2 2 3 4 2" xfId="45310"/>
    <cellStyle name="Standaard 62 2 2 3 4 2 2" xfId="45311"/>
    <cellStyle name="Standaard 62 2 2 3 4 2 2 2" xfId="45312"/>
    <cellStyle name="Standaard 62 2 2 3 4 2 3" xfId="45313"/>
    <cellStyle name="Standaard 62 2 2 3 4 3" xfId="45314"/>
    <cellStyle name="Standaard 62 2 2 3 4 3 2" xfId="45315"/>
    <cellStyle name="Standaard 62 2 2 3 4 4" xfId="45316"/>
    <cellStyle name="Standaard 62 2 2 3 5" xfId="45317"/>
    <cellStyle name="Standaard 62 2 2 3 5 2" xfId="45318"/>
    <cellStyle name="Standaard 62 2 2 3 5 2 2" xfId="45319"/>
    <cellStyle name="Standaard 62 2 2 3 5 3" xfId="45320"/>
    <cellStyle name="Standaard 62 2 2 3 6" xfId="45321"/>
    <cellStyle name="Standaard 62 2 2 3 6 2" xfId="45322"/>
    <cellStyle name="Standaard 62 2 2 3 7" xfId="45323"/>
    <cellStyle name="Standaard 62 2 2 3 8" xfId="45324"/>
    <cellStyle name="Standaard 62 2 2 4" xfId="45325"/>
    <cellStyle name="Standaard 62 2 2 4 2" xfId="45326"/>
    <cellStyle name="Standaard 62 2 2 4 2 2" xfId="45327"/>
    <cellStyle name="Standaard 62 2 2 4 2 2 2" xfId="45328"/>
    <cellStyle name="Standaard 62 2 2 4 2 2 2 2" xfId="45329"/>
    <cellStyle name="Standaard 62 2 2 4 2 2 2 2 2" xfId="45330"/>
    <cellStyle name="Standaard 62 2 2 4 2 2 2 2 2 2" xfId="45331"/>
    <cellStyle name="Standaard 62 2 2 4 2 2 2 2 3" xfId="45332"/>
    <cellStyle name="Standaard 62 2 2 4 2 2 2 3" xfId="45333"/>
    <cellStyle name="Standaard 62 2 2 4 2 2 2 3 2" xfId="45334"/>
    <cellStyle name="Standaard 62 2 2 4 2 2 2 4" xfId="45335"/>
    <cellStyle name="Standaard 62 2 2 4 2 2 3" xfId="45336"/>
    <cellStyle name="Standaard 62 2 2 4 2 2 3 2" xfId="45337"/>
    <cellStyle name="Standaard 62 2 2 4 2 2 3 2 2" xfId="45338"/>
    <cellStyle name="Standaard 62 2 2 4 2 2 3 3" xfId="45339"/>
    <cellStyle name="Standaard 62 2 2 4 2 2 4" xfId="45340"/>
    <cellStyle name="Standaard 62 2 2 4 2 2 4 2" xfId="45341"/>
    <cellStyle name="Standaard 62 2 2 4 2 2 5" xfId="45342"/>
    <cellStyle name="Standaard 62 2 2 4 2 2 6" xfId="45343"/>
    <cellStyle name="Standaard 62 2 2 4 2 3" xfId="45344"/>
    <cellStyle name="Standaard 62 2 2 4 2 3 2" xfId="45345"/>
    <cellStyle name="Standaard 62 2 2 4 2 3 2 2" xfId="45346"/>
    <cellStyle name="Standaard 62 2 2 4 2 3 2 2 2" xfId="45347"/>
    <cellStyle name="Standaard 62 2 2 4 2 3 2 3" xfId="45348"/>
    <cellStyle name="Standaard 62 2 2 4 2 3 3" xfId="45349"/>
    <cellStyle name="Standaard 62 2 2 4 2 3 3 2" xfId="45350"/>
    <cellStyle name="Standaard 62 2 2 4 2 3 4" xfId="45351"/>
    <cellStyle name="Standaard 62 2 2 4 2 4" xfId="45352"/>
    <cellStyle name="Standaard 62 2 2 4 2 4 2" xfId="45353"/>
    <cellStyle name="Standaard 62 2 2 4 2 4 2 2" xfId="45354"/>
    <cellStyle name="Standaard 62 2 2 4 2 4 3" xfId="45355"/>
    <cellStyle name="Standaard 62 2 2 4 2 5" xfId="45356"/>
    <cellStyle name="Standaard 62 2 2 4 2 5 2" xfId="45357"/>
    <cellStyle name="Standaard 62 2 2 4 2 6" xfId="45358"/>
    <cellStyle name="Standaard 62 2 2 4 2 7" xfId="45359"/>
    <cellStyle name="Standaard 62 2 2 4 3" xfId="45360"/>
    <cellStyle name="Standaard 62 2 2 4 3 2" xfId="45361"/>
    <cellStyle name="Standaard 62 2 2 4 3 2 2" xfId="45362"/>
    <cellStyle name="Standaard 62 2 2 4 3 2 2 2" xfId="45363"/>
    <cellStyle name="Standaard 62 2 2 4 3 2 2 2 2" xfId="45364"/>
    <cellStyle name="Standaard 62 2 2 4 3 2 2 3" xfId="45365"/>
    <cellStyle name="Standaard 62 2 2 4 3 2 3" xfId="45366"/>
    <cellStyle name="Standaard 62 2 2 4 3 2 3 2" xfId="45367"/>
    <cellStyle name="Standaard 62 2 2 4 3 2 4" xfId="45368"/>
    <cellStyle name="Standaard 62 2 2 4 3 3" xfId="45369"/>
    <cellStyle name="Standaard 62 2 2 4 3 3 2" xfId="45370"/>
    <cellStyle name="Standaard 62 2 2 4 3 3 2 2" xfId="45371"/>
    <cellStyle name="Standaard 62 2 2 4 3 3 3" xfId="45372"/>
    <cellStyle name="Standaard 62 2 2 4 3 4" xfId="45373"/>
    <cellStyle name="Standaard 62 2 2 4 3 4 2" xfId="45374"/>
    <cellStyle name="Standaard 62 2 2 4 3 5" xfId="45375"/>
    <cellStyle name="Standaard 62 2 2 4 3 6" xfId="45376"/>
    <cellStyle name="Standaard 62 2 2 4 4" xfId="45377"/>
    <cellStyle name="Standaard 62 2 2 4 4 2" xfId="45378"/>
    <cellStyle name="Standaard 62 2 2 4 4 2 2" xfId="45379"/>
    <cellStyle name="Standaard 62 2 2 4 4 2 2 2" xfId="45380"/>
    <cellStyle name="Standaard 62 2 2 4 4 2 3" xfId="45381"/>
    <cellStyle name="Standaard 62 2 2 4 4 3" xfId="45382"/>
    <cellStyle name="Standaard 62 2 2 4 4 3 2" xfId="45383"/>
    <cellStyle name="Standaard 62 2 2 4 4 4" xfId="45384"/>
    <cellStyle name="Standaard 62 2 2 4 5" xfId="45385"/>
    <cellStyle name="Standaard 62 2 2 4 5 2" xfId="45386"/>
    <cellStyle name="Standaard 62 2 2 4 5 2 2" xfId="45387"/>
    <cellStyle name="Standaard 62 2 2 4 5 3" xfId="45388"/>
    <cellStyle name="Standaard 62 2 2 4 6" xfId="45389"/>
    <cellStyle name="Standaard 62 2 2 4 6 2" xfId="45390"/>
    <cellStyle name="Standaard 62 2 2 4 7" xfId="45391"/>
    <cellStyle name="Standaard 62 2 2 4 8" xfId="45392"/>
    <cellStyle name="Standaard 62 2 2 5" xfId="45393"/>
    <cellStyle name="Standaard 62 2 2 5 2" xfId="45394"/>
    <cellStyle name="Standaard 62 2 2 5 2 2" xfId="45395"/>
    <cellStyle name="Standaard 62 2 2 5 2 2 2" xfId="45396"/>
    <cellStyle name="Standaard 62 2 2 5 2 2 2 2" xfId="45397"/>
    <cellStyle name="Standaard 62 2 2 5 2 2 2 2 2" xfId="45398"/>
    <cellStyle name="Standaard 62 2 2 5 2 2 2 3" xfId="45399"/>
    <cellStyle name="Standaard 62 2 2 5 2 2 3" xfId="45400"/>
    <cellStyle name="Standaard 62 2 2 5 2 2 3 2" xfId="45401"/>
    <cellStyle name="Standaard 62 2 2 5 2 2 4" xfId="45402"/>
    <cellStyle name="Standaard 62 2 2 5 2 3" xfId="45403"/>
    <cellStyle name="Standaard 62 2 2 5 2 3 2" xfId="45404"/>
    <cellStyle name="Standaard 62 2 2 5 2 3 2 2" xfId="45405"/>
    <cellStyle name="Standaard 62 2 2 5 2 3 3" xfId="45406"/>
    <cellStyle name="Standaard 62 2 2 5 2 4" xfId="45407"/>
    <cellStyle name="Standaard 62 2 2 5 2 4 2" xfId="45408"/>
    <cellStyle name="Standaard 62 2 2 5 2 5" xfId="45409"/>
    <cellStyle name="Standaard 62 2 2 5 2 6" xfId="45410"/>
    <cellStyle name="Standaard 62 2 2 5 3" xfId="45411"/>
    <cellStyle name="Standaard 62 2 2 5 3 2" xfId="45412"/>
    <cellStyle name="Standaard 62 2 2 5 3 2 2" xfId="45413"/>
    <cellStyle name="Standaard 62 2 2 5 3 2 2 2" xfId="45414"/>
    <cellStyle name="Standaard 62 2 2 5 3 2 3" xfId="45415"/>
    <cellStyle name="Standaard 62 2 2 5 3 3" xfId="45416"/>
    <cellStyle name="Standaard 62 2 2 5 3 3 2" xfId="45417"/>
    <cellStyle name="Standaard 62 2 2 5 3 4" xfId="45418"/>
    <cellStyle name="Standaard 62 2 2 5 4" xfId="45419"/>
    <cellStyle name="Standaard 62 2 2 5 4 2" xfId="45420"/>
    <cellStyle name="Standaard 62 2 2 5 4 2 2" xfId="45421"/>
    <cellStyle name="Standaard 62 2 2 5 4 3" xfId="45422"/>
    <cellStyle name="Standaard 62 2 2 5 5" xfId="45423"/>
    <cellStyle name="Standaard 62 2 2 5 5 2" xfId="45424"/>
    <cellStyle name="Standaard 62 2 2 5 6" xfId="45425"/>
    <cellStyle name="Standaard 62 2 2 5 7" xfId="45426"/>
    <cellStyle name="Standaard 62 2 2 6" xfId="45427"/>
    <cellStyle name="Standaard 62 2 2 6 2" xfId="45428"/>
    <cellStyle name="Standaard 62 2 2 6 2 2" xfId="45429"/>
    <cellStyle name="Standaard 62 2 2 6 2 2 2" xfId="45430"/>
    <cellStyle name="Standaard 62 2 2 6 2 2 2 2" xfId="45431"/>
    <cellStyle name="Standaard 62 2 2 6 2 2 3" xfId="45432"/>
    <cellStyle name="Standaard 62 2 2 6 2 3" xfId="45433"/>
    <cellStyle name="Standaard 62 2 2 6 2 3 2" xfId="45434"/>
    <cellStyle name="Standaard 62 2 2 6 2 4" xfId="45435"/>
    <cellStyle name="Standaard 62 2 2 6 3" xfId="45436"/>
    <cellStyle name="Standaard 62 2 2 6 3 2" xfId="45437"/>
    <cellStyle name="Standaard 62 2 2 6 3 2 2" xfId="45438"/>
    <cellStyle name="Standaard 62 2 2 6 3 3" xfId="45439"/>
    <cellStyle name="Standaard 62 2 2 6 4" xfId="45440"/>
    <cellStyle name="Standaard 62 2 2 6 4 2" xfId="45441"/>
    <cellStyle name="Standaard 62 2 2 6 5" xfId="45442"/>
    <cellStyle name="Standaard 62 2 2 6 6" xfId="45443"/>
    <cellStyle name="Standaard 62 2 2 7" xfId="45444"/>
    <cellStyle name="Standaard 62 2 2 7 2" xfId="45445"/>
    <cellStyle name="Standaard 62 2 2 7 2 2" xfId="45446"/>
    <cellStyle name="Standaard 62 2 2 7 2 2 2" xfId="45447"/>
    <cellStyle name="Standaard 62 2 2 7 2 3" xfId="45448"/>
    <cellStyle name="Standaard 62 2 2 7 3" xfId="45449"/>
    <cellStyle name="Standaard 62 2 2 7 3 2" xfId="45450"/>
    <cellStyle name="Standaard 62 2 2 7 4" xfId="45451"/>
    <cellStyle name="Standaard 62 2 2 8" xfId="45452"/>
    <cellStyle name="Standaard 62 2 2 8 2" xfId="45453"/>
    <cellStyle name="Standaard 62 2 2 8 2 2" xfId="45454"/>
    <cellStyle name="Standaard 62 2 2 8 3" xfId="45455"/>
    <cellStyle name="Standaard 62 2 2 9" xfId="45456"/>
    <cellStyle name="Standaard 62 2 2 9 2" xfId="45457"/>
    <cellStyle name="Standaard 62 2 3" xfId="45458"/>
    <cellStyle name="Standaard 62 2 3 2" xfId="45459"/>
    <cellStyle name="Standaard 62 2 3 2 2" xfId="45460"/>
    <cellStyle name="Standaard 62 2 3 2 2 2" xfId="45461"/>
    <cellStyle name="Standaard 62 2 3 2 2 2 2" xfId="45462"/>
    <cellStyle name="Standaard 62 2 3 2 2 2 2 2" xfId="45463"/>
    <cellStyle name="Standaard 62 2 3 2 2 2 2 2 2" xfId="45464"/>
    <cellStyle name="Standaard 62 2 3 2 2 2 2 2 2 2" xfId="45465"/>
    <cellStyle name="Standaard 62 2 3 2 2 2 2 2 3" xfId="45466"/>
    <cellStyle name="Standaard 62 2 3 2 2 2 2 3" xfId="45467"/>
    <cellStyle name="Standaard 62 2 3 2 2 2 2 3 2" xfId="45468"/>
    <cellStyle name="Standaard 62 2 3 2 2 2 2 4" xfId="45469"/>
    <cellStyle name="Standaard 62 2 3 2 2 2 3" xfId="45470"/>
    <cellStyle name="Standaard 62 2 3 2 2 2 3 2" xfId="45471"/>
    <cellStyle name="Standaard 62 2 3 2 2 2 3 2 2" xfId="45472"/>
    <cellStyle name="Standaard 62 2 3 2 2 2 3 3" xfId="45473"/>
    <cellStyle name="Standaard 62 2 3 2 2 2 4" xfId="45474"/>
    <cellStyle name="Standaard 62 2 3 2 2 2 4 2" xfId="45475"/>
    <cellStyle name="Standaard 62 2 3 2 2 2 5" xfId="45476"/>
    <cellStyle name="Standaard 62 2 3 2 2 2 6" xfId="45477"/>
    <cellStyle name="Standaard 62 2 3 2 2 3" xfId="45478"/>
    <cellStyle name="Standaard 62 2 3 2 2 3 2" xfId="45479"/>
    <cellStyle name="Standaard 62 2 3 2 2 3 2 2" xfId="45480"/>
    <cellStyle name="Standaard 62 2 3 2 2 3 2 2 2" xfId="45481"/>
    <cellStyle name="Standaard 62 2 3 2 2 3 2 3" xfId="45482"/>
    <cellStyle name="Standaard 62 2 3 2 2 3 3" xfId="45483"/>
    <cellStyle name="Standaard 62 2 3 2 2 3 3 2" xfId="45484"/>
    <cellStyle name="Standaard 62 2 3 2 2 3 4" xfId="45485"/>
    <cellStyle name="Standaard 62 2 3 2 2 4" xfId="45486"/>
    <cellStyle name="Standaard 62 2 3 2 2 4 2" xfId="45487"/>
    <cellStyle name="Standaard 62 2 3 2 2 4 2 2" xfId="45488"/>
    <cellStyle name="Standaard 62 2 3 2 2 4 3" xfId="45489"/>
    <cellStyle name="Standaard 62 2 3 2 2 5" xfId="45490"/>
    <cellStyle name="Standaard 62 2 3 2 2 5 2" xfId="45491"/>
    <cellStyle name="Standaard 62 2 3 2 2 6" xfId="45492"/>
    <cellStyle name="Standaard 62 2 3 2 2 7" xfId="45493"/>
    <cellStyle name="Standaard 62 2 3 2 3" xfId="45494"/>
    <cellStyle name="Standaard 62 2 3 2 3 2" xfId="45495"/>
    <cellStyle name="Standaard 62 2 3 2 3 2 2" xfId="45496"/>
    <cellStyle name="Standaard 62 2 3 2 3 2 2 2" xfId="45497"/>
    <cellStyle name="Standaard 62 2 3 2 3 2 2 2 2" xfId="45498"/>
    <cellStyle name="Standaard 62 2 3 2 3 2 2 3" xfId="45499"/>
    <cellStyle name="Standaard 62 2 3 2 3 2 3" xfId="45500"/>
    <cellStyle name="Standaard 62 2 3 2 3 2 3 2" xfId="45501"/>
    <cellStyle name="Standaard 62 2 3 2 3 2 4" xfId="45502"/>
    <cellStyle name="Standaard 62 2 3 2 3 3" xfId="45503"/>
    <cellStyle name="Standaard 62 2 3 2 3 3 2" xfId="45504"/>
    <cellStyle name="Standaard 62 2 3 2 3 3 2 2" xfId="45505"/>
    <cellStyle name="Standaard 62 2 3 2 3 3 3" xfId="45506"/>
    <cellStyle name="Standaard 62 2 3 2 3 4" xfId="45507"/>
    <cellStyle name="Standaard 62 2 3 2 3 4 2" xfId="45508"/>
    <cellStyle name="Standaard 62 2 3 2 3 5" xfId="45509"/>
    <cellStyle name="Standaard 62 2 3 2 3 6" xfId="45510"/>
    <cellStyle name="Standaard 62 2 3 2 4" xfId="45511"/>
    <cellStyle name="Standaard 62 2 3 2 4 2" xfId="45512"/>
    <cellStyle name="Standaard 62 2 3 2 4 2 2" xfId="45513"/>
    <cellStyle name="Standaard 62 2 3 2 4 2 2 2" xfId="45514"/>
    <cellStyle name="Standaard 62 2 3 2 4 2 3" xfId="45515"/>
    <cellStyle name="Standaard 62 2 3 2 4 3" xfId="45516"/>
    <cellStyle name="Standaard 62 2 3 2 4 3 2" xfId="45517"/>
    <cellStyle name="Standaard 62 2 3 2 4 4" xfId="45518"/>
    <cellStyle name="Standaard 62 2 3 2 5" xfId="45519"/>
    <cellStyle name="Standaard 62 2 3 2 5 2" xfId="45520"/>
    <cellStyle name="Standaard 62 2 3 2 5 2 2" xfId="45521"/>
    <cellStyle name="Standaard 62 2 3 2 5 3" xfId="45522"/>
    <cellStyle name="Standaard 62 2 3 2 6" xfId="45523"/>
    <cellStyle name="Standaard 62 2 3 2 6 2" xfId="45524"/>
    <cellStyle name="Standaard 62 2 3 2 7" xfId="45525"/>
    <cellStyle name="Standaard 62 2 3 2 8" xfId="45526"/>
    <cellStyle name="Standaard 62 2 3 3" xfId="45527"/>
    <cellStyle name="Standaard 62 2 3 3 2" xfId="45528"/>
    <cellStyle name="Standaard 62 2 3 3 2 2" xfId="45529"/>
    <cellStyle name="Standaard 62 2 3 3 2 2 2" xfId="45530"/>
    <cellStyle name="Standaard 62 2 3 3 2 2 2 2" xfId="45531"/>
    <cellStyle name="Standaard 62 2 3 3 2 2 2 2 2" xfId="45532"/>
    <cellStyle name="Standaard 62 2 3 3 2 2 2 3" xfId="45533"/>
    <cellStyle name="Standaard 62 2 3 3 2 2 3" xfId="45534"/>
    <cellStyle name="Standaard 62 2 3 3 2 2 3 2" xfId="45535"/>
    <cellStyle name="Standaard 62 2 3 3 2 2 4" xfId="45536"/>
    <cellStyle name="Standaard 62 2 3 3 2 3" xfId="45537"/>
    <cellStyle name="Standaard 62 2 3 3 2 3 2" xfId="45538"/>
    <cellStyle name="Standaard 62 2 3 3 2 3 2 2" xfId="45539"/>
    <cellStyle name="Standaard 62 2 3 3 2 3 3" xfId="45540"/>
    <cellStyle name="Standaard 62 2 3 3 2 4" xfId="45541"/>
    <cellStyle name="Standaard 62 2 3 3 2 4 2" xfId="45542"/>
    <cellStyle name="Standaard 62 2 3 3 2 5" xfId="45543"/>
    <cellStyle name="Standaard 62 2 3 3 2 6" xfId="45544"/>
    <cellStyle name="Standaard 62 2 3 3 3" xfId="45545"/>
    <cellStyle name="Standaard 62 2 3 3 3 2" xfId="45546"/>
    <cellStyle name="Standaard 62 2 3 3 3 2 2" xfId="45547"/>
    <cellStyle name="Standaard 62 2 3 3 3 2 2 2" xfId="45548"/>
    <cellStyle name="Standaard 62 2 3 3 3 2 3" xfId="45549"/>
    <cellStyle name="Standaard 62 2 3 3 3 3" xfId="45550"/>
    <cellStyle name="Standaard 62 2 3 3 3 3 2" xfId="45551"/>
    <cellStyle name="Standaard 62 2 3 3 3 4" xfId="45552"/>
    <cellStyle name="Standaard 62 2 3 3 4" xfId="45553"/>
    <cellStyle name="Standaard 62 2 3 3 4 2" xfId="45554"/>
    <cellStyle name="Standaard 62 2 3 3 4 2 2" xfId="45555"/>
    <cellStyle name="Standaard 62 2 3 3 4 3" xfId="45556"/>
    <cellStyle name="Standaard 62 2 3 3 5" xfId="45557"/>
    <cellStyle name="Standaard 62 2 3 3 5 2" xfId="45558"/>
    <cellStyle name="Standaard 62 2 3 3 6" xfId="45559"/>
    <cellStyle name="Standaard 62 2 3 3 7" xfId="45560"/>
    <cellStyle name="Standaard 62 2 3 4" xfId="45561"/>
    <cellStyle name="Standaard 62 2 3 4 2" xfId="45562"/>
    <cellStyle name="Standaard 62 2 3 4 2 2" xfId="45563"/>
    <cellStyle name="Standaard 62 2 3 4 2 2 2" xfId="45564"/>
    <cellStyle name="Standaard 62 2 3 4 2 2 2 2" xfId="45565"/>
    <cellStyle name="Standaard 62 2 3 4 2 2 3" xfId="45566"/>
    <cellStyle name="Standaard 62 2 3 4 2 3" xfId="45567"/>
    <cellStyle name="Standaard 62 2 3 4 2 3 2" xfId="45568"/>
    <cellStyle name="Standaard 62 2 3 4 2 4" xfId="45569"/>
    <cellStyle name="Standaard 62 2 3 4 3" xfId="45570"/>
    <cellStyle name="Standaard 62 2 3 4 3 2" xfId="45571"/>
    <cellStyle name="Standaard 62 2 3 4 3 2 2" xfId="45572"/>
    <cellStyle name="Standaard 62 2 3 4 3 3" xfId="45573"/>
    <cellStyle name="Standaard 62 2 3 4 4" xfId="45574"/>
    <cellStyle name="Standaard 62 2 3 4 4 2" xfId="45575"/>
    <cellStyle name="Standaard 62 2 3 4 5" xfId="45576"/>
    <cellStyle name="Standaard 62 2 3 4 6" xfId="45577"/>
    <cellStyle name="Standaard 62 2 3 5" xfId="45578"/>
    <cellStyle name="Standaard 62 2 3 5 2" xfId="45579"/>
    <cellStyle name="Standaard 62 2 3 5 2 2" xfId="45580"/>
    <cellStyle name="Standaard 62 2 3 5 2 2 2" xfId="45581"/>
    <cellStyle name="Standaard 62 2 3 5 2 3" xfId="45582"/>
    <cellStyle name="Standaard 62 2 3 5 3" xfId="45583"/>
    <cellStyle name="Standaard 62 2 3 5 3 2" xfId="45584"/>
    <cellStyle name="Standaard 62 2 3 5 4" xfId="45585"/>
    <cellStyle name="Standaard 62 2 3 6" xfId="45586"/>
    <cellStyle name="Standaard 62 2 3 6 2" xfId="45587"/>
    <cellStyle name="Standaard 62 2 3 6 2 2" xfId="45588"/>
    <cellStyle name="Standaard 62 2 3 6 3" xfId="45589"/>
    <cellStyle name="Standaard 62 2 3 7" xfId="45590"/>
    <cellStyle name="Standaard 62 2 3 7 2" xfId="45591"/>
    <cellStyle name="Standaard 62 2 3 8" xfId="45592"/>
    <cellStyle name="Standaard 62 2 3 9" xfId="45593"/>
    <cellStyle name="Standaard 62 2 4" xfId="45594"/>
    <cellStyle name="Standaard 62 2 4 2" xfId="45595"/>
    <cellStyle name="Standaard 62 2 4 2 2" xfId="45596"/>
    <cellStyle name="Standaard 62 2 4 2 2 2" xfId="45597"/>
    <cellStyle name="Standaard 62 2 4 2 2 2 2" xfId="45598"/>
    <cellStyle name="Standaard 62 2 4 2 2 2 2 2" xfId="45599"/>
    <cellStyle name="Standaard 62 2 4 2 2 2 2 2 2" xfId="45600"/>
    <cellStyle name="Standaard 62 2 4 2 2 2 2 3" xfId="45601"/>
    <cellStyle name="Standaard 62 2 4 2 2 2 3" xfId="45602"/>
    <cellStyle name="Standaard 62 2 4 2 2 2 3 2" xfId="45603"/>
    <cellStyle name="Standaard 62 2 4 2 2 2 4" xfId="45604"/>
    <cellStyle name="Standaard 62 2 4 2 2 3" xfId="45605"/>
    <cellStyle name="Standaard 62 2 4 2 2 3 2" xfId="45606"/>
    <cellStyle name="Standaard 62 2 4 2 2 3 2 2" xfId="45607"/>
    <cellStyle name="Standaard 62 2 4 2 2 3 3" xfId="45608"/>
    <cellStyle name="Standaard 62 2 4 2 2 4" xfId="45609"/>
    <cellStyle name="Standaard 62 2 4 2 2 4 2" xfId="45610"/>
    <cellStyle name="Standaard 62 2 4 2 2 5" xfId="45611"/>
    <cellStyle name="Standaard 62 2 4 2 2 6" xfId="45612"/>
    <cellStyle name="Standaard 62 2 4 2 3" xfId="45613"/>
    <cellStyle name="Standaard 62 2 4 2 3 2" xfId="45614"/>
    <cellStyle name="Standaard 62 2 4 2 3 2 2" xfId="45615"/>
    <cellStyle name="Standaard 62 2 4 2 3 2 2 2" xfId="45616"/>
    <cellStyle name="Standaard 62 2 4 2 3 2 3" xfId="45617"/>
    <cellStyle name="Standaard 62 2 4 2 3 3" xfId="45618"/>
    <cellStyle name="Standaard 62 2 4 2 3 3 2" xfId="45619"/>
    <cellStyle name="Standaard 62 2 4 2 3 4" xfId="45620"/>
    <cellStyle name="Standaard 62 2 4 2 4" xfId="45621"/>
    <cellStyle name="Standaard 62 2 4 2 4 2" xfId="45622"/>
    <cellStyle name="Standaard 62 2 4 2 4 2 2" xfId="45623"/>
    <cellStyle name="Standaard 62 2 4 2 4 3" xfId="45624"/>
    <cellStyle name="Standaard 62 2 4 2 5" xfId="45625"/>
    <cellStyle name="Standaard 62 2 4 2 5 2" xfId="45626"/>
    <cellStyle name="Standaard 62 2 4 2 6" xfId="45627"/>
    <cellStyle name="Standaard 62 2 4 2 7" xfId="45628"/>
    <cellStyle name="Standaard 62 2 4 3" xfId="45629"/>
    <cellStyle name="Standaard 62 2 4 3 2" xfId="45630"/>
    <cellStyle name="Standaard 62 2 4 3 2 2" xfId="45631"/>
    <cellStyle name="Standaard 62 2 4 3 2 2 2" xfId="45632"/>
    <cellStyle name="Standaard 62 2 4 3 2 2 2 2" xfId="45633"/>
    <cellStyle name="Standaard 62 2 4 3 2 2 3" xfId="45634"/>
    <cellStyle name="Standaard 62 2 4 3 2 3" xfId="45635"/>
    <cellStyle name="Standaard 62 2 4 3 2 3 2" xfId="45636"/>
    <cellStyle name="Standaard 62 2 4 3 2 4" xfId="45637"/>
    <cellStyle name="Standaard 62 2 4 3 3" xfId="45638"/>
    <cellStyle name="Standaard 62 2 4 3 3 2" xfId="45639"/>
    <cellStyle name="Standaard 62 2 4 3 3 2 2" xfId="45640"/>
    <cellStyle name="Standaard 62 2 4 3 3 3" xfId="45641"/>
    <cellStyle name="Standaard 62 2 4 3 4" xfId="45642"/>
    <cellStyle name="Standaard 62 2 4 3 4 2" xfId="45643"/>
    <cellStyle name="Standaard 62 2 4 3 5" xfId="45644"/>
    <cellStyle name="Standaard 62 2 4 3 6" xfId="45645"/>
    <cellStyle name="Standaard 62 2 4 4" xfId="45646"/>
    <cellStyle name="Standaard 62 2 4 4 2" xfId="45647"/>
    <cellStyle name="Standaard 62 2 4 4 2 2" xfId="45648"/>
    <cellStyle name="Standaard 62 2 4 4 2 2 2" xfId="45649"/>
    <cellStyle name="Standaard 62 2 4 4 2 3" xfId="45650"/>
    <cellStyle name="Standaard 62 2 4 4 3" xfId="45651"/>
    <cellStyle name="Standaard 62 2 4 4 3 2" xfId="45652"/>
    <cellStyle name="Standaard 62 2 4 4 4" xfId="45653"/>
    <cellStyle name="Standaard 62 2 4 5" xfId="45654"/>
    <cellStyle name="Standaard 62 2 4 5 2" xfId="45655"/>
    <cellStyle name="Standaard 62 2 4 5 2 2" xfId="45656"/>
    <cellStyle name="Standaard 62 2 4 5 3" xfId="45657"/>
    <cellStyle name="Standaard 62 2 4 6" xfId="45658"/>
    <cellStyle name="Standaard 62 2 4 6 2" xfId="45659"/>
    <cellStyle name="Standaard 62 2 4 7" xfId="45660"/>
    <cellStyle name="Standaard 62 2 4 8" xfId="45661"/>
    <cellStyle name="Standaard 62 2 5" xfId="45662"/>
    <cellStyle name="Standaard 62 2 5 2" xfId="45663"/>
    <cellStyle name="Standaard 62 2 5 2 2" xfId="45664"/>
    <cellStyle name="Standaard 62 2 5 2 2 2" xfId="45665"/>
    <cellStyle name="Standaard 62 2 5 2 2 2 2" xfId="45666"/>
    <cellStyle name="Standaard 62 2 5 2 2 2 2 2" xfId="45667"/>
    <cellStyle name="Standaard 62 2 5 2 2 2 2 2 2" xfId="45668"/>
    <cellStyle name="Standaard 62 2 5 2 2 2 2 3" xfId="45669"/>
    <cellStyle name="Standaard 62 2 5 2 2 2 3" xfId="45670"/>
    <cellStyle name="Standaard 62 2 5 2 2 2 3 2" xfId="45671"/>
    <cellStyle name="Standaard 62 2 5 2 2 2 4" xfId="45672"/>
    <cellStyle name="Standaard 62 2 5 2 2 3" xfId="45673"/>
    <cellStyle name="Standaard 62 2 5 2 2 3 2" xfId="45674"/>
    <cellStyle name="Standaard 62 2 5 2 2 3 2 2" xfId="45675"/>
    <cellStyle name="Standaard 62 2 5 2 2 3 3" xfId="45676"/>
    <cellStyle name="Standaard 62 2 5 2 2 4" xfId="45677"/>
    <cellStyle name="Standaard 62 2 5 2 2 4 2" xfId="45678"/>
    <cellStyle name="Standaard 62 2 5 2 2 5" xfId="45679"/>
    <cellStyle name="Standaard 62 2 5 2 2 6" xfId="45680"/>
    <cellStyle name="Standaard 62 2 5 2 3" xfId="45681"/>
    <cellStyle name="Standaard 62 2 5 2 3 2" xfId="45682"/>
    <cellStyle name="Standaard 62 2 5 2 3 2 2" xfId="45683"/>
    <cellStyle name="Standaard 62 2 5 2 3 2 2 2" xfId="45684"/>
    <cellStyle name="Standaard 62 2 5 2 3 2 3" xfId="45685"/>
    <cellStyle name="Standaard 62 2 5 2 3 3" xfId="45686"/>
    <cellStyle name="Standaard 62 2 5 2 3 3 2" xfId="45687"/>
    <cellStyle name="Standaard 62 2 5 2 3 4" xfId="45688"/>
    <cellStyle name="Standaard 62 2 5 2 4" xfId="45689"/>
    <cellStyle name="Standaard 62 2 5 2 4 2" xfId="45690"/>
    <cellStyle name="Standaard 62 2 5 2 4 2 2" xfId="45691"/>
    <cellStyle name="Standaard 62 2 5 2 4 3" xfId="45692"/>
    <cellStyle name="Standaard 62 2 5 2 5" xfId="45693"/>
    <cellStyle name="Standaard 62 2 5 2 5 2" xfId="45694"/>
    <cellStyle name="Standaard 62 2 5 2 6" xfId="45695"/>
    <cellStyle name="Standaard 62 2 5 2 7" xfId="45696"/>
    <cellStyle name="Standaard 62 2 5 3" xfId="45697"/>
    <cellStyle name="Standaard 62 2 5 3 2" xfId="45698"/>
    <cellStyle name="Standaard 62 2 5 3 2 2" xfId="45699"/>
    <cellStyle name="Standaard 62 2 5 3 2 2 2" xfId="45700"/>
    <cellStyle name="Standaard 62 2 5 3 2 2 2 2" xfId="45701"/>
    <cellStyle name="Standaard 62 2 5 3 2 2 3" xfId="45702"/>
    <cellStyle name="Standaard 62 2 5 3 2 3" xfId="45703"/>
    <cellStyle name="Standaard 62 2 5 3 2 3 2" xfId="45704"/>
    <cellStyle name="Standaard 62 2 5 3 2 4" xfId="45705"/>
    <cellStyle name="Standaard 62 2 5 3 3" xfId="45706"/>
    <cellStyle name="Standaard 62 2 5 3 3 2" xfId="45707"/>
    <cellStyle name="Standaard 62 2 5 3 3 2 2" xfId="45708"/>
    <cellStyle name="Standaard 62 2 5 3 3 3" xfId="45709"/>
    <cellStyle name="Standaard 62 2 5 3 4" xfId="45710"/>
    <cellStyle name="Standaard 62 2 5 3 4 2" xfId="45711"/>
    <cellStyle name="Standaard 62 2 5 3 5" xfId="45712"/>
    <cellStyle name="Standaard 62 2 5 3 6" xfId="45713"/>
    <cellStyle name="Standaard 62 2 5 4" xfId="45714"/>
    <cellStyle name="Standaard 62 2 5 4 2" xfId="45715"/>
    <cellStyle name="Standaard 62 2 5 4 2 2" xfId="45716"/>
    <cellStyle name="Standaard 62 2 5 4 2 2 2" xfId="45717"/>
    <cellStyle name="Standaard 62 2 5 4 2 3" xfId="45718"/>
    <cellStyle name="Standaard 62 2 5 4 3" xfId="45719"/>
    <cellStyle name="Standaard 62 2 5 4 3 2" xfId="45720"/>
    <cellStyle name="Standaard 62 2 5 4 4" xfId="45721"/>
    <cellStyle name="Standaard 62 2 5 5" xfId="45722"/>
    <cellStyle name="Standaard 62 2 5 5 2" xfId="45723"/>
    <cellStyle name="Standaard 62 2 5 5 2 2" xfId="45724"/>
    <cellStyle name="Standaard 62 2 5 5 3" xfId="45725"/>
    <cellStyle name="Standaard 62 2 5 6" xfId="45726"/>
    <cellStyle name="Standaard 62 2 5 6 2" xfId="45727"/>
    <cellStyle name="Standaard 62 2 5 7" xfId="45728"/>
    <cellStyle name="Standaard 62 2 5 8" xfId="45729"/>
    <cellStyle name="Standaard 62 2 6" xfId="45730"/>
    <cellStyle name="Standaard 62 2 6 2" xfId="45731"/>
    <cellStyle name="Standaard 62 2 6 2 2" xfId="45732"/>
    <cellStyle name="Standaard 62 2 6 2 2 2" xfId="45733"/>
    <cellStyle name="Standaard 62 2 6 2 2 2 2" xfId="45734"/>
    <cellStyle name="Standaard 62 2 6 2 2 2 2 2" xfId="45735"/>
    <cellStyle name="Standaard 62 2 6 2 2 2 3" xfId="45736"/>
    <cellStyle name="Standaard 62 2 6 2 2 3" xfId="45737"/>
    <cellStyle name="Standaard 62 2 6 2 2 3 2" xfId="45738"/>
    <cellStyle name="Standaard 62 2 6 2 2 4" xfId="45739"/>
    <cellStyle name="Standaard 62 2 6 2 3" xfId="45740"/>
    <cellStyle name="Standaard 62 2 6 2 3 2" xfId="45741"/>
    <cellStyle name="Standaard 62 2 6 2 3 2 2" xfId="45742"/>
    <cellStyle name="Standaard 62 2 6 2 3 3" xfId="45743"/>
    <cellStyle name="Standaard 62 2 6 2 4" xfId="45744"/>
    <cellStyle name="Standaard 62 2 6 2 4 2" xfId="45745"/>
    <cellStyle name="Standaard 62 2 6 2 5" xfId="45746"/>
    <cellStyle name="Standaard 62 2 6 2 6" xfId="45747"/>
    <cellStyle name="Standaard 62 2 6 3" xfId="45748"/>
    <cellStyle name="Standaard 62 2 6 3 2" xfId="45749"/>
    <cellStyle name="Standaard 62 2 6 3 2 2" xfId="45750"/>
    <cellStyle name="Standaard 62 2 6 3 2 2 2" xfId="45751"/>
    <cellStyle name="Standaard 62 2 6 3 2 3" xfId="45752"/>
    <cellStyle name="Standaard 62 2 6 3 3" xfId="45753"/>
    <cellStyle name="Standaard 62 2 6 3 3 2" xfId="45754"/>
    <cellStyle name="Standaard 62 2 6 3 4" xfId="45755"/>
    <cellStyle name="Standaard 62 2 6 4" xfId="45756"/>
    <cellStyle name="Standaard 62 2 6 4 2" xfId="45757"/>
    <cellStyle name="Standaard 62 2 6 4 2 2" xfId="45758"/>
    <cellStyle name="Standaard 62 2 6 4 3" xfId="45759"/>
    <cellStyle name="Standaard 62 2 6 5" xfId="45760"/>
    <cellStyle name="Standaard 62 2 6 5 2" xfId="45761"/>
    <cellStyle name="Standaard 62 2 6 6" xfId="45762"/>
    <cellStyle name="Standaard 62 2 6 7" xfId="45763"/>
    <cellStyle name="Standaard 62 2 7" xfId="45764"/>
    <cellStyle name="Standaard 62 2 7 2" xfId="45765"/>
    <cellStyle name="Standaard 62 2 7 2 2" xfId="45766"/>
    <cellStyle name="Standaard 62 2 7 2 2 2" xfId="45767"/>
    <cellStyle name="Standaard 62 2 7 2 2 2 2" xfId="45768"/>
    <cellStyle name="Standaard 62 2 7 2 2 3" xfId="45769"/>
    <cellStyle name="Standaard 62 2 7 2 3" xfId="45770"/>
    <cellStyle name="Standaard 62 2 7 2 3 2" xfId="45771"/>
    <cellStyle name="Standaard 62 2 7 2 4" xfId="45772"/>
    <cellStyle name="Standaard 62 2 7 3" xfId="45773"/>
    <cellStyle name="Standaard 62 2 7 3 2" xfId="45774"/>
    <cellStyle name="Standaard 62 2 7 3 2 2" xfId="45775"/>
    <cellStyle name="Standaard 62 2 7 3 3" xfId="45776"/>
    <cellStyle name="Standaard 62 2 7 4" xfId="45777"/>
    <cellStyle name="Standaard 62 2 7 4 2" xfId="45778"/>
    <cellStyle name="Standaard 62 2 7 5" xfId="45779"/>
    <cellStyle name="Standaard 62 2 7 6" xfId="45780"/>
    <cellStyle name="Standaard 62 2 8" xfId="45781"/>
    <cellStyle name="Standaard 62 2 8 2" xfId="45782"/>
    <cellStyle name="Standaard 62 2 8 2 2" xfId="45783"/>
    <cellStyle name="Standaard 62 2 8 2 2 2" xfId="45784"/>
    <cellStyle name="Standaard 62 2 8 2 3" xfId="45785"/>
    <cellStyle name="Standaard 62 2 8 3" xfId="45786"/>
    <cellStyle name="Standaard 62 2 8 3 2" xfId="45787"/>
    <cellStyle name="Standaard 62 2 8 4" xfId="45788"/>
    <cellStyle name="Standaard 62 2 9" xfId="45789"/>
    <cellStyle name="Standaard 62 2 9 2" xfId="45790"/>
    <cellStyle name="Standaard 62 2 9 2 2" xfId="45791"/>
    <cellStyle name="Standaard 62 2 9 3" xfId="45792"/>
    <cellStyle name="Standaard 62 3" xfId="45793"/>
    <cellStyle name="Standaard 62 3 10" xfId="45794"/>
    <cellStyle name="Standaard 62 3 11" xfId="45795"/>
    <cellStyle name="Standaard 62 3 2" xfId="45796"/>
    <cellStyle name="Standaard 62 3 2 2" xfId="45797"/>
    <cellStyle name="Standaard 62 3 2 2 2" xfId="45798"/>
    <cellStyle name="Standaard 62 3 2 2 2 2" xfId="45799"/>
    <cellStyle name="Standaard 62 3 2 2 2 2 2" xfId="45800"/>
    <cellStyle name="Standaard 62 3 2 2 2 2 2 2" xfId="45801"/>
    <cellStyle name="Standaard 62 3 2 2 2 2 2 2 2" xfId="45802"/>
    <cellStyle name="Standaard 62 3 2 2 2 2 2 2 2 2" xfId="45803"/>
    <cellStyle name="Standaard 62 3 2 2 2 2 2 2 3" xfId="45804"/>
    <cellStyle name="Standaard 62 3 2 2 2 2 2 3" xfId="45805"/>
    <cellStyle name="Standaard 62 3 2 2 2 2 2 3 2" xfId="45806"/>
    <cellStyle name="Standaard 62 3 2 2 2 2 2 4" xfId="45807"/>
    <cellStyle name="Standaard 62 3 2 2 2 2 3" xfId="45808"/>
    <cellStyle name="Standaard 62 3 2 2 2 2 3 2" xfId="45809"/>
    <cellStyle name="Standaard 62 3 2 2 2 2 3 2 2" xfId="45810"/>
    <cellStyle name="Standaard 62 3 2 2 2 2 3 3" xfId="45811"/>
    <cellStyle name="Standaard 62 3 2 2 2 2 4" xfId="45812"/>
    <cellStyle name="Standaard 62 3 2 2 2 2 4 2" xfId="45813"/>
    <cellStyle name="Standaard 62 3 2 2 2 2 5" xfId="45814"/>
    <cellStyle name="Standaard 62 3 2 2 2 2 6" xfId="45815"/>
    <cellStyle name="Standaard 62 3 2 2 2 3" xfId="45816"/>
    <cellStyle name="Standaard 62 3 2 2 2 3 2" xfId="45817"/>
    <cellStyle name="Standaard 62 3 2 2 2 3 2 2" xfId="45818"/>
    <cellStyle name="Standaard 62 3 2 2 2 3 2 2 2" xfId="45819"/>
    <cellStyle name="Standaard 62 3 2 2 2 3 2 3" xfId="45820"/>
    <cellStyle name="Standaard 62 3 2 2 2 3 3" xfId="45821"/>
    <cellStyle name="Standaard 62 3 2 2 2 3 3 2" xfId="45822"/>
    <cellStyle name="Standaard 62 3 2 2 2 3 4" xfId="45823"/>
    <cellStyle name="Standaard 62 3 2 2 2 4" xfId="45824"/>
    <cellStyle name="Standaard 62 3 2 2 2 4 2" xfId="45825"/>
    <cellStyle name="Standaard 62 3 2 2 2 4 2 2" xfId="45826"/>
    <cellStyle name="Standaard 62 3 2 2 2 4 3" xfId="45827"/>
    <cellStyle name="Standaard 62 3 2 2 2 5" xfId="45828"/>
    <cellStyle name="Standaard 62 3 2 2 2 5 2" xfId="45829"/>
    <cellStyle name="Standaard 62 3 2 2 2 6" xfId="45830"/>
    <cellStyle name="Standaard 62 3 2 2 2 7" xfId="45831"/>
    <cellStyle name="Standaard 62 3 2 2 3" xfId="45832"/>
    <cellStyle name="Standaard 62 3 2 2 3 2" xfId="45833"/>
    <cellStyle name="Standaard 62 3 2 2 3 2 2" xfId="45834"/>
    <cellStyle name="Standaard 62 3 2 2 3 2 2 2" xfId="45835"/>
    <cellStyle name="Standaard 62 3 2 2 3 2 2 2 2" xfId="45836"/>
    <cellStyle name="Standaard 62 3 2 2 3 2 2 3" xfId="45837"/>
    <cellStyle name="Standaard 62 3 2 2 3 2 3" xfId="45838"/>
    <cellStyle name="Standaard 62 3 2 2 3 2 3 2" xfId="45839"/>
    <cellStyle name="Standaard 62 3 2 2 3 2 4" xfId="45840"/>
    <cellStyle name="Standaard 62 3 2 2 3 3" xfId="45841"/>
    <cellStyle name="Standaard 62 3 2 2 3 3 2" xfId="45842"/>
    <cellStyle name="Standaard 62 3 2 2 3 3 2 2" xfId="45843"/>
    <cellStyle name="Standaard 62 3 2 2 3 3 3" xfId="45844"/>
    <cellStyle name="Standaard 62 3 2 2 3 4" xfId="45845"/>
    <cellStyle name="Standaard 62 3 2 2 3 4 2" xfId="45846"/>
    <cellStyle name="Standaard 62 3 2 2 3 5" xfId="45847"/>
    <cellStyle name="Standaard 62 3 2 2 3 6" xfId="45848"/>
    <cellStyle name="Standaard 62 3 2 2 4" xfId="45849"/>
    <cellStyle name="Standaard 62 3 2 2 4 2" xfId="45850"/>
    <cellStyle name="Standaard 62 3 2 2 4 2 2" xfId="45851"/>
    <cellStyle name="Standaard 62 3 2 2 4 2 2 2" xfId="45852"/>
    <cellStyle name="Standaard 62 3 2 2 4 2 3" xfId="45853"/>
    <cellStyle name="Standaard 62 3 2 2 4 3" xfId="45854"/>
    <cellStyle name="Standaard 62 3 2 2 4 3 2" xfId="45855"/>
    <cellStyle name="Standaard 62 3 2 2 4 4" xfId="45856"/>
    <cellStyle name="Standaard 62 3 2 2 5" xfId="45857"/>
    <cellStyle name="Standaard 62 3 2 2 5 2" xfId="45858"/>
    <cellStyle name="Standaard 62 3 2 2 5 2 2" xfId="45859"/>
    <cellStyle name="Standaard 62 3 2 2 5 3" xfId="45860"/>
    <cellStyle name="Standaard 62 3 2 2 6" xfId="45861"/>
    <cellStyle name="Standaard 62 3 2 2 6 2" xfId="45862"/>
    <cellStyle name="Standaard 62 3 2 2 7" xfId="45863"/>
    <cellStyle name="Standaard 62 3 2 2 8" xfId="45864"/>
    <cellStyle name="Standaard 62 3 2 3" xfId="45865"/>
    <cellStyle name="Standaard 62 3 2 3 2" xfId="45866"/>
    <cellStyle name="Standaard 62 3 2 3 2 2" xfId="45867"/>
    <cellStyle name="Standaard 62 3 2 3 2 2 2" xfId="45868"/>
    <cellStyle name="Standaard 62 3 2 3 2 2 2 2" xfId="45869"/>
    <cellStyle name="Standaard 62 3 2 3 2 2 2 2 2" xfId="45870"/>
    <cellStyle name="Standaard 62 3 2 3 2 2 2 3" xfId="45871"/>
    <cellStyle name="Standaard 62 3 2 3 2 2 3" xfId="45872"/>
    <cellStyle name="Standaard 62 3 2 3 2 2 3 2" xfId="45873"/>
    <cellStyle name="Standaard 62 3 2 3 2 2 4" xfId="45874"/>
    <cellStyle name="Standaard 62 3 2 3 2 3" xfId="45875"/>
    <cellStyle name="Standaard 62 3 2 3 2 3 2" xfId="45876"/>
    <cellStyle name="Standaard 62 3 2 3 2 3 2 2" xfId="45877"/>
    <cellStyle name="Standaard 62 3 2 3 2 3 3" xfId="45878"/>
    <cellStyle name="Standaard 62 3 2 3 2 4" xfId="45879"/>
    <cellStyle name="Standaard 62 3 2 3 2 4 2" xfId="45880"/>
    <cellStyle name="Standaard 62 3 2 3 2 5" xfId="45881"/>
    <cellStyle name="Standaard 62 3 2 3 2 6" xfId="45882"/>
    <cellStyle name="Standaard 62 3 2 3 3" xfId="45883"/>
    <cellStyle name="Standaard 62 3 2 3 3 2" xfId="45884"/>
    <cellStyle name="Standaard 62 3 2 3 3 2 2" xfId="45885"/>
    <cellStyle name="Standaard 62 3 2 3 3 2 2 2" xfId="45886"/>
    <cellStyle name="Standaard 62 3 2 3 3 2 3" xfId="45887"/>
    <cellStyle name="Standaard 62 3 2 3 3 3" xfId="45888"/>
    <cellStyle name="Standaard 62 3 2 3 3 3 2" xfId="45889"/>
    <cellStyle name="Standaard 62 3 2 3 3 4" xfId="45890"/>
    <cellStyle name="Standaard 62 3 2 3 4" xfId="45891"/>
    <cellStyle name="Standaard 62 3 2 3 4 2" xfId="45892"/>
    <cellStyle name="Standaard 62 3 2 3 4 2 2" xfId="45893"/>
    <cellStyle name="Standaard 62 3 2 3 4 3" xfId="45894"/>
    <cellStyle name="Standaard 62 3 2 3 5" xfId="45895"/>
    <cellStyle name="Standaard 62 3 2 3 5 2" xfId="45896"/>
    <cellStyle name="Standaard 62 3 2 3 6" xfId="45897"/>
    <cellStyle name="Standaard 62 3 2 3 7" xfId="45898"/>
    <cellStyle name="Standaard 62 3 2 4" xfId="45899"/>
    <cellStyle name="Standaard 62 3 2 4 2" xfId="45900"/>
    <cellStyle name="Standaard 62 3 2 4 2 2" xfId="45901"/>
    <cellStyle name="Standaard 62 3 2 4 2 2 2" xfId="45902"/>
    <cellStyle name="Standaard 62 3 2 4 2 2 2 2" xfId="45903"/>
    <cellStyle name="Standaard 62 3 2 4 2 2 3" xfId="45904"/>
    <cellStyle name="Standaard 62 3 2 4 2 3" xfId="45905"/>
    <cellStyle name="Standaard 62 3 2 4 2 3 2" xfId="45906"/>
    <cellStyle name="Standaard 62 3 2 4 2 4" xfId="45907"/>
    <cellStyle name="Standaard 62 3 2 4 3" xfId="45908"/>
    <cellStyle name="Standaard 62 3 2 4 3 2" xfId="45909"/>
    <cellStyle name="Standaard 62 3 2 4 3 2 2" xfId="45910"/>
    <cellStyle name="Standaard 62 3 2 4 3 3" xfId="45911"/>
    <cellStyle name="Standaard 62 3 2 4 4" xfId="45912"/>
    <cellStyle name="Standaard 62 3 2 4 4 2" xfId="45913"/>
    <cellStyle name="Standaard 62 3 2 4 5" xfId="45914"/>
    <cellStyle name="Standaard 62 3 2 4 6" xfId="45915"/>
    <cellStyle name="Standaard 62 3 2 5" xfId="45916"/>
    <cellStyle name="Standaard 62 3 2 5 2" xfId="45917"/>
    <cellStyle name="Standaard 62 3 2 5 2 2" xfId="45918"/>
    <cellStyle name="Standaard 62 3 2 5 2 2 2" xfId="45919"/>
    <cellStyle name="Standaard 62 3 2 5 2 3" xfId="45920"/>
    <cellStyle name="Standaard 62 3 2 5 3" xfId="45921"/>
    <cellStyle name="Standaard 62 3 2 5 3 2" xfId="45922"/>
    <cellStyle name="Standaard 62 3 2 5 4" xfId="45923"/>
    <cellStyle name="Standaard 62 3 2 6" xfId="45924"/>
    <cellStyle name="Standaard 62 3 2 6 2" xfId="45925"/>
    <cellStyle name="Standaard 62 3 2 6 2 2" xfId="45926"/>
    <cellStyle name="Standaard 62 3 2 6 3" xfId="45927"/>
    <cellStyle name="Standaard 62 3 2 7" xfId="45928"/>
    <cellStyle name="Standaard 62 3 2 7 2" xfId="45929"/>
    <cellStyle name="Standaard 62 3 2 8" xfId="45930"/>
    <cellStyle name="Standaard 62 3 2 9" xfId="45931"/>
    <cellStyle name="Standaard 62 3 3" xfId="45932"/>
    <cellStyle name="Standaard 62 3 3 2" xfId="45933"/>
    <cellStyle name="Standaard 62 3 3 2 2" xfId="45934"/>
    <cellStyle name="Standaard 62 3 3 2 2 2" xfId="45935"/>
    <cellStyle name="Standaard 62 3 3 2 2 2 2" xfId="45936"/>
    <cellStyle name="Standaard 62 3 3 2 2 2 2 2" xfId="45937"/>
    <cellStyle name="Standaard 62 3 3 2 2 2 2 2 2" xfId="45938"/>
    <cellStyle name="Standaard 62 3 3 2 2 2 2 3" xfId="45939"/>
    <cellStyle name="Standaard 62 3 3 2 2 2 3" xfId="45940"/>
    <cellStyle name="Standaard 62 3 3 2 2 2 3 2" xfId="45941"/>
    <cellStyle name="Standaard 62 3 3 2 2 2 4" xfId="45942"/>
    <cellStyle name="Standaard 62 3 3 2 2 3" xfId="45943"/>
    <cellStyle name="Standaard 62 3 3 2 2 3 2" xfId="45944"/>
    <cellStyle name="Standaard 62 3 3 2 2 3 2 2" xfId="45945"/>
    <cellStyle name="Standaard 62 3 3 2 2 3 3" xfId="45946"/>
    <cellStyle name="Standaard 62 3 3 2 2 4" xfId="45947"/>
    <cellStyle name="Standaard 62 3 3 2 2 4 2" xfId="45948"/>
    <cellStyle name="Standaard 62 3 3 2 2 5" xfId="45949"/>
    <cellStyle name="Standaard 62 3 3 2 2 6" xfId="45950"/>
    <cellStyle name="Standaard 62 3 3 2 3" xfId="45951"/>
    <cellStyle name="Standaard 62 3 3 2 3 2" xfId="45952"/>
    <cellStyle name="Standaard 62 3 3 2 3 2 2" xfId="45953"/>
    <cellStyle name="Standaard 62 3 3 2 3 2 2 2" xfId="45954"/>
    <cellStyle name="Standaard 62 3 3 2 3 2 3" xfId="45955"/>
    <cellStyle name="Standaard 62 3 3 2 3 3" xfId="45956"/>
    <cellStyle name="Standaard 62 3 3 2 3 3 2" xfId="45957"/>
    <cellStyle name="Standaard 62 3 3 2 3 4" xfId="45958"/>
    <cellStyle name="Standaard 62 3 3 2 4" xfId="45959"/>
    <cellStyle name="Standaard 62 3 3 2 4 2" xfId="45960"/>
    <cellStyle name="Standaard 62 3 3 2 4 2 2" xfId="45961"/>
    <cellStyle name="Standaard 62 3 3 2 4 3" xfId="45962"/>
    <cellStyle name="Standaard 62 3 3 2 5" xfId="45963"/>
    <cellStyle name="Standaard 62 3 3 2 5 2" xfId="45964"/>
    <cellStyle name="Standaard 62 3 3 2 6" xfId="45965"/>
    <cellStyle name="Standaard 62 3 3 2 7" xfId="45966"/>
    <cellStyle name="Standaard 62 3 3 3" xfId="45967"/>
    <cellStyle name="Standaard 62 3 3 3 2" xfId="45968"/>
    <cellStyle name="Standaard 62 3 3 3 2 2" xfId="45969"/>
    <cellStyle name="Standaard 62 3 3 3 2 2 2" xfId="45970"/>
    <cellStyle name="Standaard 62 3 3 3 2 2 2 2" xfId="45971"/>
    <cellStyle name="Standaard 62 3 3 3 2 2 3" xfId="45972"/>
    <cellStyle name="Standaard 62 3 3 3 2 3" xfId="45973"/>
    <cellStyle name="Standaard 62 3 3 3 2 3 2" xfId="45974"/>
    <cellStyle name="Standaard 62 3 3 3 2 4" xfId="45975"/>
    <cellStyle name="Standaard 62 3 3 3 3" xfId="45976"/>
    <cellStyle name="Standaard 62 3 3 3 3 2" xfId="45977"/>
    <cellStyle name="Standaard 62 3 3 3 3 2 2" xfId="45978"/>
    <cellStyle name="Standaard 62 3 3 3 3 3" xfId="45979"/>
    <cellStyle name="Standaard 62 3 3 3 4" xfId="45980"/>
    <cellStyle name="Standaard 62 3 3 3 4 2" xfId="45981"/>
    <cellStyle name="Standaard 62 3 3 3 5" xfId="45982"/>
    <cellStyle name="Standaard 62 3 3 3 6" xfId="45983"/>
    <cellStyle name="Standaard 62 3 3 4" xfId="45984"/>
    <cellStyle name="Standaard 62 3 3 4 2" xfId="45985"/>
    <cellStyle name="Standaard 62 3 3 4 2 2" xfId="45986"/>
    <cellStyle name="Standaard 62 3 3 4 2 2 2" xfId="45987"/>
    <cellStyle name="Standaard 62 3 3 4 2 3" xfId="45988"/>
    <cellStyle name="Standaard 62 3 3 4 3" xfId="45989"/>
    <cellStyle name="Standaard 62 3 3 4 3 2" xfId="45990"/>
    <cellStyle name="Standaard 62 3 3 4 4" xfId="45991"/>
    <cellStyle name="Standaard 62 3 3 5" xfId="45992"/>
    <cellStyle name="Standaard 62 3 3 5 2" xfId="45993"/>
    <cellStyle name="Standaard 62 3 3 5 2 2" xfId="45994"/>
    <cellStyle name="Standaard 62 3 3 5 3" xfId="45995"/>
    <cellStyle name="Standaard 62 3 3 6" xfId="45996"/>
    <cellStyle name="Standaard 62 3 3 6 2" xfId="45997"/>
    <cellStyle name="Standaard 62 3 3 7" xfId="45998"/>
    <cellStyle name="Standaard 62 3 3 8" xfId="45999"/>
    <cellStyle name="Standaard 62 3 4" xfId="46000"/>
    <cellStyle name="Standaard 62 3 4 2" xfId="46001"/>
    <cellStyle name="Standaard 62 3 4 2 2" xfId="46002"/>
    <cellStyle name="Standaard 62 3 4 2 2 2" xfId="46003"/>
    <cellStyle name="Standaard 62 3 4 2 2 2 2" xfId="46004"/>
    <cellStyle name="Standaard 62 3 4 2 2 2 2 2" xfId="46005"/>
    <cellStyle name="Standaard 62 3 4 2 2 2 2 2 2" xfId="46006"/>
    <cellStyle name="Standaard 62 3 4 2 2 2 2 3" xfId="46007"/>
    <cellStyle name="Standaard 62 3 4 2 2 2 3" xfId="46008"/>
    <cellStyle name="Standaard 62 3 4 2 2 2 3 2" xfId="46009"/>
    <cellStyle name="Standaard 62 3 4 2 2 2 4" xfId="46010"/>
    <cellStyle name="Standaard 62 3 4 2 2 3" xfId="46011"/>
    <cellStyle name="Standaard 62 3 4 2 2 3 2" xfId="46012"/>
    <cellStyle name="Standaard 62 3 4 2 2 3 2 2" xfId="46013"/>
    <cellStyle name="Standaard 62 3 4 2 2 3 3" xfId="46014"/>
    <cellStyle name="Standaard 62 3 4 2 2 4" xfId="46015"/>
    <cellStyle name="Standaard 62 3 4 2 2 4 2" xfId="46016"/>
    <cellStyle name="Standaard 62 3 4 2 2 5" xfId="46017"/>
    <cellStyle name="Standaard 62 3 4 2 2 6" xfId="46018"/>
    <cellStyle name="Standaard 62 3 4 2 3" xfId="46019"/>
    <cellStyle name="Standaard 62 3 4 2 3 2" xfId="46020"/>
    <cellStyle name="Standaard 62 3 4 2 3 2 2" xfId="46021"/>
    <cellStyle name="Standaard 62 3 4 2 3 2 2 2" xfId="46022"/>
    <cellStyle name="Standaard 62 3 4 2 3 2 3" xfId="46023"/>
    <cellStyle name="Standaard 62 3 4 2 3 3" xfId="46024"/>
    <cellStyle name="Standaard 62 3 4 2 3 3 2" xfId="46025"/>
    <cellStyle name="Standaard 62 3 4 2 3 4" xfId="46026"/>
    <cellStyle name="Standaard 62 3 4 2 4" xfId="46027"/>
    <cellStyle name="Standaard 62 3 4 2 4 2" xfId="46028"/>
    <cellStyle name="Standaard 62 3 4 2 4 2 2" xfId="46029"/>
    <cellStyle name="Standaard 62 3 4 2 4 3" xfId="46030"/>
    <cellStyle name="Standaard 62 3 4 2 5" xfId="46031"/>
    <cellStyle name="Standaard 62 3 4 2 5 2" xfId="46032"/>
    <cellStyle name="Standaard 62 3 4 2 6" xfId="46033"/>
    <cellStyle name="Standaard 62 3 4 2 7" xfId="46034"/>
    <cellStyle name="Standaard 62 3 4 3" xfId="46035"/>
    <cellStyle name="Standaard 62 3 4 3 2" xfId="46036"/>
    <cellStyle name="Standaard 62 3 4 3 2 2" xfId="46037"/>
    <cellStyle name="Standaard 62 3 4 3 2 2 2" xfId="46038"/>
    <cellStyle name="Standaard 62 3 4 3 2 2 2 2" xfId="46039"/>
    <cellStyle name="Standaard 62 3 4 3 2 2 3" xfId="46040"/>
    <cellStyle name="Standaard 62 3 4 3 2 3" xfId="46041"/>
    <cellStyle name="Standaard 62 3 4 3 2 3 2" xfId="46042"/>
    <cellStyle name="Standaard 62 3 4 3 2 4" xfId="46043"/>
    <cellStyle name="Standaard 62 3 4 3 3" xfId="46044"/>
    <cellStyle name="Standaard 62 3 4 3 3 2" xfId="46045"/>
    <cellStyle name="Standaard 62 3 4 3 3 2 2" xfId="46046"/>
    <cellStyle name="Standaard 62 3 4 3 3 3" xfId="46047"/>
    <cellStyle name="Standaard 62 3 4 3 4" xfId="46048"/>
    <cellStyle name="Standaard 62 3 4 3 4 2" xfId="46049"/>
    <cellStyle name="Standaard 62 3 4 3 5" xfId="46050"/>
    <cellStyle name="Standaard 62 3 4 3 6" xfId="46051"/>
    <cellStyle name="Standaard 62 3 4 4" xfId="46052"/>
    <cellStyle name="Standaard 62 3 4 4 2" xfId="46053"/>
    <cellStyle name="Standaard 62 3 4 4 2 2" xfId="46054"/>
    <cellStyle name="Standaard 62 3 4 4 2 2 2" xfId="46055"/>
    <cellStyle name="Standaard 62 3 4 4 2 3" xfId="46056"/>
    <cellStyle name="Standaard 62 3 4 4 3" xfId="46057"/>
    <cellStyle name="Standaard 62 3 4 4 3 2" xfId="46058"/>
    <cellStyle name="Standaard 62 3 4 4 4" xfId="46059"/>
    <cellStyle name="Standaard 62 3 4 5" xfId="46060"/>
    <cellStyle name="Standaard 62 3 4 5 2" xfId="46061"/>
    <cellStyle name="Standaard 62 3 4 5 2 2" xfId="46062"/>
    <cellStyle name="Standaard 62 3 4 5 3" xfId="46063"/>
    <cellStyle name="Standaard 62 3 4 6" xfId="46064"/>
    <cellStyle name="Standaard 62 3 4 6 2" xfId="46065"/>
    <cellStyle name="Standaard 62 3 4 7" xfId="46066"/>
    <cellStyle name="Standaard 62 3 4 8" xfId="46067"/>
    <cellStyle name="Standaard 62 3 5" xfId="46068"/>
    <cellStyle name="Standaard 62 3 5 2" xfId="46069"/>
    <cellStyle name="Standaard 62 3 5 2 2" xfId="46070"/>
    <cellStyle name="Standaard 62 3 5 2 2 2" xfId="46071"/>
    <cellStyle name="Standaard 62 3 5 2 2 2 2" xfId="46072"/>
    <cellStyle name="Standaard 62 3 5 2 2 2 2 2" xfId="46073"/>
    <cellStyle name="Standaard 62 3 5 2 2 2 3" xfId="46074"/>
    <cellStyle name="Standaard 62 3 5 2 2 3" xfId="46075"/>
    <cellStyle name="Standaard 62 3 5 2 2 3 2" xfId="46076"/>
    <cellStyle name="Standaard 62 3 5 2 2 4" xfId="46077"/>
    <cellStyle name="Standaard 62 3 5 2 3" xfId="46078"/>
    <cellStyle name="Standaard 62 3 5 2 3 2" xfId="46079"/>
    <cellStyle name="Standaard 62 3 5 2 3 2 2" xfId="46080"/>
    <cellStyle name="Standaard 62 3 5 2 3 3" xfId="46081"/>
    <cellStyle name="Standaard 62 3 5 2 4" xfId="46082"/>
    <cellStyle name="Standaard 62 3 5 2 4 2" xfId="46083"/>
    <cellStyle name="Standaard 62 3 5 2 5" xfId="46084"/>
    <cellStyle name="Standaard 62 3 5 2 6" xfId="46085"/>
    <cellStyle name="Standaard 62 3 5 3" xfId="46086"/>
    <cellStyle name="Standaard 62 3 5 3 2" xfId="46087"/>
    <cellStyle name="Standaard 62 3 5 3 2 2" xfId="46088"/>
    <cellStyle name="Standaard 62 3 5 3 2 2 2" xfId="46089"/>
    <cellStyle name="Standaard 62 3 5 3 2 3" xfId="46090"/>
    <cellStyle name="Standaard 62 3 5 3 3" xfId="46091"/>
    <cellStyle name="Standaard 62 3 5 3 3 2" xfId="46092"/>
    <cellStyle name="Standaard 62 3 5 3 4" xfId="46093"/>
    <cellStyle name="Standaard 62 3 5 4" xfId="46094"/>
    <cellStyle name="Standaard 62 3 5 4 2" xfId="46095"/>
    <cellStyle name="Standaard 62 3 5 4 2 2" xfId="46096"/>
    <cellStyle name="Standaard 62 3 5 4 3" xfId="46097"/>
    <cellStyle name="Standaard 62 3 5 5" xfId="46098"/>
    <cellStyle name="Standaard 62 3 5 5 2" xfId="46099"/>
    <cellStyle name="Standaard 62 3 5 6" xfId="46100"/>
    <cellStyle name="Standaard 62 3 5 7" xfId="46101"/>
    <cellStyle name="Standaard 62 3 6" xfId="46102"/>
    <cellStyle name="Standaard 62 3 6 2" xfId="46103"/>
    <cellStyle name="Standaard 62 3 6 2 2" xfId="46104"/>
    <cellStyle name="Standaard 62 3 6 2 2 2" xfId="46105"/>
    <cellStyle name="Standaard 62 3 6 2 2 2 2" xfId="46106"/>
    <cellStyle name="Standaard 62 3 6 2 2 3" xfId="46107"/>
    <cellStyle name="Standaard 62 3 6 2 3" xfId="46108"/>
    <cellStyle name="Standaard 62 3 6 2 3 2" xfId="46109"/>
    <cellStyle name="Standaard 62 3 6 2 4" xfId="46110"/>
    <cellStyle name="Standaard 62 3 6 3" xfId="46111"/>
    <cellStyle name="Standaard 62 3 6 3 2" xfId="46112"/>
    <cellStyle name="Standaard 62 3 6 3 2 2" xfId="46113"/>
    <cellStyle name="Standaard 62 3 6 3 3" xfId="46114"/>
    <cellStyle name="Standaard 62 3 6 4" xfId="46115"/>
    <cellStyle name="Standaard 62 3 6 4 2" xfId="46116"/>
    <cellStyle name="Standaard 62 3 6 5" xfId="46117"/>
    <cellStyle name="Standaard 62 3 6 6" xfId="46118"/>
    <cellStyle name="Standaard 62 3 7" xfId="46119"/>
    <cellStyle name="Standaard 62 3 7 2" xfId="46120"/>
    <cellStyle name="Standaard 62 3 7 2 2" xfId="46121"/>
    <cellStyle name="Standaard 62 3 7 2 2 2" xfId="46122"/>
    <cellStyle name="Standaard 62 3 7 2 3" xfId="46123"/>
    <cellStyle name="Standaard 62 3 7 3" xfId="46124"/>
    <cellStyle name="Standaard 62 3 7 3 2" xfId="46125"/>
    <cellStyle name="Standaard 62 3 7 4" xfId="46126"/>
    <cellStyle name="Standaard 62 3 8" xfId="46127"/>
    <cellStyle name="Standaard 62 3 8 2" xfId="46128"/>
    <cellStyle name="Standaard 62 3 8 2 2" xfId="46129"/>
    <cellStyle name="Standaard 62 3 8 3" xfId="46130"/>
    <cellStyle name="Standaard 62 3 9" xfId="46131"/>
    <cellStyle name="Standaard 62 3 9 2" xfId="46132"/>
    <cellStyle name="Standaard 62 4" xfId="46133"/>
    <cellStyle name="Standaard 62 4 2" xfId="46134"/>
    <cellStyle name="Standaard 62 4 2 2" xfId="46135"/>
    <cellStyle name="Standaard 62 4 2 2 2" xfId="46136"/>
    <cellStyle name="Standaard 62 4 2 2 2 2" xfId="46137"/>
    <cellStyle name="Standaard 62 4 2 2 2 2 2" xfId="46138"/>
    <cellStyle name="Standaard 62 4 2 2 2 2 2 2" xfId="46139"/>
    <cellStyle name="Standaard 62 4 2 2 2 2 2 2 2" xfId="46140"/>
    <cellStyle name="Standaard 62 4 2 2 2 2 2 3" xfId="46141"/>
    <cellStyle name="Standaard 62 4 2 2 2 2 3" xfId="46142"/>
    <cellStyle name="Standaard 62 4 2 2 2 2 3 2" xfId="46143"/>
    <cellStyle name="Standaard 62 4 2 2 2 2 4" xfId="46144"/>
    <cellStyle name="Standaard 62 4 2 2 2 3" xfId="46145"/>
    <cellStyle name="Standaard 62 4 2 2 2 3 2" xfId="46146"/>
    <cellStyle name="Standaard 62 4 2 2 2 3 2 2" xfId="46147"/>
    <cellStyle name="Standaard 62 4 2 2 2 3 3" xfId="46148"/>
    <cellStyle name="Standaard 62 4 2 2 2 4" xfId="46149"/>
    <cellStyle name="Standaard 62 4 2 2 2 4 2" xfId="46150"/>
    <cellStyle name="Standaard 62 4 2 2 2 5" xfId="46151"/>
    <cellStyle name="Standaard 62 4 2 2 2 6" xfId="46152"/>
    <cellStyle name="Standaard 62 4 2 2 3" xfId="46153"/>
    <cellStyle name="Standaard 62 4 2 2 3 2" xfId="46154"/>
    <cellStyle name="Standaard 62 4 2 2 3 2 2" xfId="46155"/>
    <cellStyle name="Standaard 62 4 2 2 3 2 2 2" xfId="46156"/>
    <cellStyle name="Standaard 62 4 2 2 3 2 3" xfId="46157"/>
    <cellStyle name="Standaard 62 4 2 2 3 3" xfId="46158"/>
    <cellStyle name="Standaard 62 4 2 2 3 3 2" xfId="46159"/>
    <cellStyle name="Standaard 62 4 2 2 3 4" xfId="46160"/>
    <cellStyle name="Standaard 62 4 2 2 4" xfId="46161"/>
    <cellStyle name="Standaard 62 4 2 2 4 2" xfId="46162"/>
    <cellStyle name="Standaard 62 4 2 2 4 2 2" xfId="46163"/>
    <cellStyle name="Standaard 62 4 2 2 4 3" xfId="46164"/>
    <cellStyle name="Standaard 62 4 2 2 5" xfId="46165"/>
    <cellStyle name="Standaard 62 4 2 2 5 2" xfId="46166"/>
    <cellStyle name="Standaard 62 4 2 2 6" xfId="46167"/>
    <cellStyle name="Standaard 62 4 2 2 7" xfId="46168"/>
    <cellStyle name="Standaard 62 4 2 3" xfId="46169"/>
    <cellStyle name="Standaard 62 4 2 3 2" xfId="46170"/>
    <cellStyle name="Standaard 62 4 2 3 2 2" xfId="46171"/>
    <cellStyle name="Standaard 62 4 2 3 2 2 2" xfId="46172"/>
    <cellStyle name="Standaard 62 4 2 3 2 2 2 2" xfId="46173"/>
    <cellStyle name="Standaard 62 4 2 3 2 2 3" xfId="46174"/>
    <cellStyle name="Standaard 62 4 2 3 2 3" xfId="46175"/>
    <cellStyle name="Standaard 62 4 2 3 2 3 2" xfId="46176"/>
    <cellStyle name="Standaard 62 4 2 3 2 4" xfId="46177"/>
    <cellStyle name="Standaard 62 4 2 3 3" xfId="46178"/>
    <cellStyle name="Standaard 62 4 2 3 3 2" xfId="46179"/>
    <cellStyle name="Standaard 62 4 2 3 3 2 2" xfId="46180"/>
    <cellStyle name="Standaard 62 4 2 3 3 3" xfId="46181"/>
    <cellStyle name="Standaard 62 4 2 3 4" xfId="46182"/>
    <cellStyle name="Standaard 62 4 2 3 4 2" xfId="46183"/>
    <cellStyle name="Standaard 62 4 2 3 5" xfId="46184"/>
    <cellStyle name="Standaard 62 4 2 3 6" xfId="46185"/>
    <cellStyle name="Standaard 62 4 2 4" xfId="46186"/>
    <cellStyle name="Standaard 62 4 2 4 2" xfId="46187"/>
    <cellStyle name="Standaard 62 4 2 4 2 2" xfId="46188"/>
    <cellStyle name="Standaard 62 4 2 4 2 2 2" xfId="46189"/>
    <cellStyle name="Standaard 62 4 2 4 2 3" xfId="46190"/>
    <cellStyle name="Standaard 62 4 2 4 3" xfId="46191"/>
    <cellStyle name="Standaard 62 4 2 4 3 2" xfId="46192"/>
    <cellStyle name="Standaard 62 4 2 4 4" xfId="46193"/>
    <cellStyle name="Standaard 62 4 2 5" xfId="46194"/>
    <cellStyle name="Standaard 62 4 2 5 2" xfId="46195"/>
    <cellStyle name="Standaard 62 4 2 5 2 2" xfId="46196"/>
    <cellStyle name="Standaard 62 4 2 5 3" xfId="46197"/>
    <cellStyle name="Standaard 62 4 2 6" xfId="46198"/>
    <cellStyle name="Standaard 62 4 2 6 2" xfId="46199"/>
    <cellStyle name="Standaard 62 4 2 7" xfId="46200"/>
    <cellStyle name="Standaard 62 4 2 8" xfId="46201"/>
    <cellStyle name="Standaard 62 4 3" xfId="46202"/>
    <cellStyle name="Standaard 62 4 3 2" xfId="46203"/>
    <cellStyle name="Standaard 62 4 3 2 2" xfId="46204"/>
    <cellStyle name="Standaard 62 4 3 2 2 2" xfId="46205"/>
    <cellStyle name="Standaard 62 4 3 2 2 2 2" xfId="46206"/>
    <cellStyle name="Standaard 62 4 3 2 2 2 2 2" xfId="46207"/>
    <cellStyle name="Standaard 62 4 3 2 2 2 3" xfId="46208"/>
    <cellStyle name="Standaard 62 4 3 2 2 3" xfId="46209"/>
    <cellStyle name="Standaard 62 4 3 2 2 3 2" xfId="46210"/>
    <cellStyle name="Standaard 62 4 3 2 2 4" xfId="46211"/>
    <cellStyle name="Standaard 62 4 3 2 3" xfId="46212"/>
    <cellStyle name="Standaard 62 4 3 2 3 2" xfId="46213"/>
    <cellStyle name="Standaard 62 4 3 2 3 2 2" xfId="46214"/>
    <cellStyle name="Standaard 62 4 3 2 3 3" xfId="46215"/>
    <cellStyle name="Standaard 62 4 3 2 4" xfId="46216"/>
    <cellStyle name="Standaard 62 4 3 2 4 2" xfId="46217"/>
    <cellStyle name="Standaard 62 4 3 2 5" xfId="46218"/>
    <cellStyle name="Standaard 62 4 3 2 6" xfId="46219"/>
    <cellStyle name="Standaard 62 4 3 3" xfId="46220"/>
    <cellStyle name="Standaard 62 4 3 3 2" xfId="46221"/>
    <cellStyle name="Standaard 62 4 3 3 2 2" xfId="46222"/>
    <cellStyle name="Standaard 62 4 3 3 2 2 2" xfId="46223"/>
    <cellStyle name="Standaard 62 4 3 3 2 3" xfId="46224"/>
    <cellStyle name="Standaard 62 4 3 3 3" xfId="46225"/>
    <cellStyle name="Standaard 62 4 3 3 3 2" xfId="46226"/>
    <cellStyle name="Standaard 62 4 3 3 4" xfId="46227"/>
    <cellStyle name="Standaard 62 4 3 4" xfId="46228"/>
    <cellStyle name="Standaard 62 4 3 4 2" xfId="46229"/>
    <cellStyle name="Standaard 62 4 3 4 2 2" xfId="46230"/>
    <cellStyle name="Standaard 62 4 3 4 3" xfId="46231"/>
    <cellStyle name="Standaard 62 4 3 5" xfId="46232"/>
    <cellStyle name="Standaard 62 4 3 5 2" xfId="46233"/>
    <cellStyle name="Standaard 62 4 3 6" xfId="46234"/>
    <cellStyle name="Standaard 62 4 3 7" xfId="46235"/>
    <cellStyle name="Standaard 62 4 4" xfId="46236"/>
    <cellStyle name="Standaard 62 4 4 2" xfId="46237"/>
    <cellStyle name="Standaard 62 4 4 2 2" xfId="46238"/>
    <cellStyle name="Standaard 62 4 4 2 2 2" xfId="46239"/>
    <cellStyle name="Standaard 62 4 4 2 2 2 2" xfId="46240"/>
    <cellStyle name="Standaard 62 4 4 2 2 3" xfId="46241"/>
    <cellStyle name="Standaard 62 4 4 2 3" xfId="46242"/>
    <cellStyle name="Standaard 62 4 4 2 3 2" xfId="46243"/>
    <cellStyle name="Standaard 62 4 4 2 4" xfId="46244"/>
    <cellStyle name="Standaard 62 4 4 3" xfId="46245"/>
    <cellStyle name="Standaard 62 4 4 3 2" xfId="46246"/>
    <cellStyle name="Standaard 62 4 4 3 2 2" xfId="46247"/>
    <cellStyle name="Standaard 62 4 4 3 3" xfId="46248"/>
    <cellStyle name="Standaard 62 4 4 4" xfId="46249"/>
    <cellStyle name="Standaard 62 4 4 4 2" xfId="46250"/>
    <cellStyle name="Standaard 62 4 4 5" xfId="46251"/>
    <cellStyle name="Standaard 62 4 4 6" xfId="46252"/>
    <cellStyle name="Standaard 62 4 5" xfId="46253"/>
    <cellStyle name="Standaard 62 4 5 2" xfId="46254"/>
    <cellStyle name="Standaard 62 4 5 2 2" xfId="46255"/>
    <cellStyle name="Standaard 62 4 5 2 2 2" xfId="46256"/>
    <cellStyle name="Standaard 62 4 5 2 3" xfId="46257"/>
    <cellStyle name="Standaard 62 4 5 3" xfId="46258"/>
    <cellStyle name="Standaard 62 4 5 3 2" xfId="46259"/>
    <cellStyle name="Standaard 62 4 5 4" xfId="46260"/>
    <cellStyle name="Standaard 62 4 6" xfId="46261"/>
    <cellStyle name="Standaard 62 4 6 2" xfId="46262"/>
    <cellStyle name="Standaard 62 4 6 2 2" xfId="46263"/>
    <cellStyle name="Standaard 62 4 6 3" xfId="46264"/>
    <cellStyle name="Standaard 62 4 7" xfId="46265"/>
    <cellStyle name="Standaard 62 4 7 2" xfId="46266"/>
    <cellStyle name="Standaard 62 4 8" xfId="46267"/>
    <cellStyle name="Standaard 62 4 9" xfId="46268"/>
    <cellStyle name="Standaard 62 5" xfId="46269"/>
    <cellStyle name="Standaard 62 5 2" xfId="46270"/>
    <cellStyle name="Standaard 62 5 2 2" xfId="46271"/>
    <cellStyle name="Standaard 62 5 2 2 2" xfId="46272"/>
    <cellStyle name="Standaard 62 5 2 2 2 2" xfId="46273"/>
    <cellStyle name="Standaard 62 5 2 2 2 2 2" xfId="46274"/>
    <cellStyle name="Standaard 62 5 2 2 2 2 2 2" xfId="46275"/>
    <cellStyle name="Standaard 62 5 2 2 2 2 3" xfId="46276"/>
    <cellStyle name="Standaard 62 5 2 2 2 3" xfId="46277"/>
    <cellStyle name="Standaard 62 5 2 2 2 3 2" xfId="46278"/>
    <cellStyle name="Standaard 62 5 2 2 2 4" xfId="46279"/>
    <cellStyle name="Standaard 62 5 2 2 3" xfId="46280"/>
    <cellStyle name="Standaard 62 5 2 2 3 2" xfId="46281"/>
    <cellStyle name="Standaard 62 5 2 2 3 2 2" xfId="46282"/>
    <cellStyle name="Standaard 62 5 2 2 3 3" xfId="46283"/>
    <cellStyle name="Standaard 62 5 2 2 4" xfId="46284"/>
    <cellStyle name="Standaard 62 5 2 2 4 2" xfId="46285"/>
    <cellStyle name="Standaard 62 5 2 2 5" xfId="46286"/>
    <cellStyle name="Standaard 62 5 2 2 6" xfId="46287"/>
    <cellStyle name="Standaard 62 5 2 3" xfId="46288"/>
    <cellStyle name="Standaard 62 5 2 3 2" xfId="46289"/>
    <cellStyle name="Standaard 62 5 2 3 2 2" xfId="46290"/>
    <cellStyle name="Standaard 62 5 2 3 2 2 2" xfId="46291"/>
    <cellStyle name="Standaard 62 5 2 3 2 3" xfId="46292"/>
    <cellStyle name="Standaard 62 5 2 3 3" xfId="46293"/>
    <cellStyle name="Standaard 62 5 2 3 3 2" xfId="46294"/>
    <cellStyle name="Standaard 62 5 2 3 4" xfId="46295"/>
    <cellStyle name="Standaard 62 5 2 4" xfId="46296"/>
    <cellStyle name="Standaard 62 5 2 4 2" xfId="46297"/>
    <cellStyle name="Standaard 62 5 2 4 2 2" xfId="46298"/>
    <cellStyle name="Standaard 62 5 2 4 3" xfId="46299"/>
    <cellStyle name="Standaard 62 5 2 5" xfId="46300"/>
    <cellStyle name="Standaard 62 5 2 5 2" xfId="46301"/>
    <cellStyle name="Standaard 62 5 2 6" xfId="46302"/>
    <cellStyle name="Standaard 62 5 2 7" xfId="46303"/>
    <cellStyle name="Standaard 62 5 3" xfId="46304"/>
    <cellStyle name="Standaard 62 5 3 2" xfId="46305"/>
    <cellStyle name="Standaard 62 5 3 2 2" xfId="46306"/>
    <cellStyle name="Standaard 62 5 3 2 2 2" xfId="46307"/>
    <cellStyle name="Standaard 62 5 3 2 2 2 2" xfId="46308"/>
    <cellStyle name="Standaard 62 5 3 2 2 3" xfId="46309"/>
    <cellStyle name="Standaard 62 5 3 2 3" xfId="46310"/>
    <cellStyle name="Standaard 62 5 3 2 3 2" xfId="46311"/>
    <cellStyle name="Standaard 62 5 3 2 4" xfId="46312"/>
    <cellStyle name="Standaard 62 5 3 3" xfId="46313"/>
    <cellStyle name="Standaard 62 5 3 3 2" xfId="46314"/>
    <cellStyle name="Standaard 62 5 3 3 2 2" xfId="46315"/>
    <cellStyle name="Standaard 62 5 3 3 3" xfId="46316"/>
    <cellStyle name="Standaard 62 5 3 4" xfId="46317"/>
    <cellStyle name="Standaard 62 5 3 4 2" xfId="46318"/>
    <cellStyle name="Standaard 62 5 3 5" xfId="46319"/>
    <cellStyle name="Standaard 62 5 3 6" xfId="46320"/>
    <cellStyle name="Standaard 62 5 4" xfId="46321"/>
    <cellStyle name="Standaard 62 5 4 2" xfId="46322"/>
    <cellStyle name="Standaard 62 5 4 2 2" xfId="46323"/>
    <cellStyle name="Standaard 62 5 4 2 2 2" xfId="46324"/>
    <cellStyle name="Standaard 62 5 4 2 3" xfId="46325"/>
    <cellStyle name="Standaard 62 5 4 3" xfId="46326"/>
    <cellStyle name="Standaard 62 5 4 3 2" xfId="46327"/>
    <cellStyle name="Standaard 62 5 4 4" xfId="46328"/>
    <cellStyle name="Standaard 62 5 5" xfId="46329"/>
    <cellStyle name="Standaard 62 5 5 2" xfId="46330"/>
    <cellStyle name="Standaard 62 5 5 2 2" xfId="46331"/>
    <cellStyle name="Standaard 62 5 5 3" xfId="46332"/>
    <cellStyle name="Standaard 62 5 6" xfId="46333"/>
    <cellStyle name="Standaard 62 5 6 2" xfId="46334"/>
    <cellStyle name="Standaard 62 5 7" xfId="46335"/>
    <cellStyle name="Standaard 62 5 8" xfId="46336"/>
    <cellStyle name="Standaard 62 6" xfId="46337"/>
    <cellStyle name="Standaard 62 6 2" xfId="46338"/>
    <cellStyle name="Standaard 62 6 2 2" xfId="46339"/>
    <cellStyle name="Standaard 62 6 2 2 2" xfId="46340"/>
    <cellStyle name="Standaard 62 6 2 2 2 2" xfId="46341"/>
    <cellStyle name="Standaard 62 6 2 2 2 2 2" xfId="46342"/>
    <cellStyle name="Standaard 62 6 2 2 2 2 2 2" xfId="46343"/>
    <cellStyle name="Standaard 62 6 2 2 2 2 3" xfId="46344"/>
    <cellStyle name="Standaard 62 6 2 2 2 3" xfId="46345"/>
    <cellStyle name="Standaard 62 6 2 2 2 3 2" xfId="46346"/>
    <cellStyle name="Standaard 62 6 2 2 2 4" xfId="46347"/>
    <cellStyle name="Standaard 62 6 2 2 3" xfId="46348"/>
    <cellStyle name="Standaard 62 6 2 2 3 2" xfId="46349"/>
    <cellStyle name="Standaard 62 6 2 2 3 2 2" xfId="46350"/>
    <cellStyle name="Standaard 62 6 2 2 3 3" xfId="46351"/>
    <cellStyle name="Standaard 62 6 2 2 4" xfId="46352"/>
    <cellStyle name="Standaard 62 6 2 2 4 2" xfId="46353"/>
    <cellStyle name="Standaard 62 6 2 2 5" xfId="46354"/>
    <cellStyle name="Standaard 62 6 2 2 6" xfId="46355"/>
    <cellStyle name="Standaard 62 6 2 3" xfId="46356"/>
    <cellStyle name="Standaard 62 6 2 3 2" xfId="46357"/>
    <cellStyle name="Standaard 62 6 2 3 2 2" xfId="46358"/>
    <cellStyle name="Standaard 62 6 2 3 2 2 2" xfId="46359"/>
    <cellStyle name="Standaard 62 6 2 3 2 3" xfId="46360"/>
    <cellStyle name="Standaard 62 6 2 3 3" xfId="46361"/>
    <cellStyle name="Standaard 62 6 2 3 3 2" xfId="46362"/>
    <cellStyle name="Standaard 62 6 2 3 4" xfId="46363"/>
    <cellStyle name="Standaard 62 6 2 4" xfId="46364"/>
    <cellStyle name="Standaard 62 6 2 4 2" xfId="46365"/>
    <cellStyle name="Standaard 62 6 2 4 2 2" xfId="46366"/>
    <cellStyle name="Standaard 62 6 2 4 3" xfId="46367"/>
    <cellStyle name="Standaard 62 6 2 5" xfId="46368"/>
    <cellStyle name="Standaard 62 6 2 5 2" xfId="46369"/>
    <cellStyle name="Standaard 62 6 2 6" xfId="46370"/>
    <cellStyle name="Standaard 62 6 2 7" xfId="46371"/>
    <cellStyle name="Standaard 62 6 3" xfId="46372"/>
    <cellStyle name="Standaard 62 6 3 2" xfId="46373"/>
    <cellStyle name="Standaard 62 6 3 2 2" xfId="46374"/>
    <cellStyle name="Standaard 62 6 3 2 2 2" xfId="46375"/>
    <cellStyle name="Standaard 62 6 3 2 2 2 2" xfId="46376"/>
    <cellStyle name="Standaard 62 6 3 2 2 3" xfId="46377"/>
    <cellStyle name="Standaard 62 6 3 2 3" xfId="46378"/>
    <cellStyle name="Standaard 62 6 3 2 3 2" xfId="46379"/>
    <cellStyle name="Standaard 62 6 3 2 4" xfId="46380"/>
    <cellStyle name="Standaard 62 6 3 3" xfId="46381"/>
    <cellStyle name="Standaard 62 6 3 3 2" xfId="46382"/>
    <cellStyle name="Standaard 62 6 3 3 2 2" xfId="46383"/>
    <cellStyle name="Standaard 62 6 3 3 3" xfId="46384"/>
    <cellStyle name="Standaard 62 6 3 4" xfId="46385"/>
    <cellStyle name="Standaard 62 6 3 4 2" xfId="46386"/>
    <cellStyle name="Standaard 62 6 3 5" xfId="46387"/>
    <cellStyle name="Standaard 62 6 3 6" xfId="46388"/>
    <cellStyle name="Standaard 62 6 4" xfId="46389"/>
    <cellStyle name="Standaard 62 6 4 2" xfId="46390"/>
    <cellStyle name="Standaard 62 6 4 2 2" xfId="46391"/>
    <cellStyle name="Standaard 62 6 4 2 2 2" xfId="46392"/>
    <cellStyle name="Standaard 62 6 4 2 3" xfId="46393"/>
    <cellStyle name="Standaard 62 6 4 3" xfId="46394"/>
    <cellStyle name="Standaard 62 6 4 3 2" xfId="46395"/>
    <cellStyle name="Standaard 62 6 4 4" xfId="46396"/>
    <cellStyle name="Standaard 62 6 5" xfId="46397"/>
    <cellStyle name="Standaard 62 6 5 2" xfId="46398"/>
    <cellStyle name="Standaard 62 6 5 2 2" xfId="46399"/>
    <cellStyle name="Standaard 62 6 5 3" xfId="46400"/>
    <cellStyle name="Standaard 62 6 6" xfId="46401"/>
    <cellStyle name="Standaard 62 6 6 2" xfId="46402"/>
    <cellStyle name="Standaard 62 6 7" xfId="46403"/>
    <cellStyle name="Standaard 62 6 8" xfId="46404"/>
    <cellStyle name="Standaard 62 7" xfId="46405"/>
    <cellStyle name="Standaard 62 7 2" xfId="46406"/>
    <cellStyle name="Standaard 62 7 2 2" xfId="46407"/>
    <cellStyle name="Standaard 62 7 2 2 2" xfId="46408"/>
    <cellStyle name="Standaard 62 7 2 2 2 2" xfId="46409"/>
    <cellStyle name="Standaard 62 7 2 2 2 2 2" xfId="46410"/>
    <cellStyle name="Standaard 62 7 2 2 2 3" xfId="46411"/>
    <cellStyle name="Standaard 62 7 2 2 3" xfId="46412"/>
    <cellStyle name="Standaard 62 7 2 2 3 2" xfId="46413"/>
    <cellStyle name="Standaard 62 7 2 2 4" xfId="46414"/>
    <cellStyle name="Standaard 62 7 2 3" xfId="46415"/>
    <cellStyle name="Standaard 62 7 2 3 2" xfId="46416"/>
    <cellStyle name="Standaard 62 7 2 3 2 2" xfId="46417"/>
    <cellStyle name="Standaard 62 7 2 3 3" xfId="46418"/>
    <cellStyle name="Standaard 62 7 2 4" xfId="46419"/>
    <cellStyle name="Standaard 62 7 2 4 2" xfId="46420"/>
    <cellStyle name="Standaard 62 7 2 5" xfId="46421"/>
    <cellStyle name="Standaard 62 7 2 6" xfId="46422"/>
    <cellStyle name="Standaard 62 7 3" xfId="46423"/>
    <cellStyle name="Standaard 62 7 3 2" xfId="46424"/>
    <cellStyle name="Standaard 62 7 3 2 2" xfId="46425"/>
    <cellStyle name="Standaard 62 7 3 2 2 2" xfId="46426"/>
    <cellStyle name="Standaard 62 7 3 2 3" xfId="46427"/>
    <cellStyle name="Standaard 62 7 3 3" xfId="46428"/>
    <cellStyle name="Standaard 62 7 3 3 2" xfId="46429"/>
    <cellStyle name="Standaard 62 7 3 4" xfId="46430"/>
    <cellStyle name="Standaard 62 7 4" xfId="46431"/>
    <cellStyle name="Standaard 62 7 4 2" xfId="46432"/>
    <cellStyle name="Standaard 62 7 4 2 2" xfId="46433"/>
    <cellStyle name="Standaard 62 7 4 3" xfId="46434"/>
    <cellStyle name="Standaard 62 7 5" xfId="46435"/>
    <cellStyle name="Standaard 62 7 5 2" xfId="46436"/>
    <cellStyle name="Standaard 62 7 6" xfId="46437"/>
    <cellStyle name="Standaard 62 7 7" xfId="46438"/>
    <cellStyle name="Standaard 62 8" xfId="46439"/>
    <cellStyle name="Standaard 62 8 2" xfId="46440"/>
    <cellStyle name="Standaard 62 8 2 2" xfId="46441"/>
    <cellStyle name="Standaard 62 8 2 2 2" xfId="46442"/>
    <cellStyle name="Standaard 62 8 2 2 2 2" xfId="46443"/>
    <cellStyle name="Standaard 62 8 2 2 3" xfId="46444"/>
    <cellStyle name="Standaard 62 8 2 3" xfId="46445"/>
    <cellStyle name="Standaard 62 8 2 3 2" xfId="46446"/>
    <cellStyle name="Standaard 62 8 2 4" xfId="46447"/>
    <cellStyle name="Standaard 62 8 3" xfId="46448"/>
    <cellStyle name="Standaard 62 8 3 2" xfId="46449"/>
    <cellStyle name="Standaard 62 8 3 2 2" xfId="46450"/>
    <cellStyle name="Standaard 62 8 3 3" xfId="46451"/>
    <cellStyle name="Standaard 62 8 4" xfId="46452"/>
    <cellStyle name="Standaard 62 8 4 2" xfId="46453"/>
    <cellStyle name="Standaard 62 8 5" xfId="46454"/>
    <cellStyle name="Standaard 62 8 6" xfId="46455"/>
    <cellStyle name="Standaard 62 9" xfId="46456"/>
    <cellStyle name="Standaard 62 9 2" xfId="46457"/>
    <cellStyle name="Standaard 62 9 2 2" xfId="46458"/>
    <cellStyle name="Standaard 62 9 2 2 2" xfId="46459"/>
    <cellStyle name="Standaard 62 9 2 3" xfId="46460"/>
    <cellStyle name="Standaard 62 9 3" xfId="46461"/>
    <cellStyle name="Standaard 62 9 3 2" xfId="46462"/>
    <cellStyle name="Standaard 62 9 4" xfId="46463"/>
    <cellStyle name="Standaard 63" xfId="46464"/>
    <cellStyle name="Standaard 63 10" xfId="46465"/>
    <cellStyle name="Standaard 63 10 2" xfId="46466"/>
    <cellStyle name="Standaard 63 10 2 2" xfId="46467"/>
    <cellStyle name="Standaard 63 10 3" xfId="46468"/>
    <cellStyle name="Standaard 63 11" xfId="46469"/>
    <cellStyle name="Standaard 63 11 2" xfId="46470"/>
    <cellStyle name="Standaard 63 12" xfId="46471"/>
    <cellStyle name="Standaard 63 13" xfId="46472"/>
    <cellStyle name="Standaard 63 2" xfId="46473"/>
    <cellStyle name="Standaard 63 2 10" xfId="46474"/>
    <cellStyle name="Standaard 63 2 10 2" xfId="46475"/>
    <cellStyle name="Standaard 63 2 11" xfId="46476"/>
    <cellStyle name="Standaard 63 2 12" xfId="46477"/>
    <cellStyle name="Standaard 63 2 2" xfId="46478"/>
    <cellStyle name="Standaard 63 2 2 10" xfId="46479"/>
    <cellStyle name="Standaard 63 2 2 11" xfId="46480"/>
    <cellStyle name="Standaard 63 2 2 2" xfId="46481"/>
    <cellStyle name="Standaard 63 2 2 2 2" xfId="46482"/>
    <cellStyle name="Standaard 63 2 2 2 2 2" xfId="46483"/>
    <cellStyle name="Standaard 63 2 2 2 2 2 2" xfId="46484"/>
    <cellStyle name="Standaard 63 2 2 2 2 2 2 2" xfId="46485"/>
    <cellStyle name="Standaard 63 2 2 2 2 2 2 2 2" xfId="46486"/>
    <cellStyle name="Standaard 63 2 2 2 2 2 2 2 2 2" xfId="46487"/>
    <cellStyle name="Standaard 63 2 2 2 2 2 2 2 2 2 2" xfId="46488"/>
    <cellStyle name="Standaard 63 2 2 2 2 2 2 2 2 3" xfId="46489"/>
    <cellStyle name="Standaard 63 2 2 2 2 2 2 2 3" xfId="46490"/>
    <cellStyle name="Standaard 63 2 2 2 2 2 2 2 3 2" xfId="46491"/>
    <cellStyle name="Standaard 63 2 2 2 2 2 2 2 4" xfId="46492"/>
    <cellStyle name="Standaard 63 2 2 2 2 2 2 3" xfId="46493"/>
    <cellStyle name="Standaard 63 2 2 2 2 2 2 3 2" xfId="46494"/>
    <cellStyle name="Standaard 63 2 2 2 2 2 2 3 2 2" xfId="46495"/>
    <cellStyle name="Standaard 63 2 2 2 2 2 2 3 3" xfId="46496"/>
    <cellStyle name="Standaard 63 2 2 2 2 2 2 4" xfId="46497"/>
    <cellStyle name="Standaard 63 2 2 2 2 2 2 4 2" xfId="46498"/>
    <cellStyle name="Standaard 63 2 2 2 2 2 2 5" xfId="46499"/>
    <cellStyle name="Standaard 63 2 2 2 2 2 2 6" xfId="46500"/>
    <cellStyle name="Standaard 63 2 2 2 2 2 3" xfId="46501"/>
    <cellStyle name="Standaard 63 2 2 2 2 2 3 2" xfId="46502"/>
    <cellStyle name="Standaard 63 2 2 2 2 2 3 2 2" xfId="46503"/>
    <cellStyle name="Standaard 63 2 2 2 2 2 3 2 2 2" xfId="46504"/>
    <cellStyle name="Standaard 63 2 2 2 2 2 3 2 3" xfId="46505"/>
    <cellStyle name="Standaard 63 2 2 2 2 2 3 3" xfId="46506"/>
    <cellStyle name="Standaard 63 2 2 2 2 2 3 3 2" xfId="46507"/>
    <cellStyle name="Standaard 63 2 2 2 2 2 3 4" xfId="46508"/>
    <cellStyle name="Standaard 63 2 2 2 2 2 4" xfId="46509"/>
    <cellStyle name="Standaard 63 2 2 2 2 2 4 2" xfId="46510"/>
    <cellStyle name="Standaard 63 2 2 2 2 2 4 2 2" xfId="46511"/>
    <cellStyle name="Standaard 63 2 2 2 2 2 4 3" xfId="46512"/>
    <cellStyle name="Standaard 63 2 2 2 2 2 5" xfId="46513"/>
    <cellStyle name="Standaard 63 2 2 2 2 2 5 2" xfId="46514"/>
    <cellStyle name="Standaard 63 2 2 2 2 2 6" xfId="46515"/>
    <cellStyle name="Standaard 63 2 2 2 2 2 7" xfId="46516"/>
    <cellStyle name="Standaard 63 2 2 2 2 3" xfId="46517"/>
    <cellStyle name="Standaard 63 2 2 2 2 3 2" xfId="46518"/>
    <cellStyle name="Standaard 63 2 2 2 2 3 2 2" xfId="46519"/>
    <cellStyle name="Standaard 63 2 2 2 2 3 2 2 2" xfId="46520"/>
    <cellStyle name="Standaard 63 2 2 2 2 3 2 2 2 2" xfId="46521"/>
    <cellStyle name="Standaard 63 2 2 2 2 3 2 2 3" xfId="46522"/>
    <cellStyle name="Standaard 63 2 2 2 2 3 2 3" xfId="46523"/>
    <cellStyle name="Standaard 63 2 2 2 2 3 2 3 2" xfId="46524"/>
    <cellStyle name="Standaard 63 2 2 2 2 3 2 4" xfId="46525"/>
    <cellStyle name="Standaard 63 2 2 2 2 3 3" xfId="46526"/>
    <cellStyle name="Standaard 63 2 2 2 2 3 3 2" xfId="46527"/>
    <cellStyle name="Standaard 63 2 2 2 2 3 3 2 2" xfId="46528"/>
    <cellStyle name="Standaard 63 2 2 2 2 3 3 3" xfId="46529"/>
    <cellStyle name="Standaard 63 2 2 2 2 3 4" xfId="46530"/>
    <cellStyle name="Standaard 63 2 2 2 2 3 4 2" xfId="46531"/>
    <cellStyle name="Standaard 63 2 2 2 2 3 5" xfId="46532"/>
    <cellStyle name="Standaard 63 2 2 2 2 3 6" xfId="46533"/>
    <cellStyle name="Standaard 63 2 2 2 2 4" xfId="46534"/>
    <cellStyle name="Standaard 63 2 2 2 2 4 2" xfId="46535"/>
    <cellStyle name="Standaard 63 2 2 2 2 4 2 2" xfId="46536"/>
    <cellStyle name="Standaard 63 2 2 2 2 4 2 2 2" xfId="46537"/>
    <cellStyle name="Standaard 63 2 2 2 2 4 2 3" xfId="46538"/>
    <cellStyle name="Standaard 63 2 2 2 2 4 3" xfId="46539"/>
    <cellStyle name="Standaard 63 2 2 2 2 4 3 2" xfId="46540"/>
    <cellStyle name="Standaard 63 2 2 2 2 4 4" xfId="46541"/>
    <cellStyle name="Standaard 63 2 2 2 2 5" xfId="46542"/>
    <cellStyle name="Standaard 63 2 2 2 2 5 2" xfId="46543"/>
    <cellStyle name="Standaard 63 2 2 2 2 5 2 2" xfId="46544"/>
    <cellStyle name="Standaard 63 2 2 2 2 5 3" xfId="46545"/>
    <cellStyle name="Standaard 63 2 2 2 2 6" xfId="46546"/>
    <cellStyle name="Standaard 63 2 2 2 2 6 2" xfId="46547"/>
    <cellStyle name="Standaard 63 2 2 2 2 7" xfId="46548"/>
    <cellStyle name="Standaard 63 2 2 2 2 8" xfId="46549"/>
    <cellStyle name="Standaard 63 2 2 2 3" xfId="46550"/>
    <cellStyle name="Standaard 63 2 2 2 3 2" xfId="46551"/>
    <cellStyle name="Standaard 63 2 2 2 3 2 2" xfId="46552"/>
    <cellStyle name="Standaard 63 2 2 2 3 2 2 2" xfId="46553"/>
    <cellStyle name="Standaard 63 2 2 2 3 2 2 2 2" xfId="46554"/>
    <cellStyle name="Standaard 63 2 2 2 3 2 2 2 2 2" xfId="46555"/>
    <cellStyle name="Standaard 63 2 2 2 3 2 2 2 3" xfId="46556"/>
    <cellStyle name="Standaard 63 2 2 2 3 2 2 3" xfId="46557"/>
    <cellStyle name="Standaard 63 2 2 2 3 2 2 3 2" xfId="46558"/>
    <cellStyle name="Standaard 63 2 2 2 3 2 2 4" xfId="46559"/>
    <cellStyle name="Standaard 63 2 2 2 3 2 3" xfId="46560"/>
    <cellStyle name="Standaard 63 2 2 2 3 2 3 2" xfId="46561"/>
    <cellStyle name="Standaard 63 2 2 2 3 2 3 2 2" xfId="46562"/>
    <cellStyle name="Standaard 63 2 2 2 3 2 3 3" xfId="46563"/>
    <cellStyle name="Standaard 63 2 2 2 3 2 4" xfId="46564"/>
    <cellStyle name="Standaard 63 2 2 2 3 2 4 2" xfId="46565"/>
    <cellStyle name="Standaard 63 2 2 2 3 2 5" xfId="46566"/>
    <cellStyle name="Standaard 63 2 2 2 3 2 6" xfId="46567"/>
    <cellStyle name="Standaard 63 2 2 2 3 3" xfId="46568"/>
    <cellStyle name="Standaard 63 2 2 2 3 3 2" xfId="46569"/>
    <cellStyle name="Standaard 63 2 2 2 3 3 2 2" xfId="46570"/>
    <cellStyle name="Standaard 63 2 2 2 3 3 2 2 2" xfId="46571"/>
    <cellStyle name="Standaard 63 2 2 2 3 3 2 3" xfId="46572"/>
    <cellStyle name="Standaard 63 2 2 2 3 3 3" xfId="46573"/>
    <cellStyle name="Standaard 63 2 2 2 3 3 3 2" xfId="46574"/>
    <cellStyle name="Standaard 63 2 2 2 3 3 4" xfId="46575"/>
    <cellStyle name="Standaard 63 2 2 2 3 4" xfId="46576"/>
    <cellStyle name="Standaard 63 2 2 2 3 4 2" xfId="46577"/>
    <cellStyle name="Standaard 63 2 2 2 3 4 2 2" xfId="46578"/>
    <cellStyle name="Standaard 63 2 2 2 3 4 3" xfId="46579"/>
    <cellStyle name="Standaard 63 2 2 2 3 5" xfId="46580"/>
    <cellStyle name="Standaard 63 2 2 2 3 5 2" xfId="46581"/>
    <cellStyle name="Standaard 63 2 2 2 3 6" xfId="46582"/>
    <cellStyle name="Standaard 63 2 2 2 3 7" xfId="46583"/>
    <cellStyle name="Standaard 63 2 2 2 4" xfId="46584"/>
    <cellStyle name="Standaard 63 2 2 2 4 2" xfId="46585"/>
    <cellStyle name="Standaard 63 2 2 2 4 2 2" xfId="46586"/>
    <cellStyle name="Standaard 63 2 2 2 4 2 2 2" xfId="46587"/>
    <cellStyle name="Standaard 63 2 2 2 4 2 2 2 2" xfId="46588"/>
    <cellStyle name="Standaard 63 2 2 2 4 2 2 3" xfId="46589"/>
    <cellStyle name="Standaard 63 2 2 2 4 2 3" xfId="46590"/>
    <cellStyle name="Standaard 63 2 2 2 4 2 3 2" xfId="46591"/>
    <cellStyle name="Standaard 63 2 2 2 4 2 4" xfId="46592"/>
    <cellStyle name="Standaard 63 2 2 2 4 3" xfId="46593"/>
    <cellStyle name="Standaard 63 2 2 2 4 3 2" xfId="46594"/>
    <cellStyle name="Standaard 63 2 2 2 4 3 2 2" xfId="46595"/>
    <cellStyle name="Standaard 63 2 2 2 4 3 3" xfId="46596"/>
    <cellStyle name="Standaard 63 2 2 2 4 4" xfId="46597"/>
    <cellStyle name="Standaard 63 2 2 2 4 4 2" xfId="46598"/>
    <cellStyle name="Standaard 63 2 2 2 4 5" xfId="46599"/>
    <cellStyle name="Standaard 63 2 2 2 4 6" xfId="46600"/>
    <cellStyle name="Standaard 63 2 2 2 5" xfId="46601"/>
    <cellStyle name="Standaard 63 2 2 2 5 2" xfId="46602"/>
    <cellStyle name="Standaard 63 2 2 2 5 2 2" xfId="46603"/>
    <cellStyle name="Standaard 63 2 2 2 5 2 2 2" xfId="46604"/>
    <cellStyle name="Standaard 63 2 2 2 5 2 3" xfId="46605"/>
    <cellStyle name="Standaard 63 2 2 2 5 3" xfId="46606"/>
    <cellStyle name="Standaard 63 2 2 2 5 3 2" xfId="46607"/>
    <cellStyle name="Standaard 63 2 2 2 5 4" xfId="46608"/>
    <cellStyle name="Standaard 63 2 2 2 6" xfId="46609"/>
    <cellStyle name="Standaard 63 2 2 2 6 2" xfId="46610"/>
    <cellStyle name="Standaard 63 2 2 2 6 2 2" xfId="46611"/>
    <cellStyle name="Standaard 63 2 2 2 6 3" xfId="46612"/>
    <cellStyle name="Standaard 63 2 2 2 7" xfId="46613"/>
    <cellStyle name="Standaard 63 2 2 2 7 2" xfId="46614"/>
    <cellStyle name="Standaard 63 2 2 2 8" xfId="46615"/>
    <cellStyle name="Standaard 63 2 2 2 9" xfId="46616"/>
    <cellStyle name="Standaard 63 2 2 3" xfId="46617"/>
    <cellStyle name="Standaard 63 2 2 3 2" xfId="46618"/>
    <cellStyle name="Standaard 63 2 2 3 2 2" xfId="46619"/>
    <cellStyle name="Standaard 63 2 2 3 2 2 2" xfId="46620"/>
    <cellStyle name="Standaard 63 2 2 3 2 2 2 2" xfId="46621"/>
    <cellStyle name="Standaard 63 2 2 3 2 2 2 2 2" xfId="46622"/>
    <cellStyle name="Standaard 63 2 2 3 2 2 2 2 2 2" xfId="46623"/>
    <cellStyle name="Standaard 63 2 2 3 2 2 2 2 3" xfId="46624"/>
    <cellStyle name="Standaard 63 2 2 3 2 2 2 3" xfId="46625"/>
    <cellStyle name="Standaard 63 2 2 3 2 2 2 3 2" xfId="46626"/>
    <cellStyle name="Standaard 63 2 2 3 2 2 2 4" xfId="46627"/>
    <cellStyle name="Standaard 63 2 2 3 2 2 3" xfId="46628"/>
    <cellStyle name="Standaard 63 2 2 3 2 2 3 2" xfId="46629"/>
    <cellStyle name="Standaard 63 2 2 3 2 2 3 2 2" xfId="46630"/>
    <cellStyle name="Standaard 63 2 2 3 2 2 3 3" xfId="46631"/>
    <cellStyle name="Standaard 63 2 2 3 2 2 4" xfId="46632"/>
    <cellStyle name="Standaard 63 2 2 3 2 2 4 2" xfId="46633"/>
    <cellStyle name="Standaard 63 2 2 3 2 2 5" xfId="46634"/>
    <cellStyle name="Standaard 63 2 2 3 2 2 6" xfId="46635"/>
    <cellStyle name="Standaard 63 2 2 3 2 3" xfId="46636"/>
    <cellStyle name="Standaard 63 2 2 3 2 3 2" xfId="46637"/>
    <cellStyle name="Standaard 63 2 2 3 2 3 2 2" xfId="46638"/>
    <cellStyle name="Standaard 63 2 2 3 2 3 2 2 2" xfId="46639"/>
    <cellStyle name="Standaard 63 2 2 3 2 3 2 3" xfId="46640"/>
    <cellStyle name="Standaard 63 2 2 3 2 3 3" xfId="46641"/>
    <cellStyle name="Standaard 63 2 2 3 2 3 3 2" xfId="46642"/>
    <cellStyle name="Standaard 63 2 2 3 2 3 4" xfId="46643"/>
    <cellStyle name="Standaard 63 2 2 3 2 4" xfId="46644"/>
    <cellStyle name="Standaard 63 2 2 3 2 4 2" xfId="46645"/>
    <cellStyle name="Standaard 63 2 2 3 2 4 2 2" xfId="46646"/>
    <cellStyle name="Standaard 63 2 2 3 2 4 3" xfId="46647"/>
    <cellStyle name="Standaard 63 2 2 3 2 5" xfId="46648"/>
    <cellStyle name="Standaard 63 2 2 3 2 5 2" xfId="46649"/>
    <cellStyle name="Standaard 63 2 2 3 2 6" xfId="46650"/>
    <cellStyle name="Standaard 63 2 2 3 2 7" xfId="46651"/>
    <cellStyle name="Standaard 63 2 2 3 3" xfId="46652"/>
    <cellStyle name="Standaard 63 2 2 3 3 2" xfId="46653"/>
    <cellStyle name="Standaard 63 2 2 3 3 2 2" xfId="46654"/>
    <cellStyle name="Standaard 63 2 2 3 3 2 2 2" xfId="46655"/>
    <cellStyle name="Standaard 63 2 2 3 3 2 2 2 2" xfId="46656"/>
    <cellStyle name="Standaard 63 2 2 3 3 2 2 3" xfId="46657"/>
    <cellStyle name="Standaard 63 2 2 3 3 2 3" xfId="46658"/>
    <cellStyle name="Standaard 63 2 2 3 3 2 3 2" xfId="46659"/>
    <cellStyle name="Standaard 63 2 2 3 3 2 4" xfId="46660"/>
    <cellStyle name="Standaard 63 2 2 3 3 3" xfId="46661"/>
    <cellStyle name="Standaard 63 2 2 3 3 3 2" xfId="46662"/>
    <cellStyle name="Standaard 63 2 2 3 3 3 2 2" xfId="46663"/>
    <cellStyle name="Standaard 63 2 2 3 3 3 3" xfId="46664"/>
    <cellStyle name="Standaard 63 2 2 3 3 4" xfId="46665"/>
    <cellStyle name="Standaard 63 2 2 3 3 4 2" xfId="46666"/>
    <cellStyle name="Standaard 63 2 2 3 3 5" xfId="46667"/>
    <cellStyle name="Standaard 63 2 2 3 3 6" xfId="46668"/>
    <cellStyle name="Standaard 63 2 2 3 4" xfId="46669"/>
    <cellStyle name="Standaard 63 2 2 3 4 2" xfId="46670"/>
    <cellStyle name="Standaard 63 2 2 3 4 2 2" xfId="46671"/>
    <cellStyle name="Standaard 63 2 2 3 4 2 2 2" xfId="46672"/>
    <cellStyle name="Standaard 63 2 2 3 4 2 3" xfId="46673"/>
    <cellStyle name="Standaard 63 2 2 3 4 3" xfId="46674"/>
    <cellStyle name="Standaard 63 2 2 3 4 3 2" xfId="46675"/>
    <cellStyle name="Standaard 63 2 2 3 4 4" xfId="46676"/>
    <cellStyle name="Standaard 63 2 2 3 5" xfId="46677"/>
    <cellStyle name="Standaard 63 2 2 3 5 2" xfId="46678"/>
    <cellStyle name="Standaard 63 2 2 3 5 2 2" xfId="46679"/>
    <cellStyle name="Standaard 63 2 2 3 5 3" xfId="46680"/>
    <cellStyle name="Standaard 63 2 2 3 6" xfId="46681"/>
    <cellStyle name="Standaard 63 2 2 3 6 2" xfId="46682"/>
    <cellStyle name="Standaard 63 2 2 3 7" xfId="46683"/>
    <cellStyle name="Standaard 63 2 2 3 8" xfId="46684"/>
    <cellStyle name="Standaard 63 2 2 4" xfId="46685"/>
    <cellStyle name="Standaard 63 2 2 4 2" xfId="46686"/>
    <cellStyle name="Standaard 63 2 2 4 2 2" xfId="46687"/>
    <cellStyle name="Standaard 63 2 2 4 2 2 2" xfId="46688"/>
    <cellStyle name="Standaard 63 2 2 4 2 2 2 2" xfId="46689"/>
    <cellStyle name="Standaard 63 2 2 4 2 2 2 2 2" xfId="46690"/>
    <cellStyle name="Standaard 63 2 2 4 2 2 2 2 2 2" xfId="46691"/>
    <cellStyle name="Standaard 63 2 2 4 2 2 2 2 3" xfId="46692"/>
    <cellStyle name="Standaard 63 2 2 4 2 2 2 3" xfId="46693"/>
    <cellStyle name="Standaard 63 2 2 4 2 2 2 3 2" xfId="46694"/>
    <cellStyle name="Standaard 63 2 2 4 2 2 2 4" xfId="46695"/>
    <cellStyle name="Standaard 63 2 2 4 2 2 3" xfId="46696"/>
    <cellStyle name="Standaard 63 2 2 4 2 2 3 2" xfId="46697"/>
    <cellStyle name="Standaard 63 2 2 4 2 2 3 2 2" xfId="46698"/>
    <cellStyle name="Standaard 63 2 2 4 2 2 3 3" xfId="46699"/>
    <cellStyle name="Standaard 63 2 2 4 2 2 4" xfId="46700"/>
    <cellStyle name="Standaard 63 2 2 4 2 2 4 2" xfId="46701"/>
    <cellStyle name="Standaard 63 2 2 4 2 2 5" xfId="46702"/>
    <cellStyle name="Standaard 63 2 2 4 2 2 6" xfId="46703"/>
    <cellStyle name="Standaard 63 2 2 4 2 3" xfId="46704"/>
    <cellStyle name="Standaard 63 2 2 4 2 3 2" xfId="46705"/>
    <cellStyle name="Standaard 63 2 2 4 2 3 2 2" xfId="46706"/>
    <cellStyle name="Standaard 63 2 2 4 2 3 2 2 2" xfId="46707"/>
    <cellStyle name="Standaard 63 2 2 4 2 3 2 3" xfId="46708"/>
    <cellStyle name="Standaard 63 2 2 4 2 3 3" xfId="46709"/>
    <cellStyle name="Standaard 63 2 2 4 2 3 3 2" xfId="46710"/>
    <cellStyle name="Standaard 63 2 2 4 2 3 4" xfId="46711"/>
    <cellStyle name="Standaard 63 2 2 4 2 4" xfId="46712"/>
    <cellStyle name="Standaard 63 2 2 4 2 4 2" xfId="46713"/>
    <cellStyle name="Standaard 63 2 2 4 2 4 2 2" xfId="46714"/>
    <cellStyle name="Standaard 63 2 2 4 2 4 3" xfId="46715"/>
    <cellStyle name="Standaard 63 2 2 4 2 5" xfId="46716"/>
    <cellStyle name="Standaard 63 2 2 4 2 5 2" xfId="46717"/>
    <cellStyle name="Standaard 63 2 2 4 2 6" xfId="46718"/>
    <cellStyle name="Standaard 63 2 2 4 2 7" xfId="46719"/>
    <cellStyle name="Standaard 63 2 2 4 3" xfId="46720"/>
    <cellStyle name="Standaard 63 2 2 4 3 2" xfId="46721"/>
    <cellStyle name="Standaard 63 2 2 4 3 2 2" xfId="46722"/>
    <cellStyle name="Standaard 63 2 2 4 3 2 2 2" xfId="46723"/>
    <cellStyle name="Standaard 63 2 2 4 3 2 2 2 2" xfId="46724"/>
    <cellStyle name="Standaard 63 2 2 4 3 2 2 3" xfId="46725"/>
    <cellStyle name="Standaard 63 2 2 4 3 2 3" xfId="46726"/>
    <cellStyle name="Standaard 63 2 2 4 3 2 3 2" xfId="46727"/>
    <cellStyle name="Standaard 63 2 2 4 3 2 4" xfId="46728"/>
    <cellStyle name="Standaard 63 2 2 4 3 3" xfId="46729"/>
    <cellStyle name="Standaard 63 2 2 4 3 3 2" xfId="46730"/>
    <cellStyle name="Standaard 63 2 2 4 3 3 2 2" xfId="46731"/>
    <cellStyle name="Standaard 63 2 2 4 3 3 3" xfId="46732"/>
    <cellStyle name="Standaard 63 2 2 4 3 4" xfId="46733"/>
    <cellStyle name="Standaard 63 2 2 4 3 4 2" xfId="46734"/>
    <cellStyle name="Standaard 63 2 2 4 3 5" xfId="46735"/>
    <cellStyle name="Standaard 63 2 2 4 3 6" xfId="46736"/>
    <cellStyle name="Standaard 63 2 2 4 4" xfId="46737"/>
    <cellStyle name="Standaard 63 2 2 4 4 2" xfId="46738"/>
    <cellStyle name="Standaard 63 2 2 4 4 2 2" xfId="46739"/>
    <cellStyle name="Standaard 63 2 2 4 4 2 2 2" xfId="46740"/>
    <cellStyle name="Standaard 63 2 2 4 4 2 3" xfId="46741"/>
    <cellStyle name="Standaard 63 2 2 4 4 3" xfId="46742"/>
    <cellStyle name="Standaard 63 2 2 4 4 3 2" xfId="46743"/>
    <cellStyle name="Standaard 63 2 2 4 4 4" xfId="46744"/>
    <cellStyle name="Standaard 63 2 2 4 5" xfId="46745"/>
    <cellStyle name="Standaard 63 2 2 4 5 2" xfId="46746"/>
    <cellStyle name="Standaard 63 2 2 4 5 2 2" xfId="46747"/>
    <cellStyle name="Standaard 63 2 2 4 5 3" xfId="46748"/>
    <cellStyle name="Standaard 63 2 2 4 6" xfId="46749"/>
    <cellStyle name="Standaard 63 2 2 4 6 2" xfId="46750"/>
    <cellStyle name="Standaard 63 2 2 4 7" xfId="46751"/>
    <cellStyle name="Standaard 63 2 2 4 8" xfId="46752"/>
    <cellStyle name="Standaard 63 2 2 5" xfId="46753"/>
    <cellStyle name="Standaard 63 2 2 5 2" xfId="46754"/>
    <cellStyle name="Standaard 63 2 2 5 2 2" xfId="46755"/>
    <cellStyle name="Standaard 63 2 2 5 2 2 2" xfId="46756"/>
    <cellStyle name="Standaard 63 2 2 5 2 2 2 2" xfId="46757"/>
    <cellStyle name="Standaard 63 2 2 5 2 2 2 2 2" xfId="46758"/>
    <cellStyle name="Standaard 63 2 2 5 2 2 2 3" xfId="46759"/>
    <cellStyle name="Standaard 63 2 2 5 2 2 3" xfId="46760"/>
    <cellStyle name="Standaard 63 2 2 5 2 2 3 2" xfId="46761"/>
    <cellStyle name="Standaard 63 2 2 5 2 2 4" xfId="46762"/>
    <cellStyle name="Standaard 63 2 2 5 2 3" xfId="46763"/>
    <cellStyle name="Standaard 63 2 2 5 2 3 2" xfId="46764"/>
    <cellStyle name="Standaard 63 2 2 5 2 3 2 2" xfId="46765"/>
    <cellStyle name="Standaard 63 2 2 5 2 3 3" xfId="46766"/>
    <cellStyle name="Standaard 63 2 2 5 2 4" xfId="46767"/>
    <cellStyle name="Standaard 63 2 2 5 2 4 2" xfId="46768"/>
    <cellStyle name="Standaard 63 2 2 5 2 5" xfId="46769"/>
    <cellStyle name="Standaard 63 2 2 5 2 6" xfId="46770"/>
    <cellStyle name="Standaard 63 2 2 5 3" xfId="46771"/>
    <cellStyle name="Standaard 63 2 2 5 3 2" xfId="46772"/>
    <cellStyle name="Standaard 63 2 2 5 3 2 2" xfId="46773"/>
    <cellStyle name="Standaard 63 2 2 5 3 2 2 2" xfId="46774"/>
    <cellStyle name="Standaard 63 2 2 5 3 2 3" xfId="46775"/>
    <cellStyle name="Standaard 63 2 2 5 3 3" xfId="46776"/>
    <cellStyle name="Standaard 63 2 2 5 3 3 2" xfId="46777"/>
    <cellStyle name="Standaard 63 2 2 5 3 4" xfId="46778"/>
    <cellStyle name="Standaard 63 2 2 5 4" xfId="46779"/>
    <cellStyle name="Standaard 63 2 2 5 4 2" xfId="46780"/>
    <cellStyle name="Standaard 63 2 2 5 4 2 2" xfId="46781"/>
    <cellStyle name="Standaard 63 2 2 5 4 3" xfId="46782"/>
    <cellStyle name="Standaard 63 2 2 5 5" xfId="46783"/>
    <cellStyle name="Standaard 63 2 2 5 5 2" xfId="46784"/>
    <cellStyle name="Standaard 63 2 2 5 6" xfId="46785"/>
    <cellStyle name="Standaard 63 2 2 5 7" xfId="46786"/>
    <cellStyle name="Standaard 63 2 2 6" xfId="46787"/>
    <cellStyle name="Standaard 63 2 2 6 2" xfId="46788"/>
    <cellStyle name="Standaard 63 2 2 6 2 2" xfId="46789"/>
    <cellStyle name="Standaard 63 2 2 6 2 2 2" xfId="46790"/>
    <cellStyle name="Standaard 63 2 2 6 2 2 2 2" xfId="46791"/>
    <cellStyle name="Standaard 63 2 2 6 2 2 3" xfId="46792"/>
    <cellStyle name="Standaard 63 2 2 6 2 3" xfId="46793"/>
    <cellStyle name="Standaard 63 2 2 6 2 3 2" xfId="46794"/>
    <cellStyle name="Standaard 63 2 2 6 2 4" xfId="46795"/>
    <cellStyle name="Standaard 63 2 2 6 3" xfId="46796"/>
    <cellStyle name="Standaard 63 2 2 6 3 2" xfId="46797"/>
    <cellStyle name="Standaard 63 2 2 6 3 2 2" xfId="46798"/>
    <cellStyle name="Standaard 63 2 2 6 3 3" xfId="46799"/>
    <cellStyle name="Standaard 63 2 2 6 4" xfId="46800"/>
    <cellStyle name="Standaard 63 2 2 6 4 2" xfId="46801"/>
    <cellStyle name="Standaard 63 2 2 6 5" xfId="46802"/>
    <cellStyle name="Standaard 63 2 2 6 6" xfId="46803"/>
    <cellStyle name="Standaard 63 2 2 7" xfId="46804"/>
    <cellStyle name="Standaard 63 2 2 7 2" xfId="46805"/>
    <cellStyle name="Standaard 63 2 2 7 2 2" xfId="46806"/>
    <cellStyle name="Standaard 63 2 2 7 2 2 2" xfId="46807"/>
    <cellStyle name="Standaard 63 2 2 7 2 3" xfId="46808"/>
    <cellStyle name="Standaard 63 2 2 7 3" xfId="46809"/>
    <cellStyle name="Standaard 63 2 2 7 3 2" xfId="46810"/>
    <cellStyle name="Standaard 63 2 2 7 4" xfId="46811"/>
    <cellStyle name="Standaard 63 2 2 8" xfId="46812"/>
    <cellStyle name="Standaard 63 2 2 8 2" xfId="46813"/>
    <cellStyle name="Standaard 63 2 2 8 2 2" xfId="46814"/>
    <cellStyle name="Standaard 63 2 2 8 3" xfId="46815"/>
    <cellStyle name="Standaard 63 2 2 9" xfId="46816"/>
    <cellStyle name="Standaard 63 2 2 9 2" xfId="46817"/>
    <cellStyle name="Standaard 63 2 3" xfId="46818"/>
    <cellStyle name="Standaard 63 2 3 2" xfId="46819"/>
    <cellStyle name="Standaard 63 2 3 2 2" xfId="46820"/>
    <cellStyle name="Standaard 63 2 3 2 2 2" xfId="46821"/>
    <cellStyle name="Standaard 63 2 3 2 2 2 2" xfId="46822"/>
    <cellStyle name="Standaard 63 2 3 2 2 2 2 2" xfId="46823"/>
    <cellStyle name="Standaard 63 2 3 2 2 2 2 2 2" xfId="46824"/>
    <cellStyle name="Standaard 63 2 3 2 2 2 2 2 2 2" xfId="46825"/>
    <cellStyle name="Standaard 63 2 3 2 2 2 2 2 3" xfId="46826"/>
    <cellStyle name="Standaard 63 2 3 2 2 2 2 3" xfId="46827"/>
    <cellStyle name="Standaard 63 2 3 2 2 2 2 3 2" xfId="46828"/>
    <cellStyle name="Standaard 63 2 3 2 2 2 2 4" xfId="46829"/>
    <cellStyle name="Standaard 63 2 3 2 2 2 3" xfId="46830"/>
    <cellStyle name="Standaard 63 2 3 2 2 2 3 2" xfId="46831"/>
    <cellStyle name="Standaard 63 2 3 2 2 2 3 2 2" xfId="46832"/>
    <cellStyle name="Standaard 63 2 3 2 2 2 3 3" xfId="46833"/>
    <cellStyle name="Standaard 63 2 3 2 2 2 4" xfId="46834"/>
    <cellStyle name="Standaard 63 2 3 2 2 2 4 2" xfId="46835"/>
    <cellStyle name="Standaard 63 2 3 2 2 2 5" xfId="46836"/>
    <cellStyle name="Standaard 63 2 3 2 2 2 6" xfId="46837"/>
    <cellStyle name="Standaard 63 2 3 2 2 3" xfId="46838"/>
    <cellStyle name="Standaard 63 2 3 2 2 3 2" xfId="46839"/>
    <cellStyle name="Standaard 63 2 3 2 2 3 2 2" xfId="46840"/>
    <cellStyle name="Standaard 63 2 3 2 2 3 2 2 2" xfId="46841"/>
    <cellStyle name="Standaard 63 2 3 2 2 3 2 3" xfId="46842"/>
    <cellStyle name="Standaard 63 2 3 2 2 3 3" xfId="46843"/>
    <cellStyle name="Standaard 63 2 3 2 2 3 3 2" xfId="46844"/>
    <cellStyle name="Standaard 63 2 3 2 2 3 4" xfId="46845"/>
    <cellStyle name="Standaard 63 2 3 2 2 4" xfId="46846"/>
    <cellStyle name="Standaard 63 2 3 2 2 4 2" xfId="46847"/>
    <cellStyle name="Standaard 63 2 3 2 2 4 2 2" xfId="46848"/>
    <cellStyle name="Standaard 63 2 3 2 2 4 3" xfId="46849"/>
    <cellStyle name="Standaard 63 2 3 2 2 5" xfId="46850"/>
    <cellStyle name="Standaard 63 2 3 2 2 5 2" xfId="46851"/>
    <cellStyle name="Standaard 63 2 3 2 2 6" xfId="46852"/>
    <cellStyle name="Standaard 63 2 3 2 2 7" xfId="46853"/>
    <cellStyle name="Standaard 63 2 3 2 3" xfId="46854"/>
    <cellStyle name="Standaard 63 2 3 2 3 2" xfId="46855"/>
    <cellStyle name="Standaard 63 2 3 2 3 2 2" xfId="46856"/>
    <cellStyle name="Standaard 63 2 3 2 3 2 2 2" xfId="46857"/>
    <cellStyle name="Standaard 63 2 3 2 3 2 2 2 2" xfId="46858"/>
    <cellStyle name="Standaard 63 2 3 2 3 2 2 3" xfId="46859"/>
    <cellStyle name="Standaard 63 2 3 2 3 2 3" xfId="46860"/>
    <cellStyle name="Standaard 63 2 3 2 3 2 3 2" xfId="46861"/>
    <cellStyle name="Standaard 63 2 3 2 3 2 4" xfId="46862"/>
    <cellStyle name="Standaard 63 2 3 2 3 3" xfId="46863"/>
    <cellStyle name="Standaard 63 2 3 2 3 3 2" xfId="46864"/>
    <cellStyle name="Standaard 63 2 3 2 3 3 2 2" xfId="46865"/>
    <cellStyle name="Standaard 63 2 3 2 3 3 3" xfId="46866"/>
    <cellStyle name="Standaard 63 2 3 2 3 4" xfId="46867"/>
    <cellStyle name="Standaard 63 2 3 2 3 4 2" xfId="46868"/>
    <cellStyle name="Standaard 63 2 3 2 3 5" xfId="46869"/>
    <cellStyle name="Standaard 63 2 3 2 3 6" xfId="46870"/>
    <cellStyle name="Standaard 63 2 3 2 4" xfId="46871"/>
    <cellStyle name="Standaard 63 2 3 2 4 2" xfId="46872"/>
    <cellStyle name="Standaard 63 2 3 2 4 2 2" xfId="46873"/>
    <cellStyle name="Standaard 63 2 3 2 4 2 2 2" xfId="46874"/>
    <cellStyle name="Standaard 63 2 3 2 4 2 3" xfId="46875"/>
    <cellStyle name="Standaard 63 2 3 2 4 3" xfId="46876"/>
    <cellStyle name="Standaard 63 2 3 2 4 3 2" xfId="46877"/>
    <cellStyle name="Standaard 63 2 3 2 4 4" xfId="46878"/>
    <cellStyle name="Standaard 63 2 3 2 5" xfId="46879"/>
    <cellStyle name="Standaard 63 2 3 2 5 2" xfId="46880"/>
    <cellStyle name="Standaard 63 2 3 2 5 2 2" xfId="46881"/>
    <cellStyle name="Standaard 63 2 3 2 5 3" xfId="46882"/>
    <cellStyle name="Standaard 63 2 3 2 6" xfId="46883"/>
    <cellStyle name="Standaard 63 2 3 2 6 2" xfId="46884"/>
    <cellStyle name="Standaard 63 2 3 2 7" xfId="46885"/>
    <cellStyle name="Standaard 63 2 3 2 8" xfId="46886"/>
    <cellStyle name="Standaard 63 2 3 3" xfId="46887"/>
    <cellStyle name="Standaard 63 2 3 3 2" xfId="46888"/>
    <cellStyle name="Standaard 63 2 3 3 2 2" xfId="46889"/>
    <cellStyle name="Standaard 63 2 3 3 2 2 2" xfId="46890"/>
    <cellStyle name="Standaard 63 2 3 3 2 2 2 2" xfId="46891"/>
    <cellStyle name="Standaard 63 2 3 3 2 2 2 2 2" xfId="46892"/>
    <cellStyle name="Standaard 63 2 3 3 2 2 2 3" xfId="46893"/>
    <cellStyle name="Standaard 63 2 3 3 2 2 3" xfId="46894"/>
    <cellStyle name="Standaard 63 2 3 3 2 2 3 2" xfId="46895"/>
    <cellStyle name="Standaard 63 2 3 3 2 2 4" xfId="46896"/>
    <cellStyle name="Standaard 63 2 3 3 2 3" xfId="46897"/>
    <cellStyle name="Standaard 63 2 3 3 2 3 2" xfId="46898"/>
    <cellStyle name="Standaard 63 2 3 3 2 3 2 2" xfId="46899"/>
    <cellStyle name="Standaard 63 2 3 3 2 3 3" xfId="46900"/>
    <cellStyle name="Standaard 63 2 3 3 2 4" xfId="46901"/>
    <cellStyle name="Standaard 63 2 3 3 2 4 2" xfId="46902"/>
    <cellStyle name="Standaard 63 2 3 3 2 5" xfId="46903"/>
    <cellStyle name="Standaard 63 2 3 3 2 6" xfId="46904"/>
    <cellStyle name="Standaard 63 2 3 3 3" xfId="46905"/>
    <cellStyle name="Standaard 63 2 3 3 3 2" xfId="46906"/>
    <cellStyle name="Standaard 63 2 3 3 3 2 2" xfId="46907"/>
    <cellStyle name="Standaard 63 2 3 3 3 2 2 2" xfId="46908"/>
    <cellStyle name="Standaard 63 2 3 3 3 2 3" xfId="46909"/>
    <cellStyle name="Standaard 63 2 3 3 3 3" xfId="46910"/>
    <cellStyle name="Standaard 63 2 3 3 3 3 2" xfId="46911"/>
    <cellStyle name="Standaard 63 2 3 3 3 4" xfId="46912"/>
    <cellStyle name="Standaard 63 2 3 3 4" xfId="46913"/>
    <cellStyle name="Standaard 63 2 3 3 4 2" xfId="46914"/>
    <cellStyle name="Standaard 63 2 3 3 4 2 2" xfId="46915"/>
    <cellStyle name="Standaard 63 2 3 3 4 3" xfId="46916"/>
    <cellStyle name="Standaard 63 2 3 3 5" xfId="46917"/>
    <cellStyle name="Standaard 63 2 3 3 5 2" xfId="46918"/>
    <cellStyle name="Standaard 63 2 3 3 6" xfId="46919"/>
    <cellStyle name="Standaard 63 2 3 3 7" xfId="46920"/>
    <cellStyle name="Standaard 63 2 3 4" xfId="46921"/>
    <cellStyle name="Standaard 63 2 3 4 2" xfId="46922"/>
    <cellStyle name="Standaard 63 2 3 4 2 2" xfId="46923"/>
    <cellStyle name="Standaard 63 2 3 4 2 2 2" xfId="46924"/>
    <cellStyle name="Standaard 63 2 3 4 2 2 2 2" xfId="46925"/>
    <cellStyle name="Standaard 63 2 3 4 2 2 3" xfId="46926"/>
    <cellStyle name="Standaard 63 2 3 4 2 3" xfId="46927"/>
    <cellStyle name="Standaard 63 2 3 4 2 3 2" xfId="46928"/>
    <cellStyle name="Standaard 63 2 3 4 2 4" xfId="46929"/>
    <cellStyle name="Standaard 63 2 3 4 3" xfId="46930"/>
    <cellStyle name="Standaard 63 2 3 4 3 2" xfId="46931"/>
    <cellStyle name="Standaard 63 2 3 4 3 2 2" xfId="46932"/>
    <cellStyle name="Standaard 63 2 3 4 3 3" xfId="46933"/>
    <cellStyle name="Standaard 63 2 3 4 4" xfId="46934"/>
    <cellStyle name="Standaard 63 2 3 4 4 2" xfId="46935"/>
    <cellStyle name="Standaard 63 2 3 4 5" xfId="46936"/>
    <cellStyle name="Standaard 63 2 3 4 6" xfId="46937"/>
    <cellStyle name="Standaard 63 2 3 5" xfId="46938"/>
    <cellStyle name="Standaard 63 2 3 5 2" xfId="46939"/>
    <cellStyle name="Standaard 63 2 3 5 2 2" xfId="46940"/>
    <cellStyle name="Standaard 63 2 3 5 2 2 2" xfId="46941"/>
    <cellStyle name="Standaard 63 2 3 5 2 3" xfId="46942"/>
    <cellStyle name="Standaard 63 2 3 5 3" xfId="46943"/>
    <cellStyle name="Standaard 63 2 3 5 3 2" xfId="46944"/>
    <cellStyle name="Standaard 63 2 3 5 4" xfId="46945"/>
    <cellStyle name="Standaard 63 2 3 6" xfId="46946"/>
    <cellStyle name="Standaard 63 2 3 6 2" xfId="46947"/>
    <cellStyle name="Standaard 63 2 3 6 2 2" xfId="46948"/>
    <cellStyle name="Standaard 63 2 3 6 3" xfId="46949"/>
    <cellStyle name="Standaard 63 2 3 7" xfId="46950"/>
    <cellStyle name="Standaard 63 2 3 7 2" xfId="46951"/>
    <cellStyle name="Standaard 63 2 3 8" xfId="46952"/>
    <cellStyle name="Standaard 63 2 3 9" xfId="46953"/>
    <cellStyle name="Standaard 63 2 4" xfId="46954"/>
    <cellStyle name="Standaard 63 2 4 2" xfId="46955"/>
    <cellStyle name="Standaard 63 2 4 2 2" xfId="46956"/>
    <cellStyle name="Standaard 63 2 4 2 2 2" xfId="46957"/>
    <cellStyle name="Standaard 63 2 4 2 2 2 2" xfId="46958"/>
    <cellStyle name="Standaard 63 2 4 2 2 2 2 2" xfId="46959"/>
    <cellStyle name="Standaard 63 2 4 2 2 2 2 2 2" xfId="46960"/>
    <cellStyle name="Standaard 63 2 4 2 2 2 2 3" xfId="46961"/>
    <cellStyle name="Standaard 63 2 4 2 2 2 3" xfId="46962"/>
    <cellStyle name="Standaard 63 2 4 2 2 2 3 2" xfId="46963"/>
    <cellStyle name="Standaard 63 2 4 2 2 2 4" xfId="46964"/>
    <cellStyle name="Standaard 63 2 4 2 2 3" xfId="46965"/>
    <cellStyle name="Standaard 63 2 4 2 2 3 2" xfId="46966"/>
    <cellStyle name="Standaard 63 2 4 2 2 3 2 2" xfId="46967"/>
    <cellStyle name="Standaard 63 2 4 2 2 3 3" xfId="46968"/>
    <cellStyle name="Standaard 63 2 4 2 2 4" xfId="46969"/>
    <cellStyle name="Standaard 63 2 4 2 2 4 2" xfId="46970"/>
    <cellStyle name="Standaard 63 2 4 2 2 5" xfId="46971"/>
    <cellStyle name="Standaard 63 2 4 2 2 6" xfId="46972"/>
    <cellStyle name="Standaard 63 2 4 2 3" xfId="46973"/>
    <cellStyle name="Standaard 63 2 4 2 3 2" xfId="46974"/>
    <cellStyle name="Standaard 63 2 4 2 3 2 2" xfId="46975"/>
    <cellStyle name="Standaard 63 2 4 2 3 2 2 2" xfId="46976"/>
    <cellStyle name="Standaard 63 2 4 2 3 2 3" xfId="46977"/>
    <cellStyle name="Standaard 63 2 4 2 3 3" xfId="46978"/>
    <cellStyle name="Standaard 63 2 4 2 3 3 2" xfId="46979"/>
    <cellStyle name="Standaard 63 2 4 2 3 4" xfId="46980"/>
    <cellStyle name="Standaard 63 2 4 2 4" xfId="46981"/>
    <cellStyle name="Standaard 63 2 4 2 4 2" xfId="46982"/>
    <cellStyle name="Standaard 63 2 4 2 4 2 2" xfId="46983"/>
    <cellStyle name="Standaard 63 2 4 2 4 3" xfId="46984"/>
    <cellStyle name="Standaard 63 2 4 2 5" xfId="46985"/>
    <cellStyle name="Standaard 63 2 4 2 5 2" xfId="46986"/>
    <cellStyle name="Standaard 63 2 4 2 6" xfId="46987"/>
    <cellStyle name="Standaard 63 2 4 2 7" xfId="46988"/>
    <cellStyle name="Standaard 63 2 4 3" xfId="46989"/>
    <cellStyle name="Standaard 63 2 4 3 2" xfId="46990"/>
    <cellStyle name="Standaard 63 2 4 3 2 2" xfId="46991"/>
    <cellStyle name="Standaard 63 2 4 3 2 2 2" xfId="46992"/>
    <cellStyle name="Standaard 63 2 4 3 2 2 2 2" xfId="46993"/>
    <cellStyle name="Standaard 63 2 4 3 2 2 3" xfId="46994"/>
    <cellStyle name="Standaard 63 2 4 3 2 3" xfId="46995"/>
    <cellStyle name="Standaard 63 2 4 3 2 3 2" xfId="46996"/>
    <cellStyle name="Standaard 63 2 4 3 2 4" xfId="46997"/>
    <cellStyle name="Standaard 63 2 4 3 3" xfId="46998"/>
    <cellStyle name="Standaard 63 2 4 3 3 2" xfId="46999"/>
    <cellStyle name="Standaard 63 2 4 3 3 2 2" xfId="47000"/>
    <cellStyle name="Standaard 63 2 4 3 3 3" xfId="47001"/>
    <cellStyle name="Standaard 63 2 4 3 4" xfId="47002"/>
    <cellStyle name="Standaard 63 2 4 3 4 2" xfId="47003"/>
    <cellStyle name="Standaard 63 2 4 3 5" xfId="47004"/>
    <cellStyle name="Standaard 63 2 4 3 6" xfId="47005"/>
    <cellStyle name="Standaard 63 2 4 4" xfId="47006"/>
    <cellStyle name="Standaard 63 2 4 4 2" xfId="47007"/>
    <cellStyle name="Standaard 63 2 4 4 2 2" xfId="47008"/>
    <cellStyle name="Standaard 63 2 4 4 2 2 2" xfId="47009"/>
    <cellStyle name="Standaard 63 2 4 4 2 3" xfId="47010"/>
    <cellStyle name="Standaard 63 2 4 4 3" xfId="47011"/>
    <cellStyle name="Standaard 63 2 4 4 3 2" xfId="47012"/>
    <cellStyle name="Standaard 63 2 4 4 4" xfId="47013"/>
    <cellStyle name="Standaard 63 2 4 5" xfId="47014"/>
    <cellStyle name="Standaard 63 2 4 5 2" xfId="47015"/>
    <cellStyle name="Standaard 63 2 4 5 2 2" xfId="47016"/>
    <cellStyle name="Standaard 63 2 4 5 3" xfId="47017"/>
    <cellStyle name="Standaard 63 2 4 6" xfId="47018"/>
    <cellStyle name="Standaard 63 2 4 6 2" xfId="47019"/>
    <cellStyle name="Standaard 63 2 4 7" xfId="47020"/>
    <cellStyle name="Standaard 63 2 4 8" xfId="47021"/>
    <cellStyle name="Standaard 63 2 5" xfId="47022"/>
    <cellStyle name="Standaard 63 2 5 2" xfId="47023"/>
    <cellStyle name="Standaard 63 2 5 2 2" xfId="47024"/>
    <cellStyle name="Standaard 63 2 5 2 2 2" xfId="47025"/>
    <cellStyle name="Standaard 63 2 5 2 2 2 2" xfId="47026"/>
    <cellStyle name="Standaard 63 2 5 2 2 2 2 2" xfId="47027"/>
    <cellStyle name="Standaard 63 2 5 2 2 2 2 2 2" xfId="47028"/>
    <cellStyle name="Standaard 63 2 5 2 2 2 2 3" xfId="47029"/>
    <cellStyle name="Standaard 63 2 5 2 2 2 3" xfId="47030"/>
    <cellStyle name="Standaard 63 2 5 2 2 2 3 2" xfId="47031"/>
    <cellStyle name="Standaard 63 2 5 2 2 2 4" xfId="47032"/>
    <cellStyle name="Standaard 63 2 5 2 2 3" xfId="47033"/>
    <cellStyle name="Standaard 63 2 5 2 2 3 2" xfId="47034"/>
    <cellStyle name="Standaard 63 2 5 2 2 3 2 2" xfId="47035"/>
    <cellStyle name="Standaard 63 2 5 2 2 3 3" xfId="47036"/>
    <cellStyle name="Standaard 63 2 5 2 2 4" xfId="47037"/>
    <cellStyle name="Standaard 63 2 5 2 2 4 2" xfId="47038"/>
    <cellStyle name="Standaard 63 2 5 2 2 5" xfId="47039"/>
    <cellStyle name="Standaard 63 2 5 2 2 6" xfId="47040"/>
    <cellStyle name="Standaard 63 2 5 2 3" xfId="47041"/>
    <cellStyle name="Standaard 63 2 5 2 3 2" xfId="47042"/>
    <cellStyle name="Standaard 63 2 5 2 3 2 2" xfId="47043"/>
    <cellStyle name="Standaard 63 2 5 2 3 2 2 2" xfId="47044"/>
    <cellStyle name="Standaard 63 2 5 2 3 2 3" xfId="47045"/>
    <cellStyle name="Standaard 63 2 5 2 3 3" xfId="47046"/>
    <cellStyle name="Standaard 63 2 5 2 3 3 2" xfId="47047"/>
    <cellStyle name="Standaard 63 2 5 2 3 4" xfId="47048"/>
    <cellStyle name="Standaard 63 2 5 2 4" xfId="47049"/>
    <cellStyle name="Standaard 63 2 5 2 4 2" xfId="47050"/>
    <cellStyle name="Standaard 63 2 5 2 4 2 2" xfId="47051"/>
    <cellStyle name="Standaard 63 2 5 2 4 3" xfId="47052"/>
    <cellStyle name="Standaard 63 2 5 2 5" xfId="47053"/>
    <cellStyle name="Standaard 63 2 5 2 5 2" xfId="47054"/>
    <cellStyle name="Standaard 63 2 5 2 6" xfId="47055"/>
    <cellStyle name="Standaard 63 2 5 2 7" xfId="47056"/>
    <cellStyle name="Standaard 63 2 5 3" xfId="47057"/>
    <cellStyle name="Standaard 63 2 5 3 2" xfId="47058"/>
    <cellStyle name="Standaard 63 2 5 3 2 2" xfId="47059"/>
    <cellStyle name="Standaard 63 2 5 3 2 2 2" xfId="47060"/>
    <cellStyle name="Standaard 63 2 5 3 2 2 2 2" xfId="47061"/>
    <cellStyle name="Standaard 63 2 5 3 2 2 3" xfId="47062"/>
    <cellStyle name="Standaard 63 2 5 3 2 3" xfId="47063"/>
    <cellStyle name="Standaard 63 2 5 3 2 3 2" xfId="47064"/>
    <cellStyle name="Standaard 63 2 5 3 2 4" xfId="47065"/>
    <cellStyle name="Standaard 63 2 5 3 3" xfId="47066"/>
    <cellStyle name="Standaard 63 2 5 3 3 2" xfId="47067"/>
    <cellStyle name="Standaard 63 2 5 3 3 2 2" xfId="47068"/>
    <cellStyle name="Standaard 63 2 5 3 3 3" xfId="47069"/>
    <cellStyle name="Standaard 63 2 5 3 4" xfId="47070"/>
    <cellStyle name="Standaard 63 2 5 3 4 2" xfId="47071"/>
    <cellStyle name="Standaard 63 2 5 3 5" xfId="47072"/>
    <cellStyle name="Standaard 63 2 5 3 6" xfId="47073"/>
    <cellStyle name="Standaard 63 2 5 4" xfId="47074"/>
    <cellStyle name="Standaard 63 2 5 4 2" xfId="47075"/>
    <cellStyle name="Standaard 63 2 5 4 2 2" xfId="47076"/>
    <cellStyle name="Standaard 63 2 5 4 2 2 2" xfId="47077"/>
    <cellStyle name="Standaard 63 2 5 4 2 3" xfId="47078"/>
    <cellStyle name="Standaard 63 2 5 4 3" xfId="47079"/>
    <cellStyle name="Standaard 63 2 5 4 3 2" xfId="47080"/>
    <cellStyle name="Standaard 63 2 5 4 4" xfId="47081"/>
    <cellStyle name="Standaard 63 2 5 5" xfId="47082"/>
    <cellStyle name="Standaard 63 2 5 5 2" xfId="47083"/>
    <cellStyle name="Standaard 63 2 5 5 2 2" xfId="47084"/>
    <cellStyle name="Standaard 63 2 5 5 3" xfId="47085"/>
    <cellStyle name="Standaard 63 2 5 6" xfId="47086"/>
    <cellStyle name="Standaard 63 2 5 6 2" xfId="47087"/>
    <cellStyle name="Standaard 63 2 5 7" xfId="47088"/>
    <cellStyle name="Standaard 63 2 5 8" xfId="47089"/>
    <cellStyle name="Standaard 63 2 6" xfId="47090"/>
    <cellStyle name="Standaard 63 2 6 2" xfId="47091"/>
    <cellStyle name="Standaard 63 2 6 2 2" xfId="47092"/>
    <cellStyle name="Standaard 63 2 6 2 2 2" xfId="47093"/>
    <cellStyle name="Standaard 63 2 6 2 2 2 2" xfId="47094"/>
    <cellStyle name="Standaard 63 2 6 2 2 2 2 2" xfId="47095"/>
    <cellStyle name="Standaard 63 2 6 2 2 2 3" xfId="47096"/>
    <cellStyle name="Standaard 63 2 6 2 2 3" xfId="47097"/>
    <cellStyle name="Standaard 63 2 6 2 2 3 2" xfId="47098"/>
    <cellStyle name="Standaard 63 2 6 2 2 4" xfId="47099"/>
    <cellStyle name="Standaard 63 2 6 2 3" xfId="47100"/>
    <cellStyle name="Standaard 63 2 6 2 3 2" xfId="47101"/>
    <cellStyle name="Standaard 63 2 6 2 3 2 2" xfId="47102"/>
    <cellStyle name="Standaard 63 2 6 2 3 3" xfId="47103"/>
    <cellStyle name="Standaard 63 2 6 2 4" xfId="47104"/>
    <cellStyle name="Standaard 63 2 6 2 4 2" xfId="47105"/>
    <cellStyle name="Standaard 63 2 6 2 5" xfId="47106"/>
    <cellStyle name="Standaard 63 2 6 2 6" xfId="47107"/>
    <cellStyle name="Standaard 63 2 6 3" xfId="47108"/>
    <cellStyle name="Standaard 63 2 6 3 2" xfId="47109"/>
    <cellStyle name="Standaard 63 2 6 3 2 2" xfId="47110"/>
    <cellStyle name="Standaard 63 2 6 3 2 2 2" xfId="47111"/>
    <cellStyle name="Standaard 63 2 6 3 2 3" xfId="47112"/>
    <cellStyle name="Standaard 63 2 6 3 3" xfId="47113"/>
    <cellStyle name="Standaard 63 2 6 3 3 2" xfId="47114"/>
    <cellStyle name="Standaard 63 2 6 3 4" xfId="47115"/>
    <cellStyle name="Standaard 63 2 6 4" xfId="47116"/>
    <cellStyle name="Standaard 63 2 6 4 2" xfId="47117"/>
    <cellStyle name="Standaard 63 2 6 4 2 2" xfId="47118"/>
    <cellStyle name="Standaard 63 2 6 4 3" xfId="47119"/>
    <cellStyle name="Standaard 63 2 6 5" xfId="47120"/>
    <cellStyle name="Standaard 63 2 6 5 2" xfId="47121"/>
    <cellStyle name="Standaard 63 2 6 6" xfId="47122"/>
    <cellStyle name="Standaard 63 2 6 7" xfId="47123"/>
    <cellStyle name="Standaard 63 2 7" xfId="47124"/>
    <cellStyle name="Standaard 63 2 7 2" xfId="47125"/>
    <cellStyle name="Standaard 63 2 7 2 2" xfId="47126"/>
    <cellStyle name="Standaard 63 2 7 2 2 2" xfId="47127"/>
    <cellStyle name="Standaard 63 2 7 2 2 2 2" xfId="47128"/>
    <cellStyle name="Standaard 63 2 7 2 2 3" xfId="47129"/>
    <cellStyle name="Standaard 63 2 7 2 3" xfId="47130"/>
    <cellStyle name="Standaard 63 2 7 2 3 2" xfId="47131"/>
    <cellStyle name="Standaard 63 2 7 2 4" xfId="47132"/>
    <cellStyle name="Standaard 63 2 7 3" xfId="47133"/>
    <cellStyle name="Standaard 63 2 7 3 2" xfId="47134"/>
    <cellStyle name="Standaard 63 2 7 3 2 2" xfId="47135"/>
    <cellStyle name="Standaard 63 2 7 3 3" xfId="47136"/>
    <cellStyle name="Standaard 63 2 7 4" xfId="47137"/>
    <cellStyle name="Standaard 63 2 7 4 2" xfId="47138"/>
    <cellStyle name="Standaard 63 2 7 5" xfId="47139"/>
    <cellStyle name="Standaard 63 2 7 6" xfId="47140"/>
    <cellStyle name="Standaard 63 2 8" xfId="47141"/>
    <cellStyle name="Standaard 63 2 8 2" xfId="47142"/>
    <cellStyle name="Standaard 63 2 8 2 2" xfId="47143"/>
    <cellStyle name="Standaard 63 2 8 2 2 2" xfId="47144"/>
    <cellStyle name="Standaard 63 2 8 2 3" xfId="47145"/>
    <cellStyle name="Standaard 63 2 8 3" xfId="47146"/>
    <cellStyle name="Standaard 63 2 8 3 2" xfId="47147"/>
    <cellStyle name="Standaard 63 2 8 4" xfId="47148"/>
    <cellStyle name="Standaard 63 2 9" xfId="47149"/>
    <cellStyle name="Standaard 63 2 9 2" xfId="47150"/>
    <cellStyle name="Standaard 63 2 9 2 2" xfId="47151"/>
    <cellStyle name="Standaard 63 2 9 3" xfId="47152"/>
    <cellStyle name="Standaard 63 3" xfId="47153"/>
    <cellStyle name="Standaard 63 3 10" xfId="47154"/>
    <cellStyle name="Standaard 63 3 11" xfId="47155"/>
    <cellStyle name="Standaard 63 3 2" xfId="47156"/>
    <cellStyle name="Standaard 63 3 2 2" xfId="47157"/>
    <cellStyle name="Standaard 63 3 2 2 2" xfId="47158"/>
    <cellStyle name="Standaard 63 3 2 2 2 2" xfId="47159"/>
    <cellStyle name="Standaard 63 3 2 2 2 2 2" xfId="47160"/>
    <cellStyle name="Standaard 63 3 2 2 2 2 2 2" xfId="47161"/>
    <cellStyle name="Standaard 63 3 2 2 2 2 2 2 2" xfId="47162"/>
    <cellStyle name="Standaard 63 3 2 2 2 2 2 2 2 2" xfId="47163"/>
    <cellStyle name="Standaard 63 3 2 2 2 2 2 2 3" xfId="47164"/>
    <cellStyle name="Standaard 63 3 2 2 2 2 2 3" xfId="47165"/>
    <cellStyle name="Standaard 63 3 2 2 2 2 2 3 2" xfId="47166"/>
    <cellStyle name="Standaard 63 3 2 2 2 2 2 4" xfId="47167"/>
    <cellStyle name="Standaard 63 3 2 2 2 2 3" xfId="47168"/>
    <cellStyle name="Standaard 63 3 2 2 2 2 3 2" xfId="47169"/>
    <cellStyle name="Standaard 63 3 2 2 2 2 3 2 2" xfId="47170"/>
    <cellStyle name="Standaard 63 3 2 2 2 2 3 3" xfId="47171"/>
    <cellStyle name="Standaard 63 3 2 2 2 2 4" xfId="47172"/>
    <cellStyle name="Standaard 63 3 2 2 2 2 4 2" xfId="47173"/>
    <cellStyle name="Standaard 63 3 2 2 2 2 5" xfId="47174"/>
    <cellStyle name="Standaard 63 3 2 2 2 2 6" xfId="47175"/>
    <cellStyle name="Standaard 63 3 2 2 2 3" xfId="47176"/>
    <cellStyle name="Standaard 63 3 2 2 2 3 2" xfId="47177"/>
    <cellStyle name="Standaard 63 3 2 2 2 3 2 2" xfId="47178"/>
    <cellStyle name="Standaard 63 3 2 2 2 3 2 2 2" xfId="47179"/>
    <cellStyle name="Standaard 63 3 2 2 2 3 2 3" xfId="47180"/>
    <cellStyle name="Standaard 63 3 2 2 2 3 3" xfId="47181"/>
    <cellStyle name="Standaard 63 3 2 2 2 3 3 2" xfId="47182"/>
    <cellStyle name="Standaard 63 3 2 2 2 3 4" xfId="47183"/>
    <cellStyle name="Standaard 63 3 2 2 2 4" xfId="47184"/>
    <cellStyle name="Standaard 63 3 2 2 2 4 2" xfId="47185"/>
    <cellStyle name="Standaard 63 3 2 2 2 4 2 2" xfId="47186"/>
    <cellStyle name="Standaard 63 3 2 2 2 4 3" xfId="47187"/>
    <cellStyle name="Standaard 63 3 2 2 2 5" xfId="47188"/>
    <cellStyle name="Standaard 63 3 2 2 2 5 2" xfId="47189"/>
    <cellStyle name="Standaard 63 3 2 2 2 6" xfId="47190"/>
    <cellStyle name="Standaard 63 3 2 2 2 7" xfId="47191"/>
    <cellStyle name="Standaard 63 3 2 2 3" xfId="47192"/>
    <cellStyle name="Standaard 63 3 2 2 3 2" xfId="47193"/>
    <cellStyle name="Standaard 63 3 2 2 3 2 2" xfId="47194"/>
    <cellStyle name="Standaard 63 3 2 2 3 2 2 2" xfId="47195"/>
    <cellStyle name="Standaard 63 3 2 2 3 2 2 2 2" xfId="47196"/>
    <cellStyle name="Standaard 63 3 2 2 3 2 2 3" xfId="47197"/>
    <cellStyle name="Standaard 63 3 2 2 3 2 3" xfId="47198"/>
    <cellStyle name="Standaard 63 3 2 2 3 2 3 2" xfId="47199"/>
    <cellStyle name="Standaard 63 3 2 2 3 2 4" xfId="47200"/>
    <cellStyle name="Standaard 63 3 2 2 3 3" xfId="47201"/>
    <cellStyle name="Standaard 63 3 2 2 3 3 2" xfId="47202"/>
    <cellStyle name="Standaard 63 3 2 2 3 3 2 2" xfId="47203"/>
    <cellStyle name="Standaard 63 3 2 2 3 3 3" xfId="47204"/>
    <cellStyle name="Standaard 63 3 2 2 3 4" xfId="47205"/>
    <cellStyle name="Standaard 63 3 2 2 3 4 2" xfId="47206"/>
    <cellStyle name="Standaard 63 3 2 2 3 5" xfId="47207"/>
    <cellStyle name="Standaard 63 3 2 2 3 6" xfId="47208"/>
    <cellStyle name="Standaard 63 3 2 2 4" xfId="47209"/>
    <cellStyle name="Standaard 63 3 2 2 4 2" xfId="47210"/>
    <cellStyle name="Standaard 63 3 2 2 4 2 2" xfId="47211"/>
    <cellStyle name="Standaard 63 3 2 2 4 2 2 2" xfId="47212"/>
    <cellStyle name="Standaard 63 3 2 2 4 2 3" xfId="47213"/>
    <cellStyle name="Standaard 63 3 2 2 4 3" xfId="47214"/>
    <cellStyle name="Standaard 63 3 2 2 4 3 2" xfId="47215"/>
    <cellStyle name="Standaard 63 3 2 2 4 4" xfId="47216"/>
    <cellStyle name="Standaard 63 3 2 2 5" xfId="47217"/>
    <cellStyle name="Standaard 63 3 2 2 5 2" xfId="47218"/>
    <cellStyle name="Standaard 63 3 2 2 5 2 2" xfId="47219"/>
    <cellStyle name="Standaard 63 3 2 2 5 3" xfId="47220"/>
    <cellStyle name="Standaard 63 3 2 2 6" xfId="47221"/>
    <cellStyle name="Standaard 63 3 2 2 6 2" xfId="47222"/>
    <cellStyle name="Standaard 63 3 2 2 7" xfId="47223"/>
    <cellStyle name="Standaard 63 3 2 2 8" xfId="47224"/>
    <cellStyle name="Standaard 63 3 2 3" xfId="47225"/>
    <cellStyle name="Standaard 63 3 2 3 2" xfId="47226"/>
    <cellStyle name="Standaard 63 3 2 3 2 2" xfId="47227"/>
    <cellStyle name="Standaard 63 3 2 3 2 2 2" xfId="47228"/>
    <cellStyle name="Standaard 63 3 2 3 2 2 2 2" xfId="47229"/>
    <cellStyle name="Standaard 63 3 2 3 2 2 2 2 2" xfId="47230"/>
    <cellStyle name="Standaard 63 3 2 3 2 2 2 3" xfId="47231"/>
    <cellStyle name="Standaard 63 3 2 3 2 2 3" xfId="47232"/>
    <cellStyle name="Standaard 63 3 2 3 2 2 3 2" xfId="47233"/>
    <cellStyle name="Standaard 63 3 2 3 2 2 4" xfId="47234"/>
    <cellStyle name="Standaard 63 3 2 3 2 3" xfId="47235"/>
    <cellStyle name="Standaard 63 3 2 3 2 3 2" xfId="47236"/>
    <cellStyle name="Standaard 63 3 2 3 2 3 2 2" xfId="47237"/>
    <cellStyle name="Standaard 63 3 2 3 2 3 3" xfId="47238"/>
    <cellStyle name="Standaard 63 3 2 3 2 4" xfId="47239"/>
    <cellStyle name="Standaard 63 3 2 3 2 4 2" xfId="47240"/>
    <cellStyle name="Standaard 63 3 2 3 2 5" xfId="47241"/>
    <cellStyle name="Standaard 63 3 2 3 2 6" xfId="47242"/>
    <cellStyle name="Standaard 63 3 2 3 3" xfId="47243"/>
    <cellStyle name="Standaard 63 3 2 3 3 2" xfId="47244"/>
    <cellStyle name="Standaard 63 3 2 3 3 2 2" xfId="47245"/>
    <cellStyle name="Standaard 63 3 2 3 3 2 2 2" xfId="47246"/>
    <cellStyle name="Standaard 63 3 2 3 3 2 3" xfId="47247"/>
    <cellStyle name="Standaard 63 3 2 3 3 3" xfId="47248"/>
    <cellStyle name="Standaard 63 3 2 3 3 3 2" xfId="47249"/>
    <cellStyle name="Standaard 63 3 2 3 3 4" xfId="47250"/>
    <cellStyle name="Standaard 63 3 2 3 4" xfId="47251"/>
    <cellStyle name="Standaard 63 3 2 3 4 2" xfId="47252"/>
    <cellStyle name="Standaard 63 3 2 3 4 2 2" xfId="47253"/>
    <cellStyle name="Standaard 63 3 2 3 4 3" xfId="47254"/>
    <cellStyle name="Standaard 63 3 2 3 5" xfId="47255"/>
    <cellStyle name="Standaard 63 3 2 3 5 2" xfId="47256"/>
    <cellStyle name="Standaard 63 3 2 3 6" xfId="47257"/>
    <cellStyle name="Standaard 63 3 2 3 7" xfId="47258"/>
    <cellStyle name="Standaard 63 3 2 4" xfId="47259"/>
    <cellStyle name="Standaard 63 3 2 4 2" xfId="47260"/>
    <cellStyle name="Standaard 63 3 2 4 2 2" xfId="47261"/>
    <cellStyle name="Standaard 63 3 2 4 2 2 2" xfId="47262"/>
    <cellStyle name="Standaard 63 3 2 4 2 2 2 2" xfId="47263"/>
    <cellStyle name="Standaard 63 3 2 4 2 2 3" xfId="47264"/>
    <cellStyle name="Standaard 63 3 2 4 2 3" xfId="47265"/>
    <cellStyle name="Standaard 63 3 2 4 2 3 2" xfId="47266"/>
    <cellStyle name="Standaard 63 3 2 4 2 4" xfId="47267"/>
    <cellStyle name="Standaard 63 3 2 4 3" xfId="47268"/>
    <cellStyle name="Standaard 63 3 2 4 3 2" xfId="47269"/>
    <cellStyle name="Standaard 63 3 2 4 3 2 2" xfId="47270"/>
    <cellStyle name="Standaard 63 3 2 4 3 3" xfId="47271"/>
    <cellStyle name="Standaard 63 3 2 4 4" xfId="47272"/>
    <cellStyle name="Standaard 63 3 2 4 4 2" xfId="47273"/>
    <cellStyle name="Standaard 63 3 2 4 5" xfId="47274"/>
    <cellStyle name="Standaard 63 3 2 4 6" xfId="47275"/>
    <cellStyle name="Standaard 63 3 2 5" xfId="47276"/>
    <cellStyle name="Standaard 63 3 2 5 2" xfId="47277"/>
    <cellStyle name="Standaard 63 3 2 5 2 2" xfId="47278"/>
    <cellStyle name="Standaard 63 3 2 5 2 2 2" xfId="47279"/>
    <cellStyle name="Standaard 63 3 2 5 2 3" xfId="47280"/>
    <cellStyle name="Standaard 63 3 2 5 3" xfId="47281"/>
    <cellStyle name="Standaard 63 3 2 5 3 2" xfId="47282"/>
    <cellStyle name="Standaard 63 3 2 5 4" xfId="47283"/>
    <cellStyle name="Standaard 63 3 2 6" xfId="47284"/>
    <cellStyle name="Standaard 63 3 2 6 2" xfId="47285"/>
    <cellStyle name="Standaard 63 3 2 6 2 2" xfId="47286"/>
    <cellStyle name="Standaard 63 3 2 6 3" xfId="47287"/>
    <cellStyle name="Standaard 63 3 2 7" xfId="47288"/>
    <cellStyle name="Standaard 63 3 2 7 2" xfId="47289"/>
    <cellStyle name="Standaard 63 3 2 8" xfId="47290"/>
    <cellStyle name="Standaard 63 3 2 9" xfId="47291"/>
    <cellStyle name="Standaard 63 3 3" xfId="47292"/>
    <cellStyle name="Standaard 63 3 3 2" xfId="47293"/>
    <cellStyle name="Standaard 63 3 3 2 2" xfId="47294"/>
    <cellStyle name="Standaard 63 3 3 2 2 2" xfId="47295"/>
    <cellStyle name="Standaard 63 3 3 2 2 2 2" xfId="47296"/>
    <cellStyle name="Standaard 63 3 3 2 2 2 2 2" xfId="47297"/>
    <cellStyle name="Standaard 63 3 3 2 2 2 2 2 2" xfId="47298"/>
    <cellStyle name="Standaard 63 3 3 2 2 2 2 3" xfId="47299"/>
    <cellStyle name="Standaard 63 3 3 2 2 2 3" xfId="47300"/>
    <cellStyle name="Standaard 63 3 3 2 2 2 3 2" xfId="47301"/>
    <cellStyle name="Standaard 63 3 3 2 2 2 4" xfId="47302"/>
    <cellStyle name="Standaard 63 3 3 2 2 3" xfId="47303"/>
    <cellStyle name="Standaard 63 3 3 2 2 3 2" xfId="47304"/>
    <cellStyle name="Standaard 63 3 3 2 2 3 2 2" xfId="47305"/>
    <cellStyle name="Standaard 63 3 3 2 2 3 3" xfId="47306"/>
    <cellStyle name="Standaard 63 3 3 2 2 4" xfId="47307"/>
    <cellStyle name="Standaard 63 3 3 2 2 4 2" xfId="47308"/>
    <cellStyle name="Standaard 63 3 3 2 2 5" xfId="47309"/>
    <cellStyle name="Standaard 63 3 3 2 2 6" xfId="47310"/>
    <cellStyle name="Standaard 63 3 3 2 3" xfId="47311"/>
    <cellStyle name="Standaard 63 3 3 2 3 2" xfId="47312"/>
    <cellStyle name="Standaard 63 3 3 2 3 2 2" xfId="47313"/>
    <cellStyle name="Standaard 63 3 3 2 3 2 2 2" xfId="47314"/>
    <cellStyle name="Standaard 63 3 3 2 3 2 3" xfId="47315"/>
    <cellStyle name="Standaard 63 3 3 2 3 3" xfId="47316"/>
    <cellStyle name="Standaard 63 3 3 2 3 3 2" xfId="47317"/>
    <cellStyle name="Standaard 63 3 3 2 3 4" xfId="47318"/>
    <cellStyle name="Standaard 63 3 3 2 4" xfId="47319"/>
    <cellStyle name="Standaard 63 3 3 2 4 2" xfId="47320"/>
    <cellStyle name="Standaard 63 3 3 2 4 2 2" xfId="47321"/>
    <cellStyle name="Standaard 63 3 3 2 4 3" xfId="47322"/>
    <cellStyle name="Standaard 63 3 3 2 5" xfId="47323"/>
    <cellStyle name="Standaard 63 3 3 2 5 2" xfId="47324"/>
    <cellStyle name="Standaard 63 3 3 2 6" xfId="47325"/>
    <cellStyle name="Standaard 63 3 3 2 7" xfId="47326"/>
    <cellStyle name="Standaard 63 3 3 3" xfId="47327"/>
    <cellStyle name="Standaard 63 3 3 3 2" xfId="47328"/>
    <cellStyle name="Standaard 63 3 3 3 2 2" xfId="47329"/>
    <cellStyle name="Standaard 63 3 3 3 2 2 2" xfId="47330"/>
    <cellStyle name="Standaard 63 3 3 3 2 2 2 2" xfId="47331"/>
    <cellStyle name="Standaard 63 3 3 3 2 2 3" xfId="47332"/>
    <cellStyle name="Standaard 63 3 3 3 2 3" xfId="47333"/>
    <cellStyle name="Standaard 63 3 3 3 2 3 2" xfId="47334"/>
    <cellStyle name="Standaard 63 3 3 3 2 4" xfId="47335"/>
    <cellStyle name="Standaard 63 3 3 3 3" xfId="47336"/>
    <cellStyle name="Standaard 63 3 3 3 3 2" xfId="47337"/>
    <cellStyle name="Standaard 63 3 3 3 3 2 2" xfId="47338"/>
    <cellStyle name="Standaard 63 3 3 3 3 3" xfId="47339"/>
    <cellStyle name="Standaard 63 3 3 3 4" xfId="47340"/>
    <cellStyle name="Standaard 63 3 3 3 4 2" xfId="47341"/>
    <cellStyle name="Standaard 63 3 3 3 5" xfId="47342"/>
    <cellStyle name="Standaard 63 3 3 3 6" xfId="47343"/>
    <cellStyle name="Standaard 63 3 3 4" xfId="47344"/>
    <cellStyle name="Standaard 63 3 3 4 2" xfId="47345"/>
    <cellStyle name="Standaard 63 3 3 4 2 2" xfId="47346"/>
    <cellStyle name="Standaard 63 3 3 4 2 2 2" xfId="47347"/>
    <cellStyle name="Standaard 63 3 3 4 2 3" xfId="47348"/>
    <cellStyle name="Standaard 63 3 3 4 3" xfId="47349"/>
    <cellStyle name="Standaard 63 3 3 4 3 2" xfId="47350"/>
    <cellStyle name="Standaard 63 3 3 4 4" xfId="47351"/>
    <cellStyle name="Standaard 63 3 3 5" xfId="47352"/>
    <cellStyle name="Standaard 63 3 3 5 2" xfId="47353"/>
    <cellStyle name="Standaard 63 3 3 5 2 2" xfId="47354"/>
    <cellStyle name="Standaard 63 3 3 5 3" xfId="47355"/>
    <cellStyle name="Standaard 63 3 3 6" xfId="47356"/>
    <cellStyle name="Standaard 63 3 3 6 2" xfId="47357"/>
    <cellStyle name="Standaard 63 3 3 7" xfId="47358"/>
    <cellStyle name="Standaard 63 3 3 8" xfId="47359"/>
    <cellStyle name="Standaard 63 3 4" xfId="47360"/>
    <cellStyle name="Standaard 63 3 4 2" xfId="47361"/>
    <cellStyle name="Standaard 63 3 4 2 2" xfId="47362"/>
    <cellStyle name="Standaard 63 3 4 2 2 2" xfId="47363"/>
    <cellStyle name="Standaard 63 3 4 2 2 2 2" xfId="47364"/>
    <cellStyle name="Standaard 63 3 4 2 2 2 2 2" xfId="47365"/>
    <cellStyle name="Standaard 63 3 4 2 2 2 2 2 2" xfId="47366"/>
    <cellStyle name="Standaard 63 3 4 2 2 2 2 3" xfId="47367"/>
    <cellStyle name="Standaard 63 3 4 2 2 2 3" xfId="47368"/>
    <cellStyle name="Standaard 63 3 4 2 2 2 3 2" xfId="47369"/>
    <cellStyle name="Standaard 63 3 4 2 2 2 4" xfId="47370"/>
    <cellStyle name="Standaard 63 3 4 2 2 3" xfId="47371"/>
    <cellStyle name="Standaard 63 3 4 2 2 3 2" xfId="47372"/>
    <cellStyle name="Standaard 63 3 4 2 2 3 2 2" xfId="47373"/>
    <cellStyle name="Standaard 63 3 4 2 2 3 3" xfId="47374"/>
    <cellStyle name="Standaard 63 3 4 2 2 4" xfId="47375"/>
    <cellStyle name="Standaard 63 3 4 2 2 4 2" xfId="47376"/>
    <cellStyle name="Standaard 63 3 4 2 2 5" xfId="47377"/>
    <cellStyle name="Standaard 63 3 4 2 2 6" xfId="47378"/>
    <cellStyle name="Standaard 63 3 4 2 3" xfId="47379"/>
    <cellStyle name="Standaard 63 3 4 2 3 2" xfId="47380"/>
    <cellStyle name="Standaard 63 3 4 2 3 2 2" xfId="47381"/>
    <cellStyle name="Standaard 63 3 4 2 3 2 2 2" xfId="47382"/>
    <cellStyle name="Standaard 63 3 4 2 3 2 3" xfId="47383"/>
    <cellStyle name="Standaard 63 3 4 2 3 3" xfId="47384"/>
    <cellStyle name="Standaard 63 3 4 2 3 3 2" xfId="47385"/>
    <cellStyle name="Standaard 63 3 4 2 3 4" xfId="47386"/>
    <cellStyle name="Standaard 63 3 4 2 4" xfId="47387"/>
    <cellStyle name="Standaard 63 3 4 2 4 2" xfId="47388"/>
    <cellStyle name="Standaard 63 3 4 2 4 2 2" xfId="47389"/>
    <cellStyle name="Standaard 63 3 4 2 4 3" xfId="47390"/>
    <cellStyle name="Standaard 63 3 4 2 5" xfId="47391"/>
    <cellStyle name="Standaard 63 3 4 2 5 2" xfId="47392"/>
    <cellStyle name="Standaard 63 3 4 2 6" xfId="47393"/>
    <cellStyle name="Standaard 63 3 4 2 7" xfId="47394"/>
    <cellStyle name="Standaard 63 3 4 3" xfId="47395"/>
    <cellStyle name="Standaard 63 3 4 3 2" xfId="47396"/>
    <cellStyle name="Standaard 63 3 4 3 2 2" xfId="47397"/>
    <cellStyle name="Standaard 63 3 4 3 2 2 2" xfId="47398"/>
    <cellStyle name="Standaard 63 3 4 3 2 2 2 2" xfId="47399"/>
    <cellStyle name="Standaard 63 3 4 3 2 2 3" xfId="47400"/>
    <cellStyle name="Standaard 63 3 4 3 2 3" xfId="47401"/>
    <cellStyle name="Standaard 63 3 4 3 2 3 2" xfId="47402"/>
    <cellStyle name="Standaard 63 3 4 3 2 4" xfId="47403"/>
    <cellStyle name="Standaard 63 3 4 3 3" xfId="47404"/>
    <cellStyle name="Standaard 63 3 4 3 3 2" xfId="47405"/>
    <cellStyle name="Standaard 63 3 4 3 3 2 2" xfId="47406"/>
    <cellStyle name="Standaard 63 3 4 3 3 3" xfId="47407"/>
    <cellStyle name="Standaard 63 3 4 3 4" xfId="47408"/>
    <cellStyle name="Standaard 63 3 4 3 4 2" xfId="47409"/>
    <cellStyle name="Standaard 63 3 4 3 5" xfId="47410"/>
    <cellStyle name="Standaard 63 3 4 3 6" xfId="47411"/>
    <cellStyle name="Standaard 63 3 4 4" xfId="47412"/>
    <cellStyle name="Standaard 63 3 4 4 2" xfId="47413"/>
    <cellStyle name="Standaard 63 3 4 4 2 2" xfId="47414"/>
    <cellStyle name="Standaard 63 3 4 4 2 2 2" xfId="47415"/>
    <cellStyle name="Standaard 63 3 4 4 2 3" xfId="47416"/>
    <cellStyle name="Standaard 63 3 4 4 3" xfId="47417"/>
    <cellStyle name="Standaard 63 3 4 4 3 2" xfId="47418"/>
    <cellStyle name="Standaard 63 3 4 4 4" xfId="47419"/>
    <cellStyle name="Standaard 63 3 4 5" xfId="47420"/>
    <cellStyle name="Standaard 63 3 4 5 2" xfId="47421"/>
    <cellStyle name="Standaard 63 3 4 5 2 2" xfId="47422"/>
    <cellStyle name="Standaard 63 3 4 5 3" xfId="47423"/>
    <cellStyle name="Standaard 63 3 4 6" xfId="47424"/>
    <cellStyle name="Standaard 63 3 4 6 2" xfId="47425"/>
    <cellStyle name="Standaard 63 3 4 7" xfId="47426"/>
    <cellStyle name="Standaard 63 3 4 8" xfId="47427"/>
    <cellStyle name="Standaard 63 3 5" xfId="47428"/>
    <cellStyle name="Standaard 63 3 5 2" xfId="47429"/>
    <cellStyle name="Standaard 63 3 5 2 2" xfId="47430"/>
    <cellStyle name="Standaard 63 3 5 2 2 2" xfId="47431"/>
    <cellStyle name="Standaard 63 3 5 2 2 2 2" xfId="47432"/>
    <cellStyle name="Standaard 63 3 5 2 2 2 2 2" xfId="47433"/>
    <cellStyle name="Standaard 63 3 5 2 2 2 3" xfId="47434"/>
    <cellStyle name="Standaard 63 3 5 2 2 3" xfId="47435"/>
    <cellStyle name="Standaard 63 3 5 2 2 3 2" xfId="47436"/>
    <cellStyle name="Standaard 63 3 5 2 2 4" xfId="47437"/>
    <cellStyle name="Standaard 63 3 5 2 3" xfId="47438"/>
    <cellStyle name="Standaard 63 3 5 2 3 2" xfId="47439"/>
    <cellStyle name="Standaard 63 3 5 2 3 2 2" xfId="47440"/>
    <cellStyle name="Standaard 63 3 5 2 3 3" xfId="47441"/>
    <cellStyle name="Standaard 63 3 5 2 4" xfId="47442"/>
    <cellStyle name="Standaard 63 3 5 2 4 2" xfId="47443"/>
    <cellStyle name="Standaard 63 3 5 2 5" xfId="47444"/>
    <cellStyle name="Standaard 63 3 5 2 6" xfId="47445"/>
    <cellStyle name="Standaard 63 3 5 3" xfId="47446"/>
    <cellStyle name="Standaard 63 3 5 3 2" xfId="47447"/>
    <cellStyle name="Standaard 63 3 5 3 2 2" xfId="47448"/>
    <cellStyle name="Standaard 63 3 5 3 2 2 2" xfId="47449"/>
    <cellStyle name="Standaard 63 3 5 3 2 3" xfId="47450"/>
    <cellStyle name="Standaard 63 3 5 3 3" xfId="47451"/>
    <cellStyle name="Standaard 63 3 5 3 3 2" xfId="47452"/>
    <cellStyle name="Standaard 63 3 5 3 4" xfId="47453"/>
    <cellStyle name="Standaard 63 3 5 4" xfId="47454"/>
    <cellStyle name="Standaard 63 3 5 4 2" xfId="47455"/>
    <cellStyle name="Standaard 63 3 5 4 2 2" xfId="47456"/>
    <cellStyle name="Standaard 63 3 5 4 3" xfId="47457"/>
    <cellStyle name="Standaard 63 3 5 5" xfId="47458"/>
    <cellStyle name="Standaard 63 3 5 5 2" xfId="47459"/>
    <cellStyle name="Standaard 63 3 5 6" xfId="47460"/>
    <cellStyle name="Standaard 63 3 5 7" xfId="47461"/>
    <cellStyle name="Standaard 63 3 6" xfId="47462"/>
    <cellStyle name="Standaard 63 3 6 2" xfId="47463"/>
    <cellStyle name="Standaard 63 3 6 2 2" xfId="47464"/>
    <cellStyle name="Standaard 63 3 6 2 2 2" xfId="47465"/>
    <cellStyle name="Standaard 63 3 6 2 2 2 2" xfId="47466"/>
    <cellStyle name="Standaard 63 3 6 2 2 3" xfId="47467"/>
    <cellStyle name="Standaard 63 3 6 2 3" xfId="47468"/>
    <cellStyle name="Standaard 63 3 6 2 3 2" xfId="47469"/>
    <cellStyle name="Standaard 63 3 6 2 4" xfId="47470"/>
    <cellStyle name="Standaard 63 3 6 3" xfId="47471"/>
    <cellStyle name="Standaard 63 3 6 3 2" xfId="47472"/>
    <cellStyle name="Standaard 63 3 6 3 2 2" xfId="47473"/>
    <cellStyle name="Standaard 63 3 6 3 3" xfId="47474"/>
    <cellStyle name="Standaard 63 3 6 4" xfId="47475"/>
    <cellStyle name="Standaard 63 3 6 4 2" xfId="47476"/>
    <cellStyle name="Standaard 63 3 6 5" xfId="47477"/>
    <cellStyle name="Standaard 63 3 6 6" xfId="47478"/>
    <cellStyle name="Standaard 63 3 7" xfId="47479"/>
    <cellStyle name="Standaard 63 3 7 2" xfId="47480"/>
    <cellStyle name="Standaard 63 3 7 2 2" xfId="47481"/>
    <cellStyle name="Standaard 63 3 7 2 2 2" xfId="47482"/>
    <cellStyle name="Standaard 63 3 7 2 3" xfId="47483"/>
    <cellStyle name="Standaard 63 3 7 3" xfId="47484"/>
    <cellStyle name="Standaard 63 3 7 3 2" xfId="47485"/>
    <cellStyle name="Standaard 63 3 7 4" xfId="47486"/>
    <cellStyle name="Standaard 63 3 8" xfId="47487"/>
    <cellStyle name="Standaard 63 3 8 2" xfId="47488"/>
    <cellStyle name="Standaard 63 3 8 2 2" xfId="47489"/>
    <cellStyle name="Standaard 63 3 8 3" xfId="47490"/>
    <cellStyle name="Standaard 63 3 9" xfId="47491"/>
    <cellStyle name="Standaard 63 3 9 2" xfId="47492"/>
    <cellStyle name="Standaard 63 4" xfId="47493"/>
    <cellStyle name="Standaard 63 4 2" xfId="47494"/>
    <cellStyle name="Standaard 63 4 2 2" xfId="47495"/>
    <cellStyle name="Standaard 63 4 2 2 2" xfId="47496"/>
    <cellStyle name="Standaard 63 4 2 2 2 2" xfId="47497"/>
    <cellStyle name="Standaard 63 4 2 2 2 2 2" xfId="47498"/>
    <cellStyle name="Standaard 63 4 2 2 2 2 2 2" xfId="47499"/>
    <cellStyle name="Standaard 63 4 2 2 2 2 2 2 2" xfId="47500"/>
    <cellStyle name="Standaard 63 4 2 2 2 2 2 3" xfId="47501"/>
    <cellStyle name="Standaard 63 4 2 2 2 2 3" xfId="47502"/>
    <cellStyle name="Standaard 63 4 2 2 2 2 3 2" xfId="47503"/>
    <cellStyle name="Standaard 63 4 2 2 2 2 4" xfId="47504"/>
    <cellStyle name="Standaard 63 4 2 2 2 3" xfId="47505"/>
    <cellStyle name="Standaard 63 4 2 2 2 3 2" xfId="47506"/>
    <cellStyle name="Standaard 63 4 2 2 2 3 2 2" xfId="47507"/>
    <cellStyle name="Standaard 63 4 2 2 2 3 3" xfId="47508"/>
    <cellStyle name="Standaard 63 4 2 2 2 4" xfId="47509"/>
    <cellStyle name="Standaard 63 4 2 2 2 4 2" xfId="47510"/>
    <cellStyle name="Standaard 63 4 2 2 2 5" xfId="47511"/>
    <cellStyle name="Standaard 63 4 2 2 2 6" xfId="47512"/>
    <cellStyle name="Standaard 63 4 2 2 3" xfId="47513"/>
    <cellStyle name="Standaard 63 4 2 2 3 2" xfId="47514"/>
    <cellStyle name="Standaard 63 4 2 2 3 2 2" xfId="47515"/>
    <cellStyle name="Standaard 63 4 2 2 3 2 2 2" xfId="47516"/>
    <cellStyle name="Standaard 63 4 2 2 3 2 3" xfId="47517"/>
    <cellStyle name="Standaard 63 4 2 2 3 3" xfId="47518"/>
    <cellStyle name="Standaard 63 4 2 2 3 3 2" xfId="47519"/>
    <cellStyle name="Standaard 63 4 2 2 3 4" xfId="47520"/>
    <cellStyle name="Standaard 63 4 2 2 4" xfId="47521"/>
    <cellStyle name="Standaard 63 4 2 2 4 2" xfId="47522"/>
    <cellStyle name="Standaard 63 4 2 2 4 2 2" xfId="47523"/>
    <cellStyle name="Standaard 63 4 2 2 4 3" xfId="47524"/>
    <cellStyle name="Standaard 63 4 2 2 5" xfId="47525"/>
    <cellStyle name="Standaard 63 4 2 2 5 2" xfId="47526"/>
    <cellStyle name="Standaard 63 4 2 2 6" xfId="47527"/>
    <cellStyle name="Standaard 63 4 2 2 7" xfId="47528"/>
    <cellStyle name="Standaard 63 4 2 3" xfId="47529"/>
    <cellStyle name="Standaard 63 4 2 3 2" xfId="47530"/>
    <cellStyle name="Standaard 63 4 2 3 2 2" xfId="47531"/>
    <cellStyle name="Standaard 63 4 2 3 2 2 2" xfId="47532"/>
    <cellStyle name="Standaard 63 4 2 3 2 2 2 2" xfId="47533"/>
    <cellStyle name="Standaard 63 4 2 3 2 2 3" xfId="47534"/>
    <cellStyle name="Standaard 63 4 2 3 2 3" xfId="47535"/>
    <cellStyle name="Standaard 63 4 2 3 2 3 2" xfId="47536"/>
    <cellStyle name="Standaard 63 4 2 3 2 4" xfId="47537"/>
    <cellStyle name="Standaard 63 4 2 3 3" xfId="47538"/>
    <cellStyle name="Standaard 63 4 2 3 3 2" xfId="47539"/>
    <cellStyle name="Standaard 63 4 2 3 3 2 2" xfId="47540"/>
    <cellStyle name="Standaard 63 4 2 3 3 3" xfId="47541"/>
    <cellStyle name="Standaard 63 4 2 3 4" xfId="47542"/>
    <cellStyle name="Standaard 63 4 2 3 4 2" xfId="47543"/>
    <cellStyle name="Standaard 63 4 2 3 5" xfId="47544"/>
    <cellStyle name="Standaard 63 4 2 3 6" xfId="47545"/>
    <cellStyle name="Standaard 63 4 2 4" xfId="47546"/>
    <cellStyle name="Standaard 63 4 2 4 2" xfId="47547"/>
    <cellStyle name="Standaard 63 4 2 4 2 2" xfId="47548"/>
    <cellStyle name="Standaard 63 4 2 4 2 2 2" xfId="47549"/>
    <cellStyle name="Standaard 63 4 2 4 2 3" xfId="47550"/>
    <cellStyle name="Standaard 63 4 2 4 3" xfId="47551"/>
    <cellStyle name="Standaard 63 4 2 4 3 2" xfId="47552"/>
    <cellStyle name="Standaard 63 4 2 4 4" xfId="47553"/>
    <cellStyle name="Standaard 63 4 2 5" xfId="47554"/>
    <cellStyle name="Standaard 63 4 2 5 2" xfId="47555"/>
    <cellStyle name="Standaard 63 4 2 5 2 2" xfId="47556"/>
    <cellStyle name="Standaard 63 4 2 5 3" xfId="47557"/>
    <cellStyle name="Standaard 63 4 2 6" xfId="47558"/>
    <cellStyle name="Standaard 63 4 2 6 2" xfId="47559"/>
    <cellStyle name="Standaard 63 4 2 7" xfId="47560"/>
    <cellStyle name="Standaard 63 4 2 8" xfId="47561"/>
    <cellStyle name="Standaard 63 4 3" xfId="47562"/>
    <cellStyle name="Standaard 63 4 3 2" xfId="47563"/>
    <cellStyle name="Standaard 63 4 3 2 2" xfId="47564"/>
    <cellStyle name="Standaard 63 4 3 2 2 2" xfId="47565"/>
    <cellStyle name="Standaard 63 4 3 2 2 2 2" xfId="47566"/>
    <cellStyle name="Standaard 63 4 3 2 2 2 2 2" xfId="47567"/>
    <cellStyle name="Standaard 63 4 3 2 2 2 3" xfId="47568"/>
    <cellStyle name="Standaard 63 4 3 2 2 3" xfId="47569"/>
    <cellStyle name="Standaard 63 4 3 2 2 3 2" xfId="47570"/>
    <cellStyle name="Standaard 63 4 3 2 2 4" xfId="47571"/>
    <cellStyle name="Standaard 63 4 3 2 3" xfId="47572"/>
    <cellStyle name="Standaard 63 4 3 2 3 2" xfId="47573"/>
    <cellStyle name="Standaard 63 4 3 2 3 2 2" xfId="47574"/>
    <cellStyle name="Standaard 63 4 3 2 3 3" xfId="47575"/>
    <cellStyle name="Standaard 63 4 3 2 4" xfId="47576"/>
    <cellStyle name="Standaard 63 4 3 2 4 2" xfId="47577"/>
    <cellStyle name="Standaard 63 4 3 2 5" xfId="47578"/>
    <cellStyle name="Standaard 63 4 3 2 6" xfId="47579"/>
    <cellStyle name="Standaard 63 4 3 3" xfId="47580"/>
    <cellStyle name="Standaard 63 4 3 3 2" xfId="47581"/>
    <cellStyle name="Standaard 63 4 3 3 2 2" xfId="47582"/>
    <cellStyle name="Standaard 63 4 3 3 2 2 2" xfId="47583"/>
    <cellStyle name="Standaard 63 4 3 3 2 3" xfId="47584"/>
    <cellStyle name="Standaard 63 4 3 3 3" xfId="47585"/>
    <cellStyle name="Standaard 63 4 3 3 3 2" xfId="47586"/>
    <cellStyle name="Standaard 63 4 3 3 4" xfId="47587"/>
    <cellStyle name="Standaard 63 4 3 4" xfId="47588"/>
    <cellStyle name="Standaard 63 4 3 4 2" xfId="47589"/>
    <cellStyle name="Standaard 63 4 3 4 2 2" xfId="47590"/>
    <cellStyle name="Standaard 63 4 3 4 3" xfId="47591"/>
    <cellStyle name="Standaard 63 4 3 5" xfId="47592"/>
    <cellStyle name="Standaard 63 4 3 5 2" xfId="47593"/>
    <cellStyle name="Standaard 63 4 3 6" xfId="47594"/>
    <cellStyle name="Standaard 63 4 3 7" xfId="47595"/>
    <cellStyle name="Standaard 63 4 4" xfId="47596"/>
    <cellStyle name="Standaard 63 4 4 2" xfId="47597"/>
    <cellStyle name="Standaard 63 4 4 2 2" xfId="47598"/>
    <cellStyle name="Standaard 63 4 4 2 2 2" xfId="47599"/>
    <cellStyle name="Standaard 63 4 4 2 2 2 2" xfId="47600"/>
    <cellStyle name="Standaard 63 4 4 2 2 3" xfId="47601"/>
    <cellStyle name="Standaard 63 4 4 2 3" xfId="47602"/>
    <cellStyle name="Standaard 63 4 4 2 3 2" xfId="47603"/>
    <cellStyle name="Standaard 63 4 4 2 4" xfId="47604"/>
    <cellStyle name="Standaard 63 4 4 3" xfId="47605"/>
    <cellStyle name="Standaard 63 4 4 3 2" xfId="47606"/>
    <cellStyle name="Standaard 63 4 4 3 2 2" xfId="47607"/>
    <cellStyle name="Standaard 63 4 4 3 3" xfId="47608"/>
    <cellStyle name="Standaard 63 4 4 4" xfId="47609"/>
    <cellStyle name="Standaard 63 4 4 4 2" xfId="47610"/>
    <cellStyle name="Standaard 63 4 4 5" xfId="47611"/>
    <cellStyle name="Standaard 63 4 4 6" xfId="47612"/>
    <cellStyle name="Standaard 63 4 5" xfId="47613"/>
    <cellStyle name="Standaard 63 4 5 2" xfId="47614"/>
    <cellStyle name="Standaard 63 4 5 2 2" xfId="47615"/>
    <cellStyle name="Standaard 63 4 5 2 2 2" xfId="47616"/>
    <cellStyle name="Standaard 63 4 5 2 3" xfId="47617"/>
    <cellStyle name="Standaard 63 4 5 3" xfId="47618"/>
    <cellStyle name="Standaard 63 4 5 3 2" xfId="47619"/>
    <cellStyle name="Standaard 63 4 5 4" xfId="47620"/>
    <cellStyle name="Standaard 63 4 6" xfId="47621"/>
    <cellStyle name="Standaard 63 4 6 2" xfId="47622"/>
    <cellStyle name="Standaard 63 4 6 2 2" xfId="47623"/>
    <cellStyle name="Standaard 63 4 6 3" xfId="47624"/>
    <cellStyle name="Standaard 63 4 7" xfId="47625"/>
    <cellStyle name="Standaard 63 4 7 2" xfId="47626"/>
    <cellStyle name="Standaard 63 4 8" xfId="47627"/>
    <cellStyle name="Standaard 63 4 9" xfId="47628"/>
    <cellStyle name="Standaard 63 5" xfId="47629"/>
    <cellStyle name="Standaard 63 5 2" xfId="47630"/>
    <cellStyle name="Standaard 63 5 2 2" xfId="47631"/>
    <cellStyle name="Standaard 63 5 2 2 2" xfId="47632"/>
    <cellStyle name="Standaard 63 5 2 2 2 2" xfId="47633"/>
    <cellStyle name="Standaard 63 5 2 2 2 2 2" xfId="47634"/>
    <cellStyle name="Standaard 63 5 2 2 2 2 2 2" xfId="47635"/>
    <cellStyle name="Standaard 63 5 2 2 2 2 3" xfId="47636"/>
    <cellStyle name="Standaard 63 5 2 2 2 3" xfId="47637"/>
    <cellStyle name="Standaard 63 5 2 2 2 3 2" xfId="47638"/>
    <cellStyle name="Standaard 63 5 2 2 2 4" xfId="47639"/>
    <cellStyle name="Standaard 63 5 2 2 3" xfId="47640"/>
    <cellStyle name="Standaard 63 5 2 2 3 2" xfId="47641"/>
    <cellStyle name="Standaard 63 5 2 2 3 2 2" xfId="47642"/>
    <cellStyle name="Standaard 63 5 2 2 3 3" xfId="47643"/>
    <cellStyle name="Standaard 63 5 2 2 4" xfId="47644"/>
    <cellStyle name="Standaard 63 5 2 2 4 2" xfId="47645"/>
    <cellStyle name="Standaard 63 5 2 2 5" xfId="47646"/>
    <cellStyle name="Standaard 63 5 2 2 6" xfId="47647"/>
    <cellStyle name="Standaard 63 5 2 3" xfId="47648"/>
    <cellStyle name="Standaard 63 5 2 3 2" xfId="47649"/>
    <cellStyle name="Standaard 63 5 2 3 2 2" xfId="47650"/>
    <cellStyle name="Standaard 63 5 2 3 2 2 2" xfId="47651"/>
    <cellStyle name="Standaard 63 5 2 3 2 3" xfId="47652"/>
    <cellStyle name="Standaard 63 5 2 3 3" xfId="47653"/>
    <cellStyle name="Standaard 63 5 2 3 3 2" xfId="47654"/>
    <cellStyle name="Standaard 63 5 2 3 4" xfId="47655"/>
    <cellStyle name="Standaard 63 5 2 4" xfId="47656"/>
    <cellStyle name="Standaard 63 5 2 4 2" xfId="47657"/>
    <cellStyle name="Standaard 63 5 2 4 2 2" xfId="47658"/>
    <cellStyle name="Standaard 63 5 2 4 3" xfId="47659"/>
    <cellStyle name="Standaard 63 5 2 5" xfId="47660"/>
    <cellStyle name="Standaard 63 5 2 5 2" xfId="47661"/>
    <cellStyle name="Standaard 63 5 2 6" xfId="47662"/>
    <cellStyle name="Standaard 63 5 2 7" xfId="47663"/>
    <cellStyle name="Standaard 63 5 3" xfId="47664"/>
    <cellStyle name="Standaard 63 5 3 2" xfId="47665"/>
    <cellStyle name="Standaard 63 5 3 2 2" xfId="47666"/>
    <cellStyle name="Standaard 63 5 3 2 2 2" xfId="47667"/>
    <cellStyle name="Standaard 63 5 3 2 2 2 2" xfId="47668"/>
    <cellStyle name="Standaard 63 5 3 2 2 3" xfId="47669"/>
    <cellStyle name="Standaard 63 5 3 2 3" xfId="47670"/>
    <cellStyle name="Standaard 63 5 3 2 3 2" xfId="47671"/>
    <cellStyle name="Standaard 63 5 3 2 4" xfId="47672"/>
    <cellStyle name="Standaard 63 5 3 3" xfId="47673"/>
    <cellStyle name="Standaard 63 5 3 3 2" xfId="47674"/>
    <cellStyle name="Standaard 63 5 3 3 2 2" xfId="47675"/>
    <cellStyle name="Standaard 63 5 3 3 3" xfId="47676"/>
    <cellStyle name="Standaard 63 5 3 4" xfId="47677"/>
    <cellStyle name="Standaard 63 5 3 4 2" xfId="47678"/>
    <cellStyle name="Standaard 63 5 3 5" xfId="47679"/>
    <cellStyle name="Standaard 63 5 3 6" xfId="47680"/>
    <cellStyle name="Standaard 63 5 4" xfId="47681"/>
    <cellStyle name="Standaard 63 5 4 2" xfId="47682"/>
    <cellStyle name="Standaard 63 5 4 2 2" xfId="47683"/>
    <cellStyle name="Standaard 63 5 4 2 2 2" xfId="47684"/>
    <cellStyle name="Standaard 63 5 4 2 3" xfId="47685"/>
    <cellStyle name="Standaard 63 5 4 3" xfId="47686"/>
    <cellStyle name="Standaard 63 5 4 3 2" xfId="47687"/>
    <cellStyle name="Standaard 63 5 4 4" xfId="47688"/>
    <cellStyle name="Standaard 63 5 5" xfId="47689"/>
    <cellStyle name="Standaard 63 5 5 2" xfId="47690"/>
    <cellStyle name="Standaard 63 5 5 2 2" xfId="47691"/>
    <cellStyle name="Standaard 63 5 5 3" xfId="47692"/>
    <cellStyle name="Standaard 63 5 6" xfId="47693"/>
    <cellStyle name="Standaard 63 5 6 2" xfId="47694"/>
    <cellStyle name="Standaard 63 5 7" xfId="47695"/>
    <cellStyle name="Standaard 63 5 8" xfId="47696"/>
    <cellStyle name="Standaard 63 6" xfId="47697"/>
    <cellStyle name="Standaard 63 6 2" xfId="47698"/>
    <cellStyle name="Standaard 63 6 2 2" xfId="47699"/>
    <cellStyle name="Standaard 63 6 2 2 2" xfId="47700"/>
    <cellStyle name="Standaard 63 6 2 2 2 2" xfId="47701"/>
    <cellStyle name="Standaard 63 6 2 2 2 2 2" xfId="47702"/>
    <cellStyle name="Standaard 63 6 2 2 2 2 2 2" xfId="47703"/>
    <cellStyle name="Standaard 63 6 2 2 2 2 3" xfId="47704"/>
    <cellStyle name="Standaard 63 6 2 2 2 3" xfId="47705"/>
    <cellStyle name="Standaard 63 6 2 2 2 3 2" xfId="47706"/>
    <cellStyle name="Standaard 63 6 2 2 2 4" xfId="47707"/>
    <cellStyle name="Standaard 63 6 2 2 3" xfId="47708"/>
    <cellStyle name="Standaard 63 6 2 2 3 2" xfId="47709"/>
    <cellStyle name="Standaard 63 6 2 2 3 2 2" xfId="47710"/>
    <cellStyle name="Standaard 63 6 2 2 3 3" xfId="47711"/>
    <cellStyle name="Standaard 63 6 2 2 4" xfId="47712"/>
    <cellStyle name="Standaard 63 6 2 2 4 2" xfId="47713"/>
    <cellStyle name="Standaard 63 6 2 2 5" xfId="47714"/>
    <cellStyle name="Standaard 63 6 2 2 6" xfId="47715"/>
    <cellStyle name="Standaard 63 6 2 3" xfId="47716"/>
    <cellStyle name="Standaard 63 6 2 3 2" xfId="47717"/>
    <cellStyle name="Standaard 63 6 2 3 2 2" xfId="47718"/>
    <cellStyle name="Standaard 63 6 2 3 2 2 2" xfId="47719"/>
    <cellStyle name="Standaard 63 6 2 3 2 3" xfId="47720"/>
    <cellStyle name="Standaard 63 6 2 3 3" xfId="47721"/>
    <cellStyle name="Standaard 63 6 2 3 3 2" xfId="47722"/>
    <cellStyle name="Standaard 63 6 2 3 4" xfId="47723"/>
    <cellStyle name="Standaard 63 6 2 4" xfId="47724"/>
    <cellStyle name="Standaard 63 6 2 4 2" xfId="47725"/>
    <cellStyle name="Standaard 63 6 2 4 2 2" xfId="47726"/>
    <cellStyle name="Standaard 63 6 2 4 3" xfId="47727"/>
    <cellStyle name="Standaard 63 6 2 5" xfId="47728"/>
    <cellStyle name="Standaard 63 6 2 5 2" xfId="47729"/>
    <cellStyle name="Standaard 63 6 2 6" xfId="47730"/>
    <cellStyle name="Standaard 63 6 2 7" xfId="47731"/>
    <cellStyle name="Standaard 63 6 3" xfId="47732"/>
    <cellStyle name="Standaard 63 6 3 2" xfId="47733"/>
    <cellStyle name="Standaard 63 6 3 2 2" xfId="47734"/>
    <cellStyle name="Standaard 63 6 3 2 2 2" xfId="47735"/>
    <cellStyle name="Standaard 63 6 3 2 2 2 2" xfId="47736"/>
    <cellStyle name="Standaard 63 6 3 2 2 3" xfId="47737"/>
    <cellStyle name="Standaard 63 6 3 2 3" xfId="47738"/>
    <cellStyle name="Standaard 63 6 3 2 3 2" xfId="47739"/>
    <cellStyle name="Standaard 63 6 3 2 4" xfId="47740"/>
    <cellStyle name="Standaard 63 6 3 3" xfId="47741"/>
    <cellStyle name="Standaard 63 6 3 3 2" xfId="47742"/>
    <cellStyle name="Standaard 63 6 3 3 2 2" xfId="47743"/>
    <cellStyle name="Standaard 63 6 3 3 3" xfId="47744"/>
    <cellStyle name="Standaard 63 6 3 4" xfId="47745"/>
    <cellStyle name="Standaard 63 6 3 4 2" xfId="47746"/>
    <cellStyle name="Standaard 63 6 3 5" xfId="47747"/>
    <cellStyle name="Standaard 63 6 3 6" xfId="47748"/>
    <cellStyle name="Standaard 63 6 4" xfId="47749"/>
    <cellStyle name="Standaard 63 6 4 2" xfId="47750"/>
    <cellStyle name="Standaard 63 6 4 2 2" xfId="47751"/>
    <cellStyle name="Standaard 63 6 4 2 2 2" xfId="47752"/>
    <cellStyle name="Standaard 63 6 4 2 3" xfId="47753"/>
    <cellStyle name="Standaard 63 6 4 3" xfId="47754"/>
    <cellStyle name="Standaard 63 6 4 3 2" xfId="47755"/>
    <cellStyle name="Standaard 63 6 4 4" xfId="47756"/>
    <cellStyle name="Standaard 63 6 5" xfId="47757"/>
    <cellStyle name="Standaard 63 6 5 2" xfId="47758"/>
    <cellStyle name="Standaard 63 6 5 2 2" xfId="47759"/>
    <cellStyle name="Standaard 63 6 5 3" xfId="47760"/>
    <cellStyle name="Standaard 63 6 6" xfId="47761"/>
    <cellStyle name="Standaard 63 6 6 2" xfId="47762"/>
    <cellStyle name="Standaard 63 6 7" xfId="47763"/>
    <cellStyle name="Standaard 63 6 8" xfId="47764"/>
    <cellStyle name="Standaard 63 7" xfId="47765"/>
    <cellStyle name="Standaard 63 7 2" xfId="47766"/>
    <cellStyle name="Standaard 63 7 2 2" xfId="47767"/>
    <cellStyle name="Standaard 63 7 2 2 2" xfId="47768"/>
    <cellStyle name="Standaard 63 7 2 2 2 2" xfId="47769"/>
    <cellStyle name="Standaard 63 7 2 2 2 2 2" xfId="47770"/>
    <cellStyle name="Standaard 63 7 2 2 2 3" xfId="47771"/>
    <cellStyle name="Standaard 63 7 2 2 3" xfId="47772"/>
    <cellStyle name="Standaard 63 7 2 2 3 2" xfId="47773"/>
    <cellStyle name="Standaard 63 7 2 2 4" xfId="47774"/>
    <cellStyle name="Standaard 63 7 2 3" xfId="47775"/>
    <cellStyle name="Standaard 63 7 2 3 2" xfId="47776"/>
    <cellStyle name="Standaard 63 7 2 3 2 2" xfId="47777"/>
    <cellStyle name="Standaard 63 7 2 3 3" xfId="47778"/>
    <cellStyle name="Standaard 63 7 2 4" xfId="47779"/>
    <cellStyle name="Standaard 63 7 2 4 2" xfId="47780"/>
    <cellStyle name="Standaard 63 7 2 5" xfId="47781"/>
    <cellStyle name="Standaard 63 7 2 6" xfId="47782"/>
    <cellStyle name="Standaard 63 7 3" xfId="47783"/>
    <cellStyle name="Standaard 63 7 3 2" xfId="47784"/>
    <cellStyle name="Standaard 63 7 3 2 2" xfId="47785"/>
    <cellStyle name="Standaard 63 7 3 2 2 2" xfId="47786"/>
    <cellStyle name="Standaard 63 7 3 2 3" xfId="47787"/>
    <cellStyle name="Standaard 63 7 3 3" xfId="47788"/>
    <cellStyle name="Standaard 63 7 3 3 2" xfId="47789"/>
    <cellStyle name="Standaard 63 7 3 4" xfId="47790"/>
    <cellStyle name="Standaard 63 7 4" xfId="47791"/>
    <cellStyle name="Standaard 63 7 4 2" xfId="47792"/>
    <cellStyle name="Standaard 63 7 4 2 2" xfId="47793"/>
    <cellStyle name="Standaard 63 7 4 3" xfId="47794"/>
    <cellStyle name="Standaard 63 7 5" xfId="47795"/>
    <cellStyle name="Standaard 63 7 5 2" xfId="47796"/>
    <cellStyle name="Standaard 63 7 6" xfId="47797"/>
    <cellStyle name="Standaard 63 7 7" xfId="47798"/>
    <cellStyle name="Standaard 63 8" xfId="47799"/>
    <cellStyle name="Standaard 63 8 2" xfId="47800"/>
    <cellStyle name="Standaard 63 8 2 2" xfId="47801"/>
    <cellStyle name="Standaard 63 8 2 2 2" xfId="47802"/>
    <cellStyle name="Standaard 63 8 2 2 2 2" xfId="47803"/>
    <cellStyle name="Standaard 63 8 2 2 3" xfId="47804"/>
    <cellStyle name="Standaard 63 8 2 3" xfId="47805"/>
    <cellStyle name="Standaard 63 8 2 3 2" xfId="47806"/>
    <cellStyle name="Standaard 63 8 2 4" xfId="47807"/>
    <cellStyle name="Standaard 63 8 3" xfId="47808"/>
    <cellStyle name="Standaard 63 8 3 2" xfId="47809"/>
    <cellStyle name="Standaard 63 8 3 2 2" xfId="47810"/>
    <cellStyle name="Standaard 63 8 3 3" xfId="47811"/>
    <cellStyle name="Standaard 63 8 4" xfId="47812"/>
    <cellStyle name="Standaard 63 8 4 2" xfId="47813"/>
    <cellStyle name="Standaard 63 8 5" xfId="47814"/>
    <cellStyle name="Standaard 63 8 6" xfId="47815"/>
    <cellStyle name="Standaard 63 9" xfId="47816"/>
    <cellStyle name="Standaard 63 9 2" xfId="47817"/>
    <cellStyle name="Standaard 63 9 2 2" xfId="47818"/>
    <cellStyle name="Standaard 63 9 2 2 2" xfId="47819"/>
    <cellStyle name="Standaard 63 9 2 3" xfId="47820"/>
    <cellStyle name="Standaard 63 9 3" xfId="47821"/>
    <cellStyle name="Standaard 63 9 3 2" xfId="47822"/>
    <cellStyle name="Standaard 63 9 4" xfId="47823"/>
    <cellStyle name="Standaard 7" xfId="47824"/>
    <cellStyle name="Standaard 7 10" xfId="47825"/>
    <cellStyle name="Standaard 7 10 2" xfId="47826"/>
    <cellStyle name="Standaard 7 10 2 2" xfId="47827"/>
    <cellStyle name="Standaard 7 10 3" xfId="47828"/>
    <cellStyle name="Standaard 7 11" xfId="47829"/>
    <cellStyle name="Standaard 7 11 2" xfId="47830"/>
    <cellStyle name="Standaard 7 12" xfId="47831"/>
    <cellStyle name="Standaard 7 13" xfId="47832"/>
    <cellStyle name="Standaard 7 2" xfId="47833"/>
    <cellStyle name="Standaard 7 2 10" xfId="47834"/>
    <cellStyle name="Standaard 7 2 10 2" xfId="47835"/>
    <cellStyle name="Standaard 7 2 11" xfId="47836"/>
    <cellStyle name="Standaard 7 2 12" xfId="47837"/>
    <cellStyle name="Standaard 7 2 2" xfId="47838"/>
    <cellStyle name="Standaard 7 2 2 10" xfId="47839"/>
    <cellStyle name="Standaard 7 2 2 11" xfId="47840"/>
    <cellStyle name="Standaard 7 2 2 2" xfId="47841"/>
    <cellStyle name="Standaard 7 2 2 2 2" xfId="47842"/>
    <cellStyle name="Standaard 7 2 2 2 2 2" xfId="47843"/>
    <cellStyle name="Standaard 7 2 2 2 2 2 2" xfId="47844"/>
    <cellStyle name="Standaard 7 2 2 2 2 2 2 2" xfId="47845"/>
    <cellStyle name="Standaard 7 2 2 2 2 2 2 2 2" xfId="47846"/>
    <cellStyle name="Standaard 7 2 2 2 2 2 2 2 2 2" xfId="47847"/>
    <cellStyle name="Standaard 7 2 2 2 2 2 2 2 2 2 2" xfId="47848"/>
    <cellStyle name="Standaard 7 2 2 2 2 2 2 2 2 3" xfId="47849"/>
    <cellStyle name="Standaard 7 2 2 2 2 2 2 2 3" xfId="47850"/>
    <cellStyle name="Standaard 7 2 2 2 2 2 2 2 3 2" xfId="47851"/>
    <cellStyle name="Standaard 7 2 2 2 2 2 2 2 4" xfId="47852"/>
    <cellStyle name="Standaard 7 2 2 2 2 2 2 3" xfId="47853"/>
    <cellStyle name="Standaard 7 2 2 2 2 2 2 3 2" xfId="47854"/>
    <cellStyle name="Standaard 7 2 2 2 2 2 2 3 2 2" xfId="47855"/>
    <cellStyle name="Standaard 7 2 2 2 2 2 2 3 3" xfId="47856"/>
    <cellStyle name="Standaard 7 2 2 2 2 2 2 4" xfId="47857"/>
    <cellStyle name="Standaard 7 2 2 2 2 2 2 4 2" xfId="47858"/>
    <cellStyle name="Standaard 7 2 2 2 2 2 2 5" xfId="47859"/>
    <cellStyle name="Standaard 7 2 2 2 2 2 2 6" xfId="47860"/>
    <cellStyle name="Standaard 7 2 2 2 2 2 3" xfId="47861"/>
    <cellStyle name="Standaard 7 2 2 2 2 2 3 2" xfId="47862"/>
    <cellStyle name="Standaard 7 2 2 2 2 2 3 2 2" xfId="47863"/>
    <cellStyle name="Standaard 7 2 2 2 2 2 3 2 2 2" xfId="47864"/>
    <cellStyle name="Standaard 7 2 2 2 2 2 3 2 3" xfId="47865"/>
    <cellStyle name="Standaard 7 2 2 2 2 2 3 3" xfId="47866"/>
    <cellStyle name="Standaard 7 2 2 2 2 2 3 3 2" xfId="47867"/>
    <cellStyle name="Standaard 7 2 2 2 2 2 3 4" xfId="47868"/>
    <cellStyle name="Standaard 7 2 2 2 2 2 4" xfId="47869"/>
    <cellStyle name="Standaard 7 2 2 2 2 2 4 2" xfId="47870"/>
    <cellStyle name="Standaard 7 2 2 2 2 2 4 2 2" xfId="47871"/>
    <cellStyle name="Standaard 7 2 2 2 2 2 4 3" xfId="47872"/>
    <cellStyle name="Standaard 7 2 2 2 2 2 5" xfId="47873"/>
    <cellStyle name="Standaard 7 2 2 2 2 2 5 2" xfId="47874"/>
    <cellStyle name="Standaard 7 2 2 2 2 2 6" xfId="47875"/>
    <cellStyle name="Standaard 7 2 2 2 2 2 7" xfId="47876"/>
    <cellStyle name="Standaard 7 2 2 2 2 3" xfId="47877"/>
    <cellStyle name="Standaard 7 2 2 2 2 3 2" xfId="47878"/>
    <cellStyle name="Standaard 7 2 2 2 2 3 2 2" xfId="47879"/>
    <cellStyle name="Standaard 7 2 2 2 2 3 2 2 2" xfId="47880"/>
    <cellStyle name="Standaard 7 2 2 2 2 3 2 2 2 2" xfId="47881"/>
    <cellStyle name="Standaard 7 2 2 2 2 3 2 2 3" xfId="47882"/>
    <cellStyle name="Standaard 7 2 2 2 2 3 2 3" xfId="47883"/>
    <cellStyle name="Standaard 7 2 2 2 2 3 2 3 2" xfId="47884"/>
    <cellStyle name="Standaard 7 2 2 2 2 3 2 4" xfId="47885"/>
    <cellStyle name="Standaard 7 2 2 2 2 3 3" xfId="47886"/>
    <cellStyle name="Standaard 7 2 2 2 2 3 3 2" xfId="47887"/>
    <cellStyle name="Standaard 7 2 2 2 2 3 3 2 2" xfId="47888"/>
    <cellStyle name="Standaard 7 2 2 2 2 3 3 3" xfId="47889"/>
    <cellStyle name="Standaard 7 2 2 2 2 3 4" xfId="47890"/>
    <cellStyle name="Standaard 7 2 2 2 2 3 4 2" xfId="47891"/>
    <cellStyle name="Standaard 7 2 2 2 2 3 5" xfId="47892"/>
    <cellStyle name="Standaard 7 2 2 2 2 3 6" xfId="47893"/>
    <cellStyle name="Standaard 7 2 2 2 2 4" xfId="47894"/>
    <cellStyle name="Standaard 7 2 2 2 2 4 2" xfId="47895"/>
    <cellStyle name="Standaard 7 2 2 2 2 4 2 2" xfId="47896"/>
    <cellStyle name="Standaard 7 2 2 2 2 4 2 2 2" xfId="47897"/>
    <cellStyle name="Standaard 7 2 2 2 2 4 2 3" xfId="47898"/>
    <cellStyle name="Standaard 7 2 2 2 2 4 3" xfId="47899"/>
    <cellStyle name="Standaard 7 2 2 2 2 4 3 2" xfId="47900"/>
    <cellStyle name="Standaard 7 2 2 2 2 4 4" xfId="47901"/>
    <cellStyle name="Standaard 7 2 2 2 2 5" xfId="47902"/>
    <cellStyle name="Standaard 7 2 2 2 2 5 2" xfId="47903"/>
    <cellStyle name="Standaard 7 2 2 2 2 5 2 2" xfId="47904"/>
    <cellStyle name="Standaard 7 2 2 2 2 5 3" xfId="47905"/>
    <cellStyle name="Standaard 7 2 2 2 2 6" xfId="47906"/>
    <cellStyle name="Standaard 7 2 2 2 2 6 2" xfId="47907"/>
    <cellStyle name="Standaard 7 2 2 2 2 7" xfId="47908"/>
    <cellStyle name="Standaard 7 2 2 2 2 8" xfId="47909"/>
    <cellStyle name="Standaard 7 2 2 2 3" xfId="47910"/>
    <cellStyle name="Standaard 7 2 2 2 3 2" xfId="47911"/>
    <cellStyle name="Standaard 7 2 2 2 3 2 2" xfId="47912"/>
    <cellStyle name="Standaard 7 2 2 2 3 2 2 2" xfId="47913"/>
    <cellStyle name="Standaard 7 2 2 2 3 2 2 2 2" xfId="47914"/>
    <cellStyle name="Standaard 7 2 2 2 3 2 2 2 2 2" xfId="47915"/>
    <cellStyle name="Standaard 7 2 2 2 3 2 2 2 3" xfId="47916"/>
    <cellStyle name="Standaard 7 2 2 2 3 2 2 3" xfId="47917"/>
    <cellStyle name="Standaard 7 2 2 2 3 2 2 3 2" xfId="47918"/>
    <cellStyle name="Standaard 7 2 2 2 3 2 2 4" xfId="47919"/>
    <cellStyle name="Standaard 7 2 2 2 3 2 3" xfId="47920"/>
    <cellStyle name="Standaard 7 2 2 2 3 2 3 2" xfId="47921"/>
    <cellStyle name="Standaard 7 2 2 2 3 2 3 2 2" xfId="47922"/>
    <cellStyle name="Standaard 7 2 2 2 3 2 3 3" xfId="47923"/>
    <cellStyle name="Standaard 7 2 2 2 3 2 4" xfId="47924"/>
    <cellStyle name="Standaard 7 2 2 2 3 2 4 2" xfId="47925"/>
    <cellStyle name="Standaard 7 2 2 2 3 2 5" xfId="47926"/>
    <cellStyle name="Standaard 7 2 2 2 3 2 6" xfId="47927"/>
    <cellStyle name="Standaard 7 2 2 2 3 3" xfId="47928"/>
    <cellStyle name="Standaard 7 2 2 2 3 3 2" xfId="47929"/>
    <cellStyle name="Standaard 7 2 2 2 3 3 2 2" xfId="47930"/>
    <cellStyle name="Standaard 7 2 2 2 3 3 2 2 2" xfId="47931"/>
    <cellStyle name="Standaard 7 2 2 2 3 3 2 3" xfId="47932"/>
    <cellStyle name="Standaard 7 2 2 2 3 3 3" xfId="47933"/>
    <cellStyle name="Standaard 7 2 2 2 3 3 3 2" xfId="47934"/>
    <cellStyle name="Standaard 7 2 2 2 3 3 4" xfId="47935"/>
    <cellStyle name="Standaard 7 2 2 2 3 4" xfId="47936"/>
    <cellStyle name="Standaard 7 2 2 2 3 4 2" xfId="47937"/>
    <cellStyle name="Standaard 7 2 2 2 3 4 2 2" xfId="47938"/>
    <cellStyle name="Standaard 7 2 2 2 3 4 3" xfId="47939"/>
    <cellStyle name="Standaard 7 2 2 2 3 5" xfId="47940"/>
    <cellStyle name="Standaard 7 2 2 2 3 5 2" xfId="47941"/>
    <cellStyle name="Standaard 7 2 2 2 3 6" xfId="47942"/>
    <cellStyle name="Standaard 7 2 2 2 3 7" xfId="47943"/>
    <cellStyle name="Standaard 7 2 2 2 4" xfId="47944"/>
    <cellStyle name="Standaard 7 2 2 2 4 2" xfId="47945"/>
    <cellStyle name="Standaard 7 2 2 2 4 2 2" xfId="47946"/>
    <cellStyle name="Standaard 7 2 2 2 4 2 2 2" xfId="47947"/>
    <cellStyle name="Standaard 7 2 2 2 4 2 2 2 2" xfId="47948"/>
    <cellStyle name="Standaard 7 2 2 2 4 2 2 3" xfId="47949"/>
    <cellStyle name="Standaard 7 2 2 2 4 2 3" xfId="47950"/>
    <cellStyle name="Standaard 7 2 2 2 4 2 3 2" xfId="47951"/>
    <cellStyle name="Standaard 7 2 2 2 4 2 4" xfId="47952"/>
    <cellStyle name="Standaard 7 2 2 2 4 3" xfId="47953"/>
    <cellStyle name="Standaard 7 2 2 2 4 3 2" xfId="47954"/>
    <cellStyle name="Standaard 7 2 2 2 4 3 2 2" xfId="47955"/>
    <cellStyle name="Standaard 7 2 2 2 4 3 3" xfId="47956"/>
    <cellStyle name="Standaard 7 2 2 2 4 4" xfId="47957"/>
    <cellStyle name="Standaard 7 2 2 2 4 4 2" xfId="47958"/>
    <cellStyle name="Standaard 7 2 2 2 4 5" xfId="47959"/>
    <cellStyle name="Standaard 7 2 2 2 4 6" xfId="47960"/>
    <cellStyle name="Standaard 7 2 2 2 5" xfId="47961"/>
    <cellStyle name="Standaard 7 2 2 2 5 2" xfId="47962"/>
    <cellStyle name="Standaard 7 2 2 2 5 2 2" xfId="47963"/>
    <cellStyle name="Standaard 7 2 2 2 5 2 2 2" xfId="47964"/>
    <cellStyle name="Standaard 7 2 2 2 5 2 3" xfId="47965"/>
    <cellStyle name="Standaard 7 2 2 2 5 3" xfId="47966"/>
    <cellStyle name="Standaard 7 2 2 2 5 3 2" xfId="47967"/>
    <cellStyle name="Standaard 7 2 2 2 5 4" xfId="47968"/>
    <cellStyle name="Standaard 7 2 2 2 6" xfId="47969"/>
    <cellStyle name="Standaard 7 2 2 2 6 2" xfId="47970"/>
    <cellStyle name="Standaard 7 2 2 2 6 2 2" xfId="47971"/>
    <cellStyle name="Standaard 7 2 2 2 6 3" xfId="47972"/>
    <cellStyle name="Standaard 7 2 2 2 7" xfId="47973"/>
    <cellStyle name="Standaard 7 2 2 2 7 2" xfId="47974"/>
    <cellStyle name="Standaard 7 2 2 2 8" xfId="47975"/>
    <cellStyle name="Standaard 7 2 2 2 9" xfId="47976"/>
    <cellStyle name="Standaard 7 2 2 3" xfId="47977"/>
    <cellStyle name="Standaard 7 2 2 3 2" xfId="47978"/>
    <cellStyle name="Standaard 7 2 2 3 2 2" xfId="47979"/>
    <cellStyle name="Standaard 7 2 2 3 2 2 2" xfId="47980"/>
    <cellStyle name="Standaard 7 2 2 3 2 2 2 2" xfId="47981"/>
    <cellStyle name="Standaard 7 2 2 3 2 2 2 2 2" xfId="47982"/>
    <cellStyle name="Standaard 7 2 2 3 2 2 2 2 2 2" xfId="47983"/>
    <cellStyle name="Standaard 7 2 2 3 2 2 2 2 3" xfId="47984"/>
    <cellStyle name="Standaard 7 2 2 3 2 2 2 3" xfId="47985"/>
    <cellStyle name="Standaard 7 2 2 3 2 2 2 3 2" xfId="47986"/>
    <cellStyle name="Standaard 7 2 2 3 2 2 2 4" xfId="47987"/>
    <cellStyle name="Standaard 7 2 2 3 2 2 3" xfId="47988"/>
    <cellStyle name="Standaard 7 2 2 3 2 2 3 2" xfId="47989"/>
    <cellStyle name="Standaard 7 2 2 3 2 2 3 2 2" xfId="47990"/>
    <cellStyle name="Standaard 7 2 2 3 2 2 3 3" xfId="47991"/>
    <cellStyle name="Standaard 7 2 2 3 2 2 4" xfId="47992"/>
    <cellStyle name="Standaard 7 2 2 3 2 2 4 2" xfId="47993"/>
    <cellStyle name="Standaard 7 2 2 3 2 2 5" xfId="47994"/>
    <cellStyle name="Standaard 7 2 2 3 2 2 6" xfId="47995"/>
    <cellStyle name="Standaard 7 2 2 3 2 3" xfId="47996"/>
    <cellStyle name="Standaard 7 2 2 3 2 3 2" xfId="47997"/>
    <cellStyle name="Standaard 7 2 2 3 2 3 2 2" xfId="47998"/>
    <cellStyle name="Standaard 7 2 2 3 2 3 2 2 2" xfId="47999"/>
    <cellStyle name="Standaard 7 2 2 3 2 3 2 3" xfId="48000"/>
    <cellStyle name="Standaard 7 2 2 3 2 3 3" xfId="48001"/>
    <cellStyle name="Standaard 7 2 2 3 2 3 3 2" xfId="48002"/>
    <cellStyle name="Standaard 7 2 2 3 2 3 4" xfId="48003"/>
    <cellStyle name="Standaard 7 2 2 3 2 4" xfId="48004"/>
    <cellStyle name="Standaard 7 2 2 3 2 4 2" xfId="48005"/>
    <cellStyle name="Standaard 7 2 2 3 2 4 2 2" xfId="48006"/>
    <cellStyle name="Standaard 7 2 2 3 2 4 3" xfId="48007"/>
    <cellStyle name="Standaard 7 2 2 3 2 5" xfId="48008"/>
    <cellStyle name="Standaard 7 2 2 3 2 5 2" xfId="48009"/>
    <cellStyle name="Standaard 7 2 2 3 2 6" xfId="48010"/>
    <cellStyle name="Standaard 7 2 2 3 2 7" xfId="48011"/>
    <cellStyle name="Standaard 7 2 2 3 3" xfId="48012"/>
    <cellStyle name="Standaard 7 2 2 3 3 2" xfId="48013"/>
    <cellStyle name="Standaard 7 2 2 3 3 2 2" xfId="48014"/>
    <cellStyle name="Standaard 7 2 2 3 3 2 2 2" xfId="48015"/>
    <cellStyle name="Standaard 7 2 2 3 3 2 2 2 2" xfId="48016"/>
    <cellStyle name="Standaard 7 2 2 3 3 2 2 3" xfId="48017"/>
    <cellStyle name="Standaard 7 2 2 3 3 2 3" xfId="48018"/>
    <cellStyle name="Standaard 7 2 2 3 3 2 3 2" xfId="48019"/>
    <cellStyle name="Standaard 7 2 2 3 3 2 4" xfId="48020"/>
    <cellStyle name="Standaard 7 2 2 3 3 3" xfId="48021"/>
    <cellStyle name="Standaard 7 2 2 3 3 3 2" xfId="48022"/>
    <cellStyle name="Standaard 7 2 2 3 3 3 2 2" xfId="48023"/>
    <cellStyle name="Standaard 7 2 2 3 3 3 3" xfId="48024"/>
    <cellStyle name="Standaard 7 2 2 3 3 4" xfId="48025"/>
    <cellStyle name="Standaard 7 2 2 3 3 4 2" xfId="48026"/>
    <cellStyle name="Standaard 7 2 2 3 3 5" xfId="48027"/>
    <cellStyle name="Standaard 7 2 2 3 3 6" xfId="48028"/>
    <cellStyle name="Standaard 7 2 2 3 4" xfId="48029"/>
    <cellStyle name="Standaard 7 2 2 3 4 2" xfId="48030"/>
    <cellStyle name="Standaard 7 2 2 3 4 2 2" xfId="48031"/>
    <cellStyle name="Standaard 7 2 2 3 4 2 2 2" xfId="48032"/>
    <cellStyle name="Standaard 7 2 2 3 4 2 3" xfId="48033"/>
    <cellStyle name="Standaard 7 2 2 3 4 3" xfId="48034"/>
    <cellStyle name="Standaard 7 2 2 3 4 3 2" xfId="48035"/>
    <cellStyle name="Standaard 7 2 2 3 4 4" xfId="48036"/>
    <cellStyle name="Standaard 7 2 2 3 5" xfId="48037"/>
    <cellStyle name="Standaard 7 2 2 3 5 2" xfId="48038"/>
    <cellStyle name="Standaard 7 2 2 3 5 2 2" xfId="48039"/>
    <cellStyle name="Standaard 7 2 2 3 5 3" xfId="48040"/>
    <cellStyle name="Standaard 7 2 2 3 6" xfId="48041"/>
    <cellStyle name="Standaard 7 2 2 3 6 2" xfId="48042"/>
    <cellStyle name="Standaard 7 2 2 3 7" xfId="48043"/>
    <cellStyle name="Standaard 7 2 2 3 8" xfId="48044"/>
    <cellStyle name="Standaard 7 2 2 4" xfId="48045"/>
    <cellStyle name="Standaard 7 2 2 4 2" xfId="48046"/>
    <cellStyle name="Standaard 7 2 2 4 2 2" xfId="48047"/>
    <cellStyle name="Standaard 7 2 2 4 2 2 2" xfId="48048"/>
    <cellStyle name="Standaard 7 2 2 4 2 2 2 2" xfId="48049"/>
    <cellStyle name="Standaard 7 2 2 4 2 2 2 2 2" xfId="48050"/>
    <cellStyle name="Standaard 7 2 2 4 2 2 2 2 2 2" xfId="48051"/>
    <cellStyle name="Standaard 7 2 2 4 2 2 2 2 3" xfId="48052"/>
    <cellStyle name="Standaard 7 2 2 4 2 2 2 3" xfId="48053"/>
    <cellStyle name="Standaard 7 2 2 4 2 2 2 3 2" xfId="48054"/>
    <cellStyle name="Standaard 7 2 2 4 2 2 2 4" xfId="48055"/>
    <cellStyle name="Standaard 7 2 2 4 2 2 3" xfId="48056"/>
    <cellStyle name="Standaard 7 2 2 4 2 2 3 2" xfId="48057"/>
    <cellStyle name="Standaard 7 2 2 4 2 2 3 2 2" xfId="48058"/>
    <cellStyle name="Standaard 7 2 2 4 2 2 3 3" xfId="48059"/>
    <cellStyle name="Standaard 7 2 2 4 2 2 4" xfId="48060"/>
    <cellStyle name="Standaard 7 2 2 4 2 2 4 2" xfId="48061"/>
    <cellStyle name="Standaard 7 2 2 4 2 2 5" xfId="48062"/>
    <cellStyle name="Standaard 7 2 2 4 2 2 6" xfId="48063"/>
    <cellStyle name="Standaard 7 2 2 4 2 3" xfId="48064"/>
    <cellStyle name="Standaard 7 2 2 4 2 3 2" xfId="48065"/>
    <cellStyle name="Standaard 7 2 2 4 2 3 2 2" xfId="48066"/>
    <cellStyle name="Standaard 7 2 2 4 2 3 2 2 2" xfId="48067"/>
    <cellStyle name="Standaard 7 2 2 4 2 3 2 3" xfId="48068"/>
    <cellStyle name="Standaard 7 2 2 4 2 3 3" xfId="48069"/>
    <cellStyle name="Standaard 7 2 2 4 2 3 3 2" xfId="48070"/>
    <cellStyle name="Standaard 7 2 2 4 2 3 4" xfId="48071"/>
    <cellStyle name="Standaard 7 2 2 4 2 4" xfId="48072"/>
    <cellStyle name="Standaard 7 2 2 4 2 4 2" xfId="48073"/>
    <cellStyle name="Standaard 7 2 2 4 2 4 2 2" xfId="48074"/>
    <cellStyle name="Standaard 7 2 2 4 2 4 3" xfId="48075"/>
    <cellStyle name="Standaard 7 2 2 4 2 5" xfId="48076"/>
    <cellStyle name="Standaard 7 2 2 4 2 5 2" xfId="48077"/>
    <cellStyle name="Standaard 7 2 2 4 2 6" xfId="48078"/>
    <cellStyle name="Standaard 7 2 2 4 2 7" xfId="48079"/>
    <cellStyle name="Standaard 7 2 2 4 3" xfId="48080"/>
    <cellStyle name="Standaard 7 2 2 4 3 2" xfId="48081"/>
    <cellStyle name="Standaard 7 2 2 4 3 2 2" xfId="48082"/>
    <cellStyle name="Standaard 7 2 2 4 3 2 2 2" xfId="48083"/>
    <cellStyle name="Standaard 7 2 2 4 3 2 2 2 2" xfId="48084"/>
    <cellStyle name="Standaard 7 2 2 4 3 2 2 3" xfId="48085"/>
    <cellStyle name="Standaard 7 2 2 4 3 2 3" xfId="48086"/>
    <cellStyle name="Standaard 7 2 2 4 3 2 3 2" xfId="48087"/>
    <cellStyle name="Standaard 7 2 2 4 3 2 4" xfId="48088"/>
    <cellStyle name="Standaard 7 2 2 4 3 3" xfId="48089"/>
    <cellStyle name="Standaard 7 2 2 4 3 3 2" xfId="48090"/>
    <cellStyle name="Standaard 7 2 2 4 3 3 2 2" xfId="48091"/>
    <cellStyle name="Standaard 7 2 2 4 3 3 3" xfId="48092"/>
    <cellStyle name="Standaard 7 2 2 4 3 4" xfId="48093"/>
    <cellStyle name="Standaard 7 2 2 4 3 4 2" xfId="48094"/>
    <cellStyle name="Standaard 7 2 2 4 3 5" xfId="48095"/>
    <cellStyle name="Standaard 7 2 2 4 3 6" xfId="48096"/>
    <cellStyle name="Standaard 7 2 2 4 4" xfId="48097"/>
    <cellStyle name="Standaard 7 2 2 4 4 2" xfId="48098"/>
    <cellStyle name="Standaard 7 2 2 4 4 2 2" xfId="48099"/>
    <cellStyle name="Standaard 7 2 2 4 4 2 2 2" xfId="48100"/>
    <cellStyle name="Standaard 7 2 2 4 4 2 3" xfId="48101"/>
    <cellStyle name="Standaard 7 2 2 4 4 3" xfId="48102"/>
    <cellStyle name="Standaard 7 2 2 4 4 3 2" xfId="48103"/>
    <cellStyle name="Standaard 7 2 2 4 4 4" xfId="48104"/>
    <cellStyle name="Standaard 7 2 2 4 5" xfId="48105"/>
    <cellStyle name="Standaard 7 2 2 4 5 2" xfId="48106"/>
    <cellStyle name="Standaard 7 2 2 4 5 2 2" xfId="48107"/>
    <cellStyle name="Standaard 7 2 2 4 5 3" xfId="48108"/>
    <cellStyle name="Standaard 7 2 2 4 6" xfId="48109"/>
    <cellStyle name="Standaard 7 2 2 4 6 2" xfId="48110"/>
    <cellStyle name="Standaard 7 2 2 4 7" xfId="48111"/>
    <cellStyle name="Standaard 7 2 2 4 8" xfId="48112"/>
    <cellStyle name="Standaard 7 2 2 5" xfId="48113"/>
    <cellStyle name="Standaard 7 2 2 5 2" xfId="48114"/>
    <cellStyle name="Standaard 7 2 2 5 2 2" xfId="48115"/>
    <cellStyle name="Standaard 7 2 2 5 2 2 2" xfId="48116"/>
    <cellStyle name="Standaard 7 2 2 5 2 2 2 2" xfId="48117"/>
    <cellStyle name="Standaard 7 2 2 5 2 2 2 2 2" xfId="48118"/>
    <cellStyle name="Standaard 7 2 2 5 2 2 2 3" xfId="48119"/>
    <cellStyle name="Standaard 7 2 2 5 2 2 3" xfId="48120"/>
    <cellStyle name="Standaard 7 2 2 5 2 2 3 2" xfId="48121"/>
    <cellStyle name="Standaard 7 2 2 5 2 2 4" xfId="48122"/>
    <cellStyle name="Standaard 7 2 2 5 2 3" xfId="48123"/>
    <cellStyle name="Standaard 7 2 2 5 2 3 2" xfId="48124"/>
    <cellStyle name="Standaard 7 2 2 5 2 3 2 2" xfId="48125"/>
    <cellStyle name="Standaard 7 2 2 5 2 3 3" xfId="48126"/>
    <cellStyle name="Standaard 7 2 2 5 2 4" xfId="48127"/>
    <cellStyle name="Standaard 7 2 2 5 2 4 2" xfId="48128"/>
    <cellStyle name="Standaard 7 2 2 5 2 5" xfId="48129"/>
    <cellStyle name="Standaard 7 2 2 5 2 6" xfId="48130"/>
    <cellStyle name="Standaard 7 2 2 5 3" xfId="48131"/>
    <cellStyle name="Standaard 7 2 2 5 3 2" xfId="48132"/>
    <cellStyle name="Standaard 7 2 2 5 3 2 2" xfId="48133"/>
    <cellStyle name="Standaard 7 2 2 5 3 2 2 2" xfId="48134"/>
    <cellStyle name="Standaard 7 2 2 5 3 2 3" xfId="48135"/>
    <cellStyle name="Standaard 7 2 2 5 3 3" xfId="48136"/>
    <cellStyle name="Standaard 7 2 2 5 3 3 2" xfId="48137"/>
    <cellStyle name="Standaard 7 2 2 5 3 4" xfId="48138"/>
    <cellStyle name="Standaard 7 2 2 5 4" xfId="48139"/>
    <cellStyle name="Standaard 7 2 2 5 4 2" xfId="48140"/>
    <cellStyle name="Standaard 7 2 2 5 4 2 2" xfId="48141"/>
    <cellStyle name="Standaard 7 2 2 5 4 3" xfId="48142"/>
    <cellStyle name="Standaard 7 2 2 5 5" xfId="48143"/>
    <cellStyle name="Standaard 7 2 2 5 5 2" xfId="48144"/>
    <cellStyle name="Standaard 7 2 2 5 6" xfId="48145"/>
    <cellStyle name="Standaard 7 2 2 5 7" xfId="48146"/>
    <cellStyle name="Standaard 7 2 2 6" xfId="48147"/>
    <cellStyle name="Standaard 7 2 2 6 2" xfId="48148"/>
    <cellStyle name="Standaard 7 2 2 6 2 2" xfId="48149"/>
    <cellStyle name="Standaard 7 2 2 6 2 2 2" xfId="48150"/>
    <cellStyle name="Standaard 7 2 2 6 2 2 2 2" xfId="48151"/>
    <cellStyle name="Standaard 7 2 2 6 2 2 3" xfId="48152"/>
    <cellStyle name="Standaard 7 2 2 6 2 3" xfId="48153"/>
    <cellStyle name="Standaard 7 2 2 6 2 3 2" xfId="48154"/>
    <cellStyle name="Standaard 7 2 2 6 2 4" xfId="48155"/>
    <cellStyle name="Standaard 7 2 2 6 3" xfId="48156"/>
    <cellStyle name="Standaard 7 2 2 6 3 2" xfId="48157"/>
    <cellStyle name="Standaard 7 2 2 6 3 2 2" xfId="48158"/>
    <cellStyle name="Standaard 7 2 2 6 3 3" xfId="48159"/>
    <cellStyle name="Standaard 7 2 2 6 4" xfId="48160"/>
    <cellStyle name="Standaard 7 2 2 6 4 2" xfId="48161"/>
    <cellStyle name="Standaard 7 2 2 6 5" xfId="48162"/>
    <cellStyle name="Standaard 7 2 2 6 6" xfId="48163"/>
    <cellStyle name="Standaard 7 2 2 7" xfId="48164"/>
    <cellStyle name="Standaard 7 2 2 7 2" xfId="48165"/>
    <cellStyle name="Standaard 7 2 2 7 2 2" xfId="48166"/>
    <cellStyle name="Standaard 7 2 2 7 2 2 2" xfId="48167"/>
    <cellStyle name="Standaard 7 2 2 7 2 3" xfId="48168"/>
    <cellStyle name="Standaard 7 2 2 7 3" xfId="48169"/>
    <cellStyle name="Standaard 7 2 2 7 3 2" xfId="48170"/>
    <cellStyle name="Standaard 7 2 2 7 4" xfId="48171"/>
    <cellStyle name="Standaard 7 2 2 8" xfId="48172"/>
    <cellStyle name="Standaard 7 2 2 8 2" xfId="48173"/>
    <cellStyle name="Standaard 7 2 2 8 2 2" xfId="48174"/>
    <cellStyle name="Standaard 7 2 2 8 3" xfId="48175"/>
    <cellStyle name="Standaard 7 2 2 9" xfId="48176"/>
    <cellStyle name="Standaard 7 2 2 9 2" xfId="48177"/>
    <cellStyle name="Standaard 7 2 3" xfId="48178"/>
    <cellStyle name="Standaard 7 2 3 2" xfId="48179"/>
    <cellStyle name="Standaard 7 2 3 2 2" xfId="48180"/>
    <cellStyle name="Standaard 7 2 3 2 2 2" xfId="48181"/>
    <cellStyle name="Standaard 7 2 3 2 2 2 2" xfId="48182"/>
    <cellStyle name="Standaard 7 2 3 2 2 2 2 2" xfId="48183"/>
    <cellStyle name="Standaard 7 2 3 2 2 2 2 2 2" xfId="48184"/>
    <cellStyle name="Standaard 7 2 3 2 2 2 2 2 2 2" xfId="48185"/>
    <cellStyle name="Standaard 7 2 3 2 2 2 2 2 3" xfId="48186"/>
    <cellStyle name="Standaard 7 2 3 2 2 2 2 3" xfId="48187"/>
    <cellStyle name="Standaard 7 2 3 2 2 2 2 3 2" xfId="48188"/>
    <cellStyle name="Standaard 7 2 3 2 2 2 2 4" xfId="48189"/>
    <cellStyle name="Standaard 7 2 3 2 2 2 3" xfId="48190"/>
    <cellStyle name="Standaard 7 2 3 2 2 2 3 2" xfId="48191"/>
    <cellStyle name="Standaard 7 2 3 2 2 2 3 2 2" xfId="48192"/>
    <cellStyle name="Standaard 7 2 3 2 2 2 3 3" xfId="48193"/>
    <cellStyle name="Standaard 7 2 3 2 2 2 4" xfId="48194"/>
    <cellStyle name="Standaard 7 2 3 2 2 2 4 2" xfId="48195"/>
    <cellStyle name="Standaard 7 2 3 2 2 2 5" xfId="48196"/>
    <cellStyle name="Standaard 7 2 3 2 2 2 6" xfId="48197"/>
    <cellStyle name="Standaard 7 2 3 2 2 3" xfId="48198"/>
    <cellStyle name="Standaard 7 2 3 2 2 3 2" xfId="48199"/>
    <cellStyle name="Standaard 7 2 3 2 2 3 2 2" xfId="48200"/>
    <cellStyle name="Standaard 7 2 3 2 2 3 2 2 2" xfId="48201"/>
    <cellStyle name="Standaard 7 2 3 2 2 3 2 3" xfId="48202"/>
    <cellStyle name="Standaard 7 2 3 2 2 3 3" xfId="48203"/>
    <cellStyle name="Standaard 7 2 3 2 2 3 3 2" xfId="48204"/>
    <cellStyle name="Standaard 7 2 3 2 2 3 4" xfId="48205"/>
    <cellStyle name="Standaard 7 2 3 2 2 4" xfId="48206"/>
    <cellStyle name="Standaard 7 2 3 2 2 4 2" xfId="48207"/>
    <cellStyle name="Standaard 7 2 3 2 2 4 2 2" xfId="48208"/>
    <cellStyle name="Standaard 7 2 3 2 2 4 3" xfId="48209"/>
    <cellStyle name="Standaard 7 2 3 2 2 5" xfId="48210"/>
    <cellStyle name="Standaard 7 2 3 2 2 5 2" xfId="48211"/>
    <cellStyle name="Standaard 7 2 3 2 2 6" xfId="48212"/>
    <cellStyle name="Standaard 7 2 3 2 2 7" xfId="48213"/>
    <cellStyle name="Standaard 7 2 3 2 3" xfId="48214"/>
    <cellStyle name="Standaard 7 2 3 2 3 2" xfId="48215"/>
    <cellStyle name="Standaard 7 2 3 2 3 2 2" xfId="48216"/>
    <cellStyle name="Standaard 7 2 3 2 3 2 2 2" xfId="48217"/>
    <cellStyle name="Standaard 7 2 3 2 3 2 2 2 2" xfId="48218"/>
    <cellStyle name="Standaard 7 2 3 2 3 2 2 3" xfId="48219"/>
    <cellStyle name="Standaard 7 2 3 2 3 2 3" xfId="48220"/>
    <cellStyle name="Standaard 7 2 3 2 3 2 3 2" xfId="48221"/>
    <cellStyle name="Standaard 7 2 3 2 3 2 4" xfId="48222"/>
    <cellStyle name="Standaard 7 2 3 2 3 3" xfId="48223"/>
    <cellStyle name="Standaard 7 2 3 2 3 3 2" xfId="48224"/>
    <cellStyle name="Standaard 7 2 3 2 3 3 2 2" xfId="48225"/>
    <cellStyle name="Standaard 7 2 3 2 3 3 3" xfId="48226"/>
    <cellStyle name="Standaard 7 2 3 2 3 4" xfId="48227"/>
    <cellStyle name="Standaard 7 2 3 2 3 4 2" xfId="48228"/>
    <cellStyle name="Standaard 7 2 3 2 3 5" xfId="48229"/>
    <cellStyle name="Standaard 7 2 3 2 3 6" xfId="48230"/>
    <cellStyle name="Standaard 7 2 3 2 4" xfId="48231"/>
    <cellStyle name="Standaard 7 2 3 2 4 2" xfId="48232"/>
    <cellStyle name="Standaard 7 2 3 2 4 2 2" xfId="48233"/>
    <cellStyle name="Standaard 7 2 3 2 4 2 2 2" xfId="48234"/>
    <cellStyle name="Standaard 7 2 3 2 4 2 3" xfId="48235"/>
    <cellStyle name="Standaard 7 2 3 2 4 3" xfId="48236"/>
    <cellStyle name="Standaard 7 2 3 2 4 3 2" xfId="48237"/>
    <cellStyle name="Standaard 7 2 3 2 4 4" xfId="48238"/>
    <cellStyle name="Standaard 7 2 3 2 5" xfId="48239"/>
    <cellStyle name="Standaard 7 2 3 2 5 2" xfId="48240"/>
    <cellStyle name="Standaard 7 2 3 2 5 2 2" xfId="48241"/>
    <cellStyle name="Standaard 7 2 3 2 5 3" xfId="48242"/>
    <cellStyle name="Standaard 7 2 3 2 6" xfId="48243"/>
    <cellStyle name="Standaard 7 2 3 2 6 2" xfId="48244"/>
    <cellStyle name="Standaard 7 2 3 2 7" xfId="48245"/>
    <cellStyle name="Standaard 7 2 3 2 8" xfId="48246"/>
    <cellStyle name="Standaard 7 2 3 3" xfId="48247"/>
    <cellStyle name="Standaard 7 2 3 3 2" xfId="48248"/>
    <cellStyle name="Standaard 7 2 3 3 2 2" xfId="48249"/>
    <cellStyle name="Standaard 7 2 3 3 2 2 2" xfId="48250"/>
    <cellStyle name="Standaard 7 2 3 3 2 2 2 2" xfId="48251"/>
    <cellStyle name="Standaard 7 2 3 3 2 2 2 2 2" xfId="48252"/>
    <cellStyle name="Standaard 7 2 3 3 2 2 2 3" xfId="48253"/>
    <cellStyle name="Standaard 7 2 3 3 2 2 3" xfId="48254"/>
    <cellStyle name="Standaard 7 2 3 3 2 2 3 2" xfId="48255"/>
    <cellStyle name="Standaard 7 2 3 3 2 2 4" xfId="48256"/>
    <cellStyle name="Standaard 7 2 3 3 2 3" xfId="48257"/>
    <cellStyle name="Standaard 7 2 3 3 2 3 2" xfId="48258"/>
    <cellStyle name="Standaard 7 2 3 3 2 3 2 2" xfId="48259"/>
    <cellStyle name="Standaard 7 2 3 3 2 3 3" xfId="48260"/>
    <cellStyle name="Standaard 7 2 3 3 2 4" xfId="48261"/>
    <cellStyle name="Standaard 7 2 3 3 2 4 2" xfId="48262"/>
    <cellStyle name="Standaard 7 2 3 3 2 5" xfId="48263"/>
    <cellStyle name="Standaard 7 2 3 3 2 6" xfId="48264"/>
    <cellStyle name="Standaard 7 2 3 3 3" xfId="48265"/>
    <cellStyle name="Standaard 7 2 3 3 3 2" xfId="48266"/>
    <cellStyle name="Standaard 7 2 3 3 3 2 2" xfId="48267"/>
    <cellStyle name="Standaard 7 2 3 3 3 2 2 2" xfId="48268"/>
    <cellStyle name="Standaard 7 2 3 3 3 2 3" xfId="48269"/>
    <cellStyle name="Standaard 7 2 3 3 3 3" xfId="48270"/>
    <cellStyle name="Standaard 7 2 3 3 3 3 2" xfId="48271"/>
    <cellStyle name="Standaard 7 2 3 3 3 4" xfId="48272"/>
    <cellStyle name="Standaard 7 2 3 3 4" xfId="48273"/>
    <cellStyle name="Standaard 7 2 3 3 4 2" xfId="48274"/>
    <cellStyle name="Standaard 7 2 3 3 4 2 2" xfId="48275"/>
    <cellStyle name="Standaard 7 2 3 3 4 3" xfId="48276"/>
    <cellStyle name="Standaard 7 2 3 3 5" xfId="48277"/>
    <cellStyle name="Standaard 7 2 3 3 5 2" xfId="48278"/>
    <cellStyle name="Standaard 7 2 3 3 6" xfId="48279"/>
    <cellStyle name="Standaard 7 2 3 3 7" xfId="48280"/>
    <cellStyle name="Standaard 7 2 3 4" xfId="48281"/>
    <cellStyle name="Standaard 7 2 3 4 2" xfId="48282"/>
    <cellStyle name="Standaard 7 2 3 4 2 2" xfId="48283"/>
    <cellStyle name="Standaard 7 2 3 4 2 2 2" xfId="48284"/>
    <cellStyle name="Standaard 7 2 3 4 2 2 2 2" xfId="48285"/>
    <cellStyle name="Standaard 7 2 3 4 2 2 3" xfId="48286"/>
    <cellStyle name="Standaard 7 2 3 4 2 3" xfId="48287"/>
    <cellStyle name="Standaard 7 2 3 4 2 3 2" xfId="48288"/>
    <cellStyle name="Standaard 7 2 3 4 2 4" xfId="48289"/>
    <cellStyle name="Standaard 7 2 3 4 3" xfId="48290"/>
    <cellStyle name="Standaard 7 2 3 4 3 2" xfId="48291"/>
    <cellStyle name="Standaard 7 2 3 4 3 2 2" xfId="48292"/>
    <cellStyle name="Standaard 7 2 3 4 3 3" xfId="48293"/>
    <cellStyle name="Standaard 7 2 3 4 4" xfId="48294"/>
    <cellStyle name="Standaard 7 2 3 4 4 2" xfId="48295"/>
    <cellStyle name="Standaard 7 2 3 4 5" xfId="48296"/>
    <cellStyle name="Standaard 7 2 3 4 6" xfId="48297"/>
    <cellStyle name="Standaard 7 2 3 5" xfId="48298"/>
    <cellStyle name="Standaard 7 2 3 5 2" xfId="48299"/>
    <cellStyle name="Standaard 7 2 3 5 2 2" xfId="48300"/>
    <cellStyle name="Standaard 7 2 3 5 2 2 2" xfId="48301"/>
    <cellStyle name="Standaard 7 2 3 5 2 3" xfId="48302"/>
    <cellStyle name="Standaard 7 2 3 5 3" xfId="48303"/>
    <cellStyle name="Standaard 7 2 3 5 3 2" xfId="48304"/>
    <cellStyle name="Standaard 7 2 3 5 4" xfId="48305"/>
    <cellStyle name="Standaard 7 2 3 6" xfId="48306"/>
    <cellStyle name="Standaard 7 2 3 6 2" xfId="48307"/>
    <cellStyle name="Standaard 7 2 3 6 2 2" xfId="48308"/>
    <cellStyle name="Standaard 7 2 3 6 3" xfId="48309"/>
    <cellStyle name="Standaard 7 2 3 7" xfId="48310"/>
    <cellStyle name="Standaard 7 2 3 7 2" xfId="48311"/>
    <cellStyle name="Standaard 7 2 3 8" xfId="48312"/>
    <cellStyle name="Standaard 7 2 3 9" xfId="48313"/>
    <cellStyle name="Standaard 7 2 4" xfId="48314"/>
    <cellStyle name="Standaard 7 2 4 2" xfId="48315"/>
    <cellStyle name="Standaard 7 2 4 2 2" xfId="48316"/>
    <cellStyle name="Standaard 7 2 4 2 2 2" xfId="48317"/>
    <cellStyle name="Standaard 7 2 4 2 2 2 2" xfId="48318"/>
    <cellStyle name="Standaard 7 2 4 2 2 2 2 2" xfId="48319"/>
    <cellStyle name="Standaard 7 2 4 2 2 2 2 2 2" xfId="48320"/>
    <cellStyle name="Standaard 7 2 4 2 2 2 2 3" xfId="48321"/>
    <cellStyle name="Standaard 7 2 4 2 2 2 3" xfId="48322"/>
    <cellStyle name="Standaard 7 2 4 2 2 2 3 2" xfId="48323"/>
    <cellStyle name="Standaard 7 2 4 2 2 2 4" xfId="48324"/>
    <cellStyle name="Standaard 7 2 4 2 2 3" xfId="48325"/>
    <cellStyle name="Standaard 7 2 4 2 2 3 2" xfId="48326"/>
    <cellStyle name="Standaard 7 2 4 2 2 3 2 2" xfId="48327"/>
    <cellStyle name="Standaard 7 2 4 2 2 3 3" xfId="48328"/>
    <cellStyle name="Standaard 7 2 4 2 2 4" xfId="48329"/>
    <cellStyle name="Standaard 7 2 4 2 2 4 2" xfId="48330"/>
    <cellStyle name="Standaard 7 2 4 2 2 5" xfId="48331"/>
    <cellStyle name="Standaard 7 2 4 2 2 6" xfId="48332"/>
    <cellStyle name="Standaard 7 2 4 2 3" xfId="48333"/>
    <cellStyle name="Standaard 7 2 4 2 3 2" xfId="48334"/>
    <cellStyle name="Standaard 7 2 4 2 3 2 2" xfId="48335"/>
    <cellStyle name="Standaard 7 2 4 2 3 2 2 2" xfId="48336"/>
    <cellStyle name="Standaard 7 2 4 2 3 2 3" xfId="48337"/>
    <cellStyle name="Standaard 7 2 4 2 3 3" xfId="48338"/>
    <cellStyle name="Standaard 7 2 4 2 3 3 2" xfId="48339"/>
    <cellStyle name="Standaard 7 2 4 2 3 4" xfId="48340"/>
    <cellStyle name="Standaard 7 2 4 2 4" xfId="48341"/>
    <cellStyle name="Standaard 7 2 4 2 4 2" xfId="48342"/>
    <cellStyle name="Standaard 7 2 4 2 4 2 2" xfId="48343"/>
    <cellStyle name="Standaard 7 2 4 2 4 3" xfId="48344"/>
    <cellStyle name="Standaard 7 2 4 2 5" xfId="48345"/>
    <cellStyle name="Standaard 7 2 4 2 5 2" xfId="48346"/>
    <cellStyle name="Standaard 7 2 4 2 6" xfId="48347"/>
    <cellStyle name="Standaard 7 2 4 2 7" xfId="48348"/>
    <cellStyle name="Standaard 7 2 4 3" xfId="48349"/>
    <cellStyle name="Standaard 7 2 4 3 2" xfId="48350"/>
    <cellStyle name="Standaard 7 2 4 3 2 2" xfId="48351"/>
    <cellStyle name="Standaard 7 2 4 3 2 2 2" xfId="48352"/>
    <cellStyle name="Standaard 7 2 4 3 2 2 2 2" xfId="48353"/>
    <cellStyle name="Standaard 7 2 4 3 2 2 3" xfId="48354"/>
    <cellStyle name="Standaard 7 2 4 3 2 3" xfId="48355"/>
    <cellStyle name="Standaard 7 2 4 3 2 3 2" xfId="48356"/>
    <cellStyle name="Standaard 7 2 4 3 2 4" xfId="48357"/>
    <cellStyle name="Standaard 7 2 4 3 3" xfId="48358"/>
    <cellStyle name="Standaard 7 2 4 3 3 2" xfId="48359"/>
    <cellStyle name="Standaard 7 2 4 3 3 2 2" xfId="48360"/>
    <cellStyle name="Standaard 7 2 4 3 3 3" xfId="48361"/>
    <cellStyle name="Standaard 7 2 4 3 4" xfId="48362"/>
    <cellStyle name="Standaard 7 2 4 3 4 2" xfId="48363"/>
    <cellStyle name="Standaard 7 2 4 3 5" xfId="48364"/>
    <cellStyle name="Standaard 7 2 4 3 6" xfId="48365"/>
    <cellStyle name="Standaard 7 2 4 4" xfId="48366"/>
    <cellStyle name="Standaard 7 2 4 4 2" xfId="48367"/>
    <cellStyle name="Standaard 7 2 4 4 2 2" xfId="48368"/>
    <cellStyle name="Standaard 7 2 4 4 2 2 2" xfId="48369"/>
    <cellStyle name="Standaard 7 2 4 4 2 3" xfId="48370"/>
    <cellStyle name="Standaard 7 2 4 4 3" xfId="48371"/>
    <cellStyle name="Standaard 7 2 4 4 3 2" xfId="48372"/>
    <cellStyle name="Standaard 7 2 4 4 4" xfId="48373"/>
    <cellStyle name="Standaard 7 2 4 5" xfId="48374"/>
    <cellStyle name="Standaard 7 2 4 5 2" xfId="48375"/>
    <cellStyle name="Standaard 7 2 4 5 2 2" xfId="48376"/>
    <cellStyle name="Standaard 7 2 4 5 3" xfId="48377"/>
    <cellStyle name="Standaard 7 2 4 6" xfId="48378"/>
    <cellStyle name="Standaard 7 2 4 6 2" xfId="48379"/>
    <cellStyle name="Standaard 7 2 4 7" xfId="48380"/>
    <cellStyle name="Standaard 7 2 4 8" xfId="48381"/>
    <cellStyle name="Standaard 7 2 5" xfId="48382"/>
    <cellStyle name="Standaard 7 2 5 2" xfId="48383"/>
    <cellStyle name="Standaard 7 2 5 2 2" xfId="48384"/>
    <cellStyle name="Standaard 7 2 5 2 2 2" xfId="48385"/>
    <cellStyle name="Standaard 7 2 5 2 2 2 2" xfId="48386"/>
    <cellStyle name="Standaard 7 2 5 2 2 2 2 2" xfId="48387"/>
    <cellStyle name="Standaard 7 2 5 2 2 2 2 2 2" xfId="48388"/>
    <cellStyle name="Standaard 7 2 5 2 2 2 2 3" xfId="48389"/>
    <cellStyle name="Standaard 7 2 5 2 2 2 3" xfId="48390"/>
    <cellStyle name="Standaard 7 2 5 2 2 2 3 2" xfId="48391"/>
    <cellStyle name="Standaard 7 2 5 2 2 2 4" xfId="48392"/>
    <cellStyle name="Standaard 7 2 5 2 2 3" xfId="48393"/>
    <cellStyle name="Standaard 7 2 5 2 2 3 2" xfId="48394"/>
    <cellStyle name="Standaard 7 2 5 2 2 3 2 2" xfId="48395"/>
    <cellStyle name="Standaard 7 2 5 2 2 3 3" xfId="48396"/>
    <cellStyle name="Standaard 7 2 5 2 2 4" xfId="48397"/>
    <cellStyle name="Standaard 7 2 5 2 2 4 2" xfId="48398"/>
    <cellStyle name="Standaard 7 2 5 2 2 5" xfId="48399"/>
    <cellStyle name="Standaard 7 2 5 2 2 6" xfId="48400"/>
    <cellStyle name="Standaard 7 2 5 2 3" xfId="48401"/>
    <cellStyle name="Standaard 7 2 5 2 3 2" xfId="48402"/>
    <cellStyle name="Standaard 7 2 5 2 3 2 2" xfId="48403"/>
    <cellStyle name="Standaard 7 2 5 2 3 2 2 2" xfId="48404"/>
    <cellStyle name="Standaard 7 2 5 2 3 2 3" xfId="48405"/>
    <cellStyle name="Standaard 7 2 5 2 3 3" xfId="48406"/>
    <cellStyle name="Standaard 7 2 5 2 3 3 2" xfId="48407"/>
    <cellStyle name="Standaard 7 2 5 2 3 4" xfId="48408"/>
    <cellStyle name="Standaard 7 2 5 2 4" xfId="48409"/>
    <cellStyle name="Standaard 7 2 5 2 4 2" xfId="48410"/>
    <cellStyle name="Standaard 7 2 5 2 4 2 2" xfId="48411"/>
    <cellStyle name="Standaard 7 2 5 2 4 3" xfId="48412"/>
    <cellStyle name="Standaard 7 2 5 2 5" xfId="48413"/>
    <cellStyle name="Standaard 7 2 5 2 5 2" xfId="48414"/>
    <cellStyle name="Standaard 7 2 5 2 6" xfId="48415"/>
    <cellStyle name="Standaard 7 2 5 2 7" xfId="48416"/>
    <cellStyle name="Standaard 7 2 5 3" xfId="48417"/>
    <cellStyle name="Standaard 7 2 5 3 2" xfId="48418"/>
    <cellStyle name="Standaard 7 2 5 3 2 2" xfId="48419"/>
    <cellStyle name="Standaard 7 2 5 3 2 2 2" xfId="48420"/>
    <cellStyle name="Standaard 7 2 5 3 2 2 2 2" xfId="48421"/>
    <cellStyle name="Standaard 7 2 5 3 2 2 3" xfId="48422"/>
    <cellStyle name="Standaard 7 2 5 3 2 3" xfId="48423"/>
    <cellStyle name="Standaard 7 2 5 3 2 3 2" xfId="48424"/>
    <cellStyle name="Standaard 7 2 5 3 2 4" xfId="48425"/>
    <cellStyle name="Standaard 7 2 5 3 3" xfId="48426"/>
    <cellStyle name="Standaard 7 2 5 3 3 2" xfId="48427"/>
    <cellStyle name="Standaard 7 2 5 3 3 2 2" xfId="48428"/>
    <cellStyle name="Standaard 7 2 5 3 3 3" xfId="48429"/>
    <cellStyle name="Standaard 7 2 5 3 4" xfId="48430"/>
    <cellStyle name="Standaard 7 2 5 3 4 2" xfId="48431"/>
    <cellStyle name="Standaard 7 2 5 3 5" xfId="48432"/>
    <cellStyle name="Standaard 7 2 5 3 6" xfId="48433"/>
    <cellStyle name="Standaard 7 2 5 4" xfId="48434"/>
    <cellStyle name="Standaard 7 2 5 4 2" xfId="48435"/>
    <cellStyle name="Standaard 7 2 5 4 2 2" xfId="48436"/>
    <cellStyle name="Standaard 7 2 5 4 2 2 2" xfId="48437"/>
    <cellStyle name="Standaard 7 2 5 4 2 3" xfId="48438"/>
    <cellStyle name="Standaard 7 2 5 4 3" xfId="48439"/>
    <cellStyle name="Standaard 7 2 5 4 3 2" xfId="48440"/>
    <cellStyle name="Standaard 7 2 5 4 4" xfId="48441"/>
    <cellStyle name="Standaard 7 2 5 5" xfId="48442"/>
    <cellStyle name="Standaard 7 2 5 5 2" xfId="48443"/>
    <cellStyle name="Standaard 7 2 5 5 2 2" xfId="48444"/>
    <cellStyle name="Standaard 7 2 5 5 3" xfId="48445"/>
    <cellStyle name="Standaard 7 2 5 6" xfId="48446"/>
    <cellStyle name="Standaard 7 2 5 6 2" xfId="48447"/>
    <cellStyle name="Standaard 7 2 5 7" xfId="48448"/>
    <cellStyle name="Standaard 7 2 5 8" xfId="48449"/>
    <cellStyle name="Standaard 7 2 6" xfId="48450"/>
    <cellStyle name="Standaard 7 2 6 2" xfId="48451"/>
    <cellStyle name="Standaard 7 2 6 2 2" xfId="48452"/>
    <cellStyle name="Standaard 7 2 6 2 2 2" xfId="48453"/>
    <cellStyle name="Standaard 7 2 6 2 2 2 2" xfId="48454"/>
    <cellStyle name="Standaard 7 2 6 2 2 2 2 2" xfId="48455"/>
    <cellStyle name="Standaard 7 2 6 2 2 2 3" xfId="48456"/>
    <cellStyle name="Standaard 7 2 6 2 2 3" xfId="48457"/>
    <cellStyle name="Standaard 7 2 6 2 2 3 2" xfId="48458"/>
    <cellStyle name="Standaard 7 2 6 2 2 4" xfId="48459"/>
    <cellStyle name="Standaard 7 2 6 2 3" xfId="48460"/>
    <cellStyle name="Standaard 7 2 6 2 3 2" xfId="48461"/>
    <cellStyle name="Standaard 7 2 6 2 3 2 2" xfId="48462"/>
    <cellStyle name="Standaard 7 2 6 2 3 3" xfId="48463"/>
    <cellStyle name="Standaard 7 2 6 2 4" xfId="48464"/>
    <cellStyle name="Standaard 7 2 6 2 4 2" xfId="48465"/>
    <cellStyle name="Standaard 7 2 6 2 5" xfId="48466"/>
    <cellStyle name="Standaard 7 2 6 2 6" xfId="48467"/>
    <cellStyle name="Standaard 7 2 6 3" xfId="48468"/>
    <cellStyle name="Standaard 7 2 6 3 2" xfId="48469"/>
    <cellStyle name="Standaard 7 2 6 3 2 2" xfId="48470"/>
    <cellStyle name="Standaard 7 2 6 3 2 2 2" xfId="48471"/>
    <cellStyle name="Standaard 7 2 6 3 2 3" xfId="48472"/>
    <cellStyle name="Standaard 7 2 6 3 3" xfId="48473"/>
    <cellStyle name="Standaard 7 2 6 3 3 2" xfId="48474"/>
    <cellStyle name="Standaard 7 2 6 3 4" xfId="48475"/>
    <cellStyle name="Standaard 7 2 6 4" xfId="48476"/>
    <cellStyle name="Standaard 7 2 6 4 2" xfId="48477"/>
    <cellStyle name="Standaard 7 2 6 4 2 2" xfId="48478"/>
    <cellStyle name="Standaard 7 2 6 4 3" xfId="48479"/>
    <cellStyle name="Standaard 7 2 6 5" xfId="48480"/>
    <cellStyle name="Standaard 7 2 6 5 2" xfId="48481"/>
    <cellStyle name="Standaard 7 2 6 6" xfId="48482"/>
    <cellStyle name="Standaard 7 2 6 7" xfId="48483"/>
    <cellStyle name="Standaard 7 2 7" xfId="48484"/>
    <cellStyle name="Standaard 7 2 7 2" xfId="48485"/>
    <cellStyle name="Standaard 7 2 7 2 2" xfId="48486"/>
    <cellStyle name="Standaard 7 2 7 2 2 2" xfId="48487"/>
    <cellStyle name="Standaard 7 2 7 2 2 2 2" xfId="48488"/>
    <cellStyle name="Standaard 7 2 7 2 2 3" xfId="48489"/>
    <cellStyle name="Standaard 7 2 7 2 3" xfId="48490"/>
    <cellStyle name="Standaard 7 2 7 2 3 2" xfId="48491"/>
    <cellStyle name="Standaard 7 2 7 2 4" xfId="48492"/>
    <cellStyle name="Standaard 7 2 7 3" xfId="48493"/>
    <cellStyle name="Standaard 7 2 7 3 2" xfId="48494"/>
    <cellStyle name="Standaard 7 2 7 3 2 2" xfId="48495"/>
    <cellStyle name="Standaard 7 2 7 3 3" xfId="48496"/>
    <cellStyle name="Standaard 7 2 7 4" xfId="48497"/>
    <cellStyle name="Standaard 7 2 7 4 2" xfId="48498"/>
    <cellStyle name="Standaard 7 2 7 5" xfId="48499"/>
    <cellStyle name="Standaard 7 2 7 6" xfId="48500"/>
    <cellStyle name="Standaard 7 2 8" xfId="48501"/>
    <cellStyle name="Standaard 7 2 8 2" xfId="48502"/>
    <cellStyle name="Standaard 7 2 8 2 2" xfId="48503"/>
    <cellStyle name="Standaard 7 2 8 2 2 2" xfId="48504"/>
    <cellStyle name="Standaard 7 2 8 2 3" xfId="48505"/>
    <cellStyle name="Standaard 7 2 8 3" xfId="48506"/>
    <cellStyle name="Standaard 7 2 8 3 2" xfId="48507"/>
    <cellStyle name="Standaard 7 2 8 4" xfId="48508"/>
    <cellStyle name="Standaard 7 2 9" xfId="48509"/>
    <cellStyle name="Standaard 7 2 9 2" xfId="48510"/>
    <cellStyle name="Standaard 7 2 9 2 2" xfId="48511"/>
    <cellStyle name="Standaard 7 2 9 3" xfId="48512"/>
    <cellStyle name="Standaard 7 3" xfId="48513"/>
    <cellStyle name="Standaard 7 3 10" xfId="48514"/>
    <cellStyle name="Standaard 7 3 11" xfId="48515"/>
    <cellStyle name="Standaard 7 3 2" xfId="48516"/>
    <cellStyle name="Standaard 7 3 2 2" xfId="48517"/>
    <cellStyle name="Standaard 7 3 2 2 2" xfId="48518"/>
    <cellStyle name="Standaard 7 3 2 2 2 2" xfId="48519"/>
    <cellStyle name="Standaard 7 3 2 2 2 2 2" xfId="48520"/>
    <cellStyle name="Standaard 7 3 2 2 2 2 2 2" xfId="48521"/>
    <cellStyle name="Standaard 7 3 2 2 2 2 2 2 2" xfId="48522"/>
    <cellStyle name="Standaard 7 3 2 2 2 2 2 2 2 2" xfId="48523"/>
    <cellStyle name="Standaard 7 3 2 2 2 2 2 2 3" xfId="48524"/>
    <cellStyle name="Standaard 7 3 2 2 2 2 2 3" xfId="48525"/>
    <cellStyle name="Standaard 7 3 2 2 2 2 2 3 2" xfId="48526"/>
    <cellStyle name="Standaard 7 3 2 2 2 2 2 4" xfId="48527"/>
    <cellStyle name="Standaard 7 3 2 2 2 2 3" xfId="48528"/>
    <cellStyle name="Standaard 7 3 2 2 2 2 3 2" xfId="48529"/>
    <cellStyle name="Standaard 7 3 2 2 2 2 3 2 2" xfId="48530"/>
    <cellStyle name="Standaard 7 3 2 2 2 2 3 3" xfId="48531"/>
    <cellStyle name="Standaard 7 3 2 2 2 2 4" xfId="48532"/>
    <cellStyle name="Standaard 7 3 2 2 2 2 4 2" xfId="48533"/>
    <cellStyle name="Standaard 7 3 2 2 2 2 5" xfId="48534"/>
    <cellStyle name="Standaard 7 3 2 2 2 2 6" xfId="48535"/>
    <cellStyle name="Standaard 7 3 2 2 2 3" xfId="48536"/>
    <cellStyle name="Standaard 7 3 2 2 2 3 2" xfId="48537"/>
    <cellStyle name="Standaard 7 3 2 2 2 3 2 2" xfId="48538"/>
    <cellStyle name="Standaard 7 3 2 2 2 3 2 2 2" xfId="48539"/>
    <cellStyle name="Standaard 7 3 2 2 2 3 2 3" xfId="48540"/>
    <cellStyle name="Standaard 7 3 2 2 2 3 3" xfId="48541"/>
    <cellStyle name="Standaard 7 3 2 2 2 3 3 2" xfId="48542"/>
    <cellStyle name="Standaard 7 3 2 2 2 3 4" xfId="48543"/>
    <cellStyle name="Standaard 7 3 2 2 2 4" xfId="48544"/>
    <cellStyle name="Standaard 7 3 2 2 2 4 2" xfId="48545"/>
    <cellStyle name="Standaard 7 3 2 2 2 4 2 2" xfId="48546"/>
    <cellStyle name="Standaard 7 3 2 2 2 4 3" xfId="48547"/>
    <cellStyle name="Standaard 7 3 2 2 2 5" xfId="48548"/>
    <cellStyle name="Standaard 7 3 2 2 2 5 2" xfId="48549"/>
    <cellStyle name="Standaard 7 3 2 2 2 6" xfId="48550"/>
    <cellStyle name="Standaard 7 3 2 2 2 7" xfId="48551"/>
    <cellStyle name="Standaard 7 3 2 2 3" xfId="48552"/>
    <cellStyle name="Standaard 7 3 2 2 3 2" xfId="48553"/>
    <cellStyle name="Standaard 7 3 2 2 3 2 2" xfId="48554"/>
    <cellStyle name="Standaard 7 3 2 2 3 2 2 2" xfId="48555"/>
    <cellStyle name="Standaard 7 3 2 2 3 2 2 2 2" xfId="48556"/>
    <cellStyle name="Standaard 7 3 2 2 3 2 2 3" xfId="48557"/>
    <cellStyle name="Standaard 7 3 2 2 3 2 3" xfId="48558"/>
    <cellStyle name="Standaard 7 3 2 2 3 2 3 2" xfId="48559"/>
    <cellStyle name="Standaard 7 3 2 2 3 2 4" xfId="48560"/>
    <cellStyle name="Standaard 7 3 2 2 3 3" xfId="48561"/>
    <cellStyle name="Standaard 7 3 2 2 3 3 2" xfId="48562"/>
    <cellStyle name="Standaard 7 3 2 2 3 3 2 2" xfId="48563"/>
    <cellStyle name="Standaard 7 3 2 2 3 3 3" xfId="48564"/>
    <cellStyle name="Standaard 7 3 2 2 3 4" xfId="48565"/>
    <cellStyle name="Standaard 7 3 2 2 3 4 2" xfId="48566"/>
    <cellStyle name="Standaard 7 3 2 2 3 5" xfId="48567"/>
    <cellStyle name="Standaard 7 3 2 2 3 6" xfId="48568"/>
    <cellStyle name="Standaard 7 3 2 2 4" xfId="48569"/>
    <cellStyle name="Standaard 7 3 2 2 4 2" xfId="48570"/>
    <cellStyle name="Standaard 7 3 2 2 4 2 2" xfId="48571"/>
    <cellStyle name="Standaard 7 3 2 2 4 2 2 2" xfId="48572"/>
    <cellStyle name="Standaard 7 3 2 2 4 2 3" xfId="48573"/>
    <cellStyle name="Standaard 7 3 2 2 4 3" xfId="48574"/>
    <cellStyle name="Standaard 7 3 2 2 4 3 2" xfId="48575"/>
    <cellStyle name="Standaard 7 3 2 2 4 4" xfId="48576"/>
    <cellStyle name="Standaard 7 3 2 2 5" xfId="48577"/>
    <cellStyle name="Standaard 7 3 2 2 5 2" xfId="48578"/>
    <cellStyle name="Standaard 7 3 2 2 5 2 2" xfId="48579"/>
    <cellStyle name="Standaard 7 3 2 2 5 3" xfId="48580"/>
    <cellStyle name="Standaard 7 3 2 2 6" xfId="48581"/>
    <cellStyle name="Standaard 7 3 2 2 6 2" xfId="48582"/>
    <cellStyle name="Standaard 7 3 2 2 7" xfId="48583"/>
    <cellStyle name="Standaard 7 3 2 2 8" xfId="48584"/>
    <cellStyle name="Standaard 7 3 2 3" xfId="48585"/>
    <cellStyle name="Standaard 7 3 2 3 2" xfId="48586"/>
    <cellStyle name="Standaard 7 3 2 3 2 2" xfId="48587"/>
    <cellStyle name="Standaard 7 3 2 3 2 2 2" xfId="48588"/>
    <cellStyle name="Standaard 7 3 2 3 2 2 2 2" xfId="48589"/>
    <cellStyle name="Standaard 7 3 2 3 2 2 2 2 2" xfId="48590"/>
    <cellStyle name="Standaard 7 3 2 3 2 2 2 3" xfId="48591"/>
    <cellStyle name="Standaard 7 3 2 3 2 2 3" xfId="48592"/>
    <cellStyle name="Standaard 7 3 2 3 2 2 3 2" xfId="48593"/>
    <cellStyle name="Standaard 7 3 2 3 2 2 4" xfId="48594"/>
    <cellStyle name="Standaard 7 3 2 3 2 3" xfId="48595"/>
    <cellStyle name="Standaard 7 3 2 3 2 3 2" xfId="48596"/>
    <cellStyle name="Standaard 7 3 2 3 2 3 2 2" xfId="48597"/>
    <cellStyle name="Standaard 7 3 2 3 2 3 3" xfId="48598"/>
    <cellStyle name="Standaard 7 3 2 3 2 4" xfId="48599"/>
    <cellStyle name="Standaard 7 3 2 3 2 4 2" xfId="48600"/>
    <cellStyle name="Standaard 7 3 2 3 2 5" xfId="48601"/>
    <cellStyle name="Standaard 7 3 2 3 2 6" xfId="48602"/>
    <cellStyle name="Standaard 7 3 2 3 3" xfId="48603"/>
    <cellStyle name="Standaard 7 3 2 3 3 2" xfId="48604"/>
    <cellStyle name="Standaard 7 3 2 3 3 2 2" xfId="48605"/>
    <cellStyle name="Standaard 7 3 2 3 3 2 2 2" xfId="48606"/>
    <cellStyle name="Standaard 7 3 2 3 3 2 3" xfId="48607"/>
    <cellStyle name="Standaard 7 3 2 3 3 3" xfId="48608"/>
    <cellStyle name="Standaard 7 3 2 3 3 3 2" xfId="48609"/>
    <cellStyle name="Standaard 7 3 2 3 3 4" xfId="48610"/>
    <cellStyle name="Standaard 7 3 2 3 4" xfId="48611"/>
    <cellStyle name="Standaard 7 3 2 3 4 2" xfId="48612"/>
    <cellStyle name="Standaard 7 3 2 3 4 2 2" xfId="48613"/>
    <cellStyle name="Standaard 7 3 2 3 4 3" xfId="48614"/>
    <cellStyle name="Standaard 7 3 2 3 5" xfId="48615"/>
    <cellStyle name="Standaard 7 3 2 3 5 2" xfId="48616"/>
    <cellStyle name="Standaard 7 3 2 3 6" xfId="48617"/>
    <cellStyle name="Standaard 7 3 2 3 7" xfId="48618"/>
    <cellStyle name="Standaard 7 3 2 4" xfId="48619"/>
    <cellStyle name="Standaard 7 3 2 4 2" xfId="48620"/>
    <cellStyle name="Standaard 7 3 2 4 2 2" xfId="48621"/>
    <cellStyle name="Standaard 7 3 2 4 2 2 2" xfId="48622"/>
    <cellStyle name="Standaard 7 3 2 4 2 2 2 2" xfId="48623"/>
    <cellStyle name="Standaard 7 3 2 4 2 2 3" xfId="48624"/>
    <cellStyle name="Standaard 7 3 2 4 2 3" xfId="48625"/>
    <cellStyle name="Standaard 7 3 2 4 2 3 2" xfId="48626"/>
    <cellStyle name="Standaard 7 3 2 4 2 4" xfId="48627"/>
    <cellStyle name="Standaard 7 3 2 4 3" xfId="48628"/>
    <cellStyle name="Standaard 7 3 2 4 3 2" xfId="48629"/>
    <cellStyle name="Standaard 7 3 2 4 3 2 2" xfId="48630"/>
    <cellStyle name="Standaard 7 3 2 4 3 3" xfId="48631"/>
    <cellStyle name="Standaard 7 3 2 4 4" xfId="48632"/>
    <cellStyle name="Standaard 7 3 2 4 4 2" xfId="48633"/>
    <cellStyle name="Standaard 7 3 2 4 5" xfId="48634"/>
    <cellStyle name="Standaard 7 3 2 4 6" xfId="48635"/>
    <cellStyle name="Standaard 7 3 2 5" xfId="48636"/>
    <cellStyle name="Standaard 7 3 2 5 2" xfId="48637"/>
    <cellStyle name="Standaard 7 3 2 5 2 2" xfId="48638"/>
    <cellStyle name="Standaard 7 3 2 5 2 2 2" xfId="48639"/>
    <cellStyle name="Standaard 7 3 2 5 2 3" xfId="48640"/>
    <cellStyle name="Standaard 7 3 2 5 3" xfId="48641"/>
    <cellStyle name="Standaard 7 3 2 5 3 2" xfId="48642"/>
    <cellStyle name="Standaard 7 3 2 5 4" xfId="48643"/>
    <cellStyle name="Standaard 7 3 2 6" xfId="48644"/>
    <cellStyle name="Standaard 7 3 2 6 2" xfId="48645"/>
    <cellStyle name="Standaard 7 3 2 6 2 2" xfId="48646"/>
    <cellStyle name="Standaard 7 3 2 6 3" xfId="48647"/>
    <cellStyle name="Standaard 7 3 2 7" xfId="48648"/>
    <cellStyle name="Standaard 7 3 2 7 2" xfId="48649"/>
    <cellStyle name="Standaard 7 3 2 8" xfId="48650"/>
    <cellStyle name="Standaard 7 3 2 9" xfId="48651"/>
    <cellStyle name="Standaard 7 3 3" xfId="48652"/>
    <cellStyle name="Standaard 7 3 3 2" xfId="48653"/>
    <cellStyle name="Standaard 7 3 3 2 2" xfId="48654"/>
    <cellStyle name="Standaard 7 3 3 2 2 2" xfId="48655"/>
    <cellStyle name="Standaard 7 3 3 2 2 2 2" xfId="48656"/>
    <cellStyle name="Standaard 7 3 3 2 2 2 2 2" xfId="48657"/>
    <cellStyle name="Standaard 7 3 3 2 2 2 2 2 2" xfId="48658"/>
    <cellStyle name="Standaard 7 3 3 2 2 2 2 3" xfId="48659"/>
    <cellStyle name="Standaard 7 3 3 2 2 2 3" xfId="48660"/>
    <cellStyle name="Standaard 7 3 3 2 2 2 3 2" xfId="48661"/>
    <cellStyle name="Standaard 7 3 3 2 2 2 4" xfId="48662"/>
    <cellStyle name="Standaard 7 3 3 2 2 3" xfId="48663"/>
    <cellStyle name="Standaard 7 3 3 2 2 3 2" xfId="48664"/>
    <cellStyle name="Standaard 7 3 3 2 2 3 2 2" xfId="48665"/>
    <cellStyle name="Standaard 7 3 3 2 2 3 3" xfId="48666"/>
    <cellStyle name="Standaard 7 3 3 2 2 4" xfId="48667"/>
    <cellStyle name="Standaard 7 3 3 2 2 4 2" xfId="48668"/>
    <cellStyle name="Standaard 7 3 3 2 2 5" xfId="48669"/>
    <cellStyle name="Standaard 7 3 3 2 2 6" xfId="48670"/>
    <cellStyle name="Standaard 7 3 3 2 3" xfId="48671"/>
    <cellStyle name="Standaard 7 3 3 2 3 2" xfId="48672"/>
    <cellStyle name="Standaard 7 3 3 2 3 2 2" xfId="48673"/>
    <cellStyle name="Standaard 7 3 3 2 3 2 2 2" xfId="48674"/>
    <cellStyle name="Standaard 7 3 3 2 3 2 3" xfId="48675"/>
    <cellStyle name="Standaard 7 3 3 2 3 3" xfId="48676"/>
    <cellStyle name="Standaard 7 3 3 2 3 3 2" xfId="48677"/>
    <cellStyle name="Standaard 7 3 3 2 3 4" xfId="48678"/>
    <cellStyle name="Standaard 7 3 3 2 4" xfId="48679"/>
    <cellStyle name="Standaard 7 3 3 2 4 2" xfId="48680"/>
    <cellStyle name="Standaard 7 3 3 2 4 2 2" xfId="48681"/>
    <cellStyle name="Standaard 7 3 3 2 4 3" xfId="48682"/>
    <cellStyle name="Standaard 7 3 3 2 5" xfId="48683"/>
    <cellStyle name="Standaard 7 3 3 2 5 2" xfId="48684"/>
    <cellStyle name="Standaard 7 3 3 2 6" xfId="48685"/>
    <cellStyle name="Standaard 7 3 3 2 7" xfId="48686"/>
    <cellStyle name="Standaard 7 3 3 3" xfId="48687"/>
    <cellStyle name="Standaard 7 3 3 3 2" xfId="48688"/>
    <cellStyle name="Standaard 7 3 3 3 2 2" xfId="48689"/>
    <cellStyle name="Standaard 7 3 3 3 2 2 2" xfId="48690"/>
    <cellStyle name="Standaard 7 3 3 3 2 2 2 2" xfId="48691"/>
    <cellStyle name="Standaard 7 3 3 3 2 2 3" xfId="48692"/>
    <cellStyle name="Standaard 7 3 3 3 2 3" xfId="48693"/>
    <cellStyle name="Standaard 7 3 3 3 2 3 2" xfId="48694"/>
    <cellStyle name="Standaard 7 3 3 3 2 4" xfId="48695"/>
    <cellStyle name="Standaard 7 3 3 3 3" xfId="48696"/>
    <cellStyle name="Standaard 7 3 3 3 3 2" xfId="48697"/>
    <cellStyle name="Standaard 7 3 3 3 3 2 2" xfId="48698"/>
    <cellStyle name="Standaard 7 3 3 3 3 3" xfId="48699"/>
    <cellStyle name="Standaard 7 3 3 3 4" xfId="48700"/>
    <cellStyle name="Standaard 7 3 3 3 4 2" xfId="48701"/>
    <cellStyle name="Standaard 7 3 3 3 5" xfId="48702"/>
    <cellStyle name="Standaard 7 3 3 3 6" xfId="48703"/>
    <cellStyle name="Standaard 7 3 3 4" xfId="48704"/>
    <cellStyle name="Standaard 7 3 3 4 2" xfId="48705"/>
    <cellStyle name="Standaard 7 3 3 4 2 2" xfId="48706"/>
    <cellStyle name="Standaard 7 3 3 4 2 2 2" xfId="48707"/>
    <cellStyle name="Standaard 7 3 3 4 2 3" xfId="48708"/>
    <cellStyle name="Standaard 7 3 3 4 3" xfId="48709"/>
    <cellStyle name="Standaard 7 3 3 4 3 2" xfId="48710"/>
    <cellStyle name="Standaard 7 3 3 4 4" xfId="48711"/>
    <cellStyle name="Standaard 7 3 3 5" xfId="48712"/>
    <cellStyle name="Standaard 7 3 3 5 2" xfId="48713"/>
    <cellStyle name="Standaard 7 3 3 5 2 2" xfId="48714"/>
    <cellStyle name="Standaard 7 3 3 5 3" xfId="48715"/>
    <cellStyle name="Standaard 7 3 3 6" xfId="48716"/>
    <cellStyle name="Standaard 7 3 3 6 2" xfId="48717"/>
    <cellStyle name="Standaard 7 3 3 7" xfId="48718"/>
    <cellStyle name="Standaard 7 3 3 8" xfId="48719"/>
    <cellStyle name="Standaard 7 3 4" xfId="48720"/>
    <cellStyle name="Standaard 7 3 4 2" xfId="48721"/>
    <cellStyle name="Standaard 7 3 4 2 2" xfId="48722"/>
    <cellStyle name="Standaard 7 3 4 2 2 2" xfId="48723"/>
    <cellStyle name="Standaard 7 3 4 2 2 2 2" xfId="48724"/>
    <cellStyle name="Standaard 7 3 4 2 2 2 2 2" xfId="48725"/>
    <cellStyle name="Standaard 7 3 4 2 2 2 2 2 2" xfId="48726"/>
    <cellStyle name="Standaard 7 3 4 2 2 2 2 3" xfId="48727"/>
    <cellStyle name="Standaard 7 3 4 2 2 2 3" xfId="48728"/>
    <cellStyle name="Standaard 7 3 4 2 2 2 3 2" xfId="48729"/>
    <cellStyle name="Standaard 7 3 4 2 2 2 4" xfId="48730"/>
    <cellStyle name="Standaard 7 3 4 2 2 3" xfId="48731"/>
    <cellStyle name="Standaard 7 3 4 2 2 3 2" xfId="48732"/>
    <cellStyle name="Standaard 7 3 4 2 2 3 2 2" xfId="48733"/>
    <cellStyle name="Standaard 7 3 4 2 2 3 3" xfId="48734"/>
    <cellStyle name="Standaard 7 3 4 2 2 4" xfId="48735"/>
    <cellStyle name="Standaard 7 3 4 2 2 4 2" xfId="48736"/>
    <cellStyle name="Standaard 7 3 4 2 2 5" xfId="48737"/>
    <cellStyle name="Standaard 7 3 4 2 2 6" xfId="48738"/>
    <cellStyle name="Standaard 7 3 4 2 3" xfId="48739"/>
    <cellStyle name="Standaard 7 3 4 2 3 2" xfId="48740"/>
    <cellStyle name="Standaard 7 3 4 2 3 2 2" xfId="48741"/>
    <cellStyle name="Standaard 7 3 4 2 3 2 2 2" xfId="48742"/>
    <cellStyle name="Standaard 7 3 4 2 3 2 3" xfId="48743"/>
    <cellStyle name="Standaard 7 3 4 2 3 3" xfId="48744"/>
    <cellStyle name="Standaard 7 3 4 2 3 3 2" xfId="48745"/>
    <cellStyle name="Standaard 7 3 4 2 3 4" xfId="48746"/>
    <cellStyle name="Standaard 7 3 4 2 4" xfId="48747"/>
    <cellStyle name="Standaard 7 3 4 2 4 2" xfId="48748"/>
    <cellStyle name="Standaard 7 3 4 2 4 2 2" xfId="48749"/>
    <cellStyle name="Standaard 7 3 4 2 4 3" xfId="48750"/>
    <cellStyle name="Standaard 7 3 4 2 5" xfId="48751"/>
    <cellStyle name="Standaard 7 3 4 2 5 2" xfId="48752"/>
    <cellStyle name="Standaard 7 3 4 2 6" xfId="48753"/>
    <cellStyle name="Standaard 7 3 4 2 7" xfId="48754"/>
    <cellStyle name="Standaard 7 3 4 3" xfId="48755"/>
    <cellStyle name="Standaard 7 3 4 3 2" xfId="48756"/>
    <cellStyle name="Standaard 7 3 4 3 2 2" xfId="48757"/>
    <cellStyle name="Standaard 7 3 4 3 2 2 2" xfId="48758"/>
    <cellStyle name="Standaard 7 3 4 3 2 2 2 2" xfId="48759"/>
    <cellStyle name="Standaard 7 3 4 3 2 2 3" xfId="48760"/>
    <cellStyle name="Standaard 7 3 4 3 2 3" xfId="48761"/>
    <cellStyle name="Standaard 7 3 4 3 2 3 2" xfId="48762"/>
    <cellStyle name="Standaard 7 3 4 3 2 4" xfId="48763"/>
    <cellStyle name="Standaard 7 3 4 3 3" xfId="48764"/>
    <cellStyle name="Standaard 7 3 4 3 3 2" xfId="48765"/>
    <cellStyle name="Standaard 7 3 4 3 3 2 2" xfId="48766"/>
    <cellStyle name="Standaard 7 3 4 3 3 3" xfId="48767"/>
    <cellStyle name="Standaard 7 3 4 3 4" xfId="48768"/>
    <cellStyle name="Standaard 7 3 4 3 4 2" xfId="48769"/>
    <cellStyle name="Standaard 7 3 4 3 5" xfId="48770"/>
    <cellStyle name="Standaard 7 3 4 3 6" xfId="48771"/>
    <cellStyle name="Standaard 7 3 4 4" xfId="48772"/>
    <cellStyle name="Standaard 7 3 4 4 2" xfId="48773"/>
    <cellStyle name="Standaard 7 3 4 4 2 2" xfId="48774"/>
    <cellStyle name="Standaard 7 3 4 4 2 2 2" xfId="48775"/>
    <cellStyle name="Standaard 7 3 4 4 2 3" xfId="48776"/>
    <cellStyle name="Standaard 7 3 4 4 3" xfId="48777"/>
    <cellStyle name="Standaard 7 3 4 4 3 2" xfId="48778"/>
    <cellStyle name="Standaard 7 3 4 4 4" xfId="48779"/>
    <cellStyle name="Standaard 7 3 4 5" xfId="48780"/>
    <cellStyle name="Standaard 7 3 4 5 2" xfId="48781"/>
    <cellStyle name="Standaard 7 3 4 5 2 2" xfId="48782"/>
    <cellStyle name="Standaard 7 3 4 5 3" xfId="48783"/>
    <cellStyle name="Standaard 7 3 4 6" xfId="48784"/>
    <cellStyle name="Standaard 7 3 4 6 2" xfId="48785"/>
    <cellStyle name="Standaard 7 3 4 7" xfId="48786"/>
    <cellStyle name="Standaard 7 3 4 8" xfId="48787"/>
    <cellStyle name="Standaard 7 3 5" xfId="48788"/>
    <cellStyle name="Standaard 7 3 5 2" xfId="48789"/>
    <cellStyle name="Standaard 7 3 5 2 2" xfId="48790"/>
    <cellStyle name="Standaard 7 3 5 2 2 2" xfId="48791"/>
    <cellStyle name="Standaard 7 3 5 2 2 2 2" xfId="48792"/>
    <cellStyle name="Standaard 7 3 5 2 2 2 2 2" xfId="48793"/>
    <cellStyle name="Standaard 7 3 5 2 2 2 3" xfId="48794"/>
    <cellStyle name="Standaard 7 3 5 2 2 3" xfId="48795"/>
    <cellStyle name="Standaard 7 3 5 2 2 3 2" xfId="48796"/>
    <cellStyle name="Standaard 7 3 5 2 2 4" xfId="48797"/>
    <cellStyle name="Standaard 7 3 5 2 3" xfId="48798"/>
    <cellStyle name="Standaard 7 3 5 2 3 2" xfId="48799"/>
    <cellStyle name="Standaard 7 3 5 2 3 2 2" xfId="48800"/>
    <cellStyle name="Standaard 7 3 5 2 3 3" xfId="48801"/>
    <cellStyle name="Standaard 7 3 5 2 4" xfId="48802"/>
    <cellStyle name="Standaard 7 3 5 2 4 2" xfId="48803"/>
    <cellStyle name="Standaard 7 3 5 2 5" xfId="48804"/>
    <cellStyle name="Standaard 7 3 5 2 6" xfId="48805"/>
    <cellStyle name="Standaard 7 3 5 3" xfId="48806"/>
    <cellStyle name="Standaard 7 3 5 3 2" xfId="48807"/>
    <cellStyle name="Standaard 7 3 5 3 2 2" xfId="48808"/>
    <cellStyle name="Standaard 7 3 5 3 2 2 2" xfId="48809"/>
    <cellStyle name="Standaard 7 3 5 3 2 3" xfId="48810"/>
    <cellStyle name="Standaard 7 3 5 3 3" xfId="48811"/>
    <cellStyle name="Standaard 7 3 5 3 3 2" xfId="48812"/>
    <cellStyle name="Standaard 7 3 5 3 4" xfId="48813"/>
    <cellStyle name="Standaard 7 3 5 4" xfId="48814"/>
    <cellStyle name="Standaard 7 3 5 4 2" xfId="48815"/>
    <cellStyle name="Standaard 7 3 5 4 2 2" xfId="48816"/>
    <cellStyle name="Standaard 7 3 5 4 3" xfId="48817"/>
    <cellStyle name="Standaard 7 3 5 5" xfId="48818"/>
    <cellStyle name="Standaard 7 3 5 5 2" xfId="48819"/>
    <cellStyle name="Standaard 7 3 5 6" xfId="48820"/>
    <cellStyle name="Standaard 7 3 5 7" xfId="48821"/>
    <cellStyle name="Standaard 7 3 6" xfId="48822"/>
    <cellStyle name="Standaard 7 3 6 2" xfId="48823"/>
    <cellStyle name="Standaard 7 3 6 2 2" xfId="48824"/>
    <cellStyle name="Standaard 7 3 6 2 2 2" xfId="48825"/>
    <cellStyle name="Standaard 7 3 6 2 2 2 2" xfId="48826"/>
    <cellStyle name="Standaard 7 3 6 2 2 3" xfId="48827"/>
    <cellStyle name="Standaard 7 3 6 2 3" xfId="48828"/>
    <cellStyle name="Standaard 7 3 6 2 3 2" xfId="48829"/>
    <cellStyle name="Standaard 7 3 6 2 4" xfId="48830"/>
    <cellStyle name="Standaard 7 3 6 3" xfId="48831"/>
    <cellStyle name="Standaard 7 3 6 3 2" xfId="48832"/>
    <cellStyle name="Standaard 7 3 6 3 2 2" xfId="48833"/>
    <cellStyle name="Standaard 7 3 6 3 3" xfId="48834"/>
    <cellStyle name="Standaard 7 3 6 4" xfId="48835"/>
    <cellStyle name="Standaard 7 3 6 4 2" xfId="48836"/>
    <cellStyle name="Standaard 7 3 6 5" xfId="48837"/>
    <cellStyle name="Standaard 7 3 6 6" xfId="48838"/>
    <cellStyle name="Standaard 7 3 7" xfId="48839"/>
    <cellStyle name="Standaard 7 3 7 2" xfId="48840"/>
    <cellStyle name="Standaard 7 3 7 2 2" xfId="48841"/>
    <cellStyle name="Standaard 7 3 7 2 2 2" xfId="48842"/>
    <cellStyle name="Standaard 7 3 7 2 3" xfId="48843"/>
    <cellStyle name="Standaard 7 3 7 3" xfId="48844"/>
    <cellStyle name="Standaard 7 3 7 3 2" xfId="48845"/>
    <cellStyle name="Standaard 7 3 7 4" xfId="48846"/>
    <cellStyle name="Standaard 7 3 8" xfId="48847"/>
    <cellStyle name="Standaard 7 3 8 2" xfId="48848"/>
    <cellStyle name="Standaard 7 3 8 2 2" xfId="48849"/>
    <cellStyle name="Standaard 7 3 8 3" xfId="48850"/>
    <cellStyle name="Standaard 7 3 9" xfId="48851"/>
    <cellStyle name="Standaard 7 3 9 2" xfId="48852"/>
    <cellStyle name="Standaard 7 4" xfId="48853"/>
    <cellStyle name="Standaard 7 4 2" xfId="48854"/>
    <cellStyle name="Standaard 7 4 2 2" xfId="48855"/>
    <cellStyle name="Standaard 7 4 2 2 2" xfId="48856"/>
    <cellStyle name="Standaard 7 4 2 2 2 2" xfId="48857"/>
    <cellStyle name="Standaard 7 4 2 2 2 2 2" xfId="48858"/>
    <cellStyle name="Standaard 7 4 2 2 2 2 2 2" xfId="48859"/>
    <cellStyle name="Standaard 7 4 2 2 2 2 2 2 2" xfId="48860"/>
    <cellStyle name="Standaard 7 4 2 2 2 2 2 3" xfId="48861"/>
    <cellStyle name="Standaard 7 4 2 2 2 2 3" xfId="48862"/>
    <cellStyle name="Standaard 7 4 2 2 2 2 3 2" xfId="48863"/>
    <cellStyle name="Standaard 7 4 2 2 2 2 4" xfId="48864"/>
    <cellStyle name="Standaard 7 4 2 2 2 3" xfId="48865"/>
    <cellStyle name="Standaard 7 4 2 2 2 3 2" xfId="48866"/>
    <cellStyle name="Standaard 7 4 2 2 2 3 2 2" xfId="48867"/>
    <cellStyle name="Standaard 7 4 2 2 2 3 3" xfId="48868"/>
    <cellStyle name="Standaard 7 4 2 2 2 4" xfId="48869"/>
    <cellStyle name="Standaard 7 4 2 2 2 4 2" xfId="48870"/>
    <cellStyle name="Standaard 7 4 2 2 2 5" xfId="48871"/>
    <cellStyle name="Standaard 7 4 2 2 2 6" xfId="48872"/>
    <cellStyle name="Standaard 7 4 2 2 3" xfId="48873"/>
    <cellStyle name="Standaard 7 4 2 2 3 2" xfId="48874"/>
    <cellStyle name="Standaard 7 4 2 2 3 2 2" xfId="48875"/>
    <cellStyle name="Standaard 7 4 2 2 3 2 2 2" xfId="48876"/>
    <cellStyle name="Standaard 7 4 2 2 3 2 3" xfId="48877"/>
    <cellStyle name="Standaard 7 4 2 2 3 3" xfId="48878"/>
    <cellStyle name="Standaard 7 4 2 2 3 3 2" xfId="48879"/>
    <cellStyle name="Standaard 7 4 2 2 3 4" xfId="48880"/>
    <cellStyle name="Standaard 7 4 2 2 4" xfId="48881"/>
    <cellStyle name="Standaard 7 4 2 2 4 2" xfId="48882"/>
    <cellStyle name="Standaard 7 4 2 2 4 2 2" xfId="48883"/>
    <cellStyle name="Standaard 7 4 2 2 4 3" xfId="48884"/>
    <cellStyle name="Standaard 7 4 2 2 5" xfId="48885"/>
    <cellStyle name="Standaard 7 4 2 2 5 2" xfId="48886"/>
    <cellStyle name="Standaard 7 4 2 2 6" xfId="48887"/>
    <cellStyle name="Standaard 7 4 2 2 7" xfId="48888"/>
    <cellStyle name="Standaard 7 4 2 3" xfId="48889"/>
    <cellStyle name="Standaard 7 4 2 3 2" xfId="48890"/>
    <cellStyle name="Standaard 7 4 2 3 2 2" xfId="48891"/>
    <cellStyle name="Standaard 7 4 2 3 2 2 2" xfId="48892"/>
    <cellStyle name="Standaard 7 4 2 3 2 2 2 2" xfId="48893"/>
    <cellStyle name="Standaard 7 4 2 3 2 2 3" xfId="48894"/>
    <cellStyle name="Standaard 7 4 2 3 2 3" xfId="48895"/>
    <cellStyle name="Standaard 7 4 2 3 2 3 2" xfId="48896"/>
    <cellStyle name="Standaard 7 4 2 3 2 4" xfId="48897"/>
    <cellStyle name="Standaard 7 4 2 3 3" xfId="48898"/>
    <cellStyle name="Standaard 7 4 2 3 3 2" xfId="48899"/>
    <cellStyle name="Standaard 7 4 2 3 3 2 2" xfId="48900"/>
    <cellStyle name="Standaard 7 4 2 3 3 3" xfId="48901"/>
    <cellStyle name="Standaard 7 4 2 3 4" xfId="48902"/>
    <cellStyle name="Standaard 7 4 2 3 4 2" xfId="48903"/>
    <cellStyle name="Standaard 7 4 2 3 5" xfId="48904"/>
    <cellStyle name="Standaard 7 4 2 3 6" xfId="48905"/>
    <cellStyle name="Standaard 7 4 2 4" xfId="48906"/>
    <cellStyle name="Standaard 7 4 2 4 2" xfId="48907"/>
    <cellStyle name="Standaard 7 4 2 4 2 2" xfId="48908"/>
    <cellStyle name="Standaard 7 4 2 4 2 2 2" xfId="48909"/>
    <cellStyle name="Standaard 7 4 2 4 2 3" xfId="48910"/>
    <cellStyle name="Standaard 7 4 2 4 3" xfId="48911"/>
    <cellStyle name="Standaard 7 4 2 4 3 2" xfId="48912"/>
    <cellStyle name="Standaard 7 4 2 4 4" xfId="48913"/>
    <cellStyle name="Standaard 7 4 2 5" xfId="48914"/>
    <cellStyle name="Standaard 7 4 2 5 2" xfId="48915"/>
    <cellStyle name="Standaard 7 4 2 5 2 2" xfId="48916"/>
    <cellStyle name="Standaard 7 4 2 5 3" xfId="48917"/>
    <cellStyle name="Standaard 7 4 2 6" xfId="48918"/>
    <cellStyle name="Standaard 7 4 2 6 2" xfId="48919"/>
    <cellStyle name="Standaard 7 4 2 7" xfId="48920"/>
    <cellStyle name="Standaard 7 4 2 8" xfId="48921"/>
    <cellStyle name="Standaard 7 4 3" xfId="48922"/>
    <cellStyle name="Standaard 7 4 3 2" xfId="48923"/>
    <cellStyle name="Standaard 7 4 3 2 2" xfId="48924"/>
    <cellStyle name="Standaard 7 4 3 2 2 2" xfId="48925"/>
    <cellStyle name="Standaard 7 4 3 2 2 2 2" xfId="48926"/>
    <cellStyle name="Standaard 7 4 3 2 2 2 2 2" xfId="48927"/>
    <cellStyle name="Standaard 7 4 3 2 2 2 3" xfId="48928"/>
    <cellStyle name="Standaard 7 4 3 2 2 3" xfId="48929"/>
    <cellStyle name="Standaard 7 4 3 2 2 3 2" xfId="48930"/>
    <cellStyle name="Standaard 7 4 3 2 2 4" xfId="48931"/>
    <cellStyle name="Standaard 7 4 3 2 3" xfId="48932"/>
    <cellStyle name="Standaard 7 4 3 2 3 2" xfId="48933"/>
    <cellStyle name="Standaard 7 4 3 2 3 2 2" xfId="48934"/>
    <cellStyle name="Standaard 7 4 3 2 3 3" xfId="48935"/>
    <cellStyle name="Standaard 7 4 3 2 4" xfId="48936"/>
    <cellStyle name="Standaard 7 4 3 2 4 2" xfId="48937"/>
    <cellStyle name="Standaard 7 4 3 2 5" xfId="48938"/>
    <cellStyle name="Standaard 7 4 3 2 6" xfId="48939"/>
    <cellStyle name="Standaard 7 4 3 3" xfId="48940"/>
    <cellStyle name="Standaard 7 4 3 3 2" xfId="48941"/>
    <cellStyle name="Standaard 7 4 3 3 2 2" xfId="48942"/>
    <cellStyle name="Standaard 7 4 3 3 2 2 2" xfId="48943"/>
    <cellStyle name="Standaard 7 4 3 3 2 3" xfId="48944"/>
    <cellStyle name="Standaard 7 4 3 3 3" xfId="48945"/>
    <cellStyle name="Standaard 7 4 3 3 3 2" xfId="48946"/>
    <cellStyle name="Standaard 7 4 3 3 4" xfId="48947"/>
    <cellStyle name="Standaard 7 4 3 4" xfId="48948"/>
    <cellStyle name="Standaard 7 4 3 4 2" xfId="48949"/>
    <cellStyle name="Standaard 7 4 3 4 2 2" xfId="48950"/>
    <cellStyle name="Standaard 7 4 3 4 3" xfId="48951"/>
    <cellStyle name="Standaard 7 4 3 5" xfId="48952"/>
    <cellStyle name="Standaard 7 4 3 5 2" xfId="48953"/>
    <cellStyle name="Standaard 7 4 3 6" xfId="48954"/>
    <cellStyle name="Standaard 7 4 3 7" xfId="48955"/>
    <cellStyle name="Standaard 7 4 4" xfId="48956"/>
    <cellStyle name="Standaard 7 4 4 2" xfId="48957"/>
    <cellStyle name="Standaard 7 4 4 2 2" xfId="48958"/>
    <cellStyle name="Standaard 7 4 4 2 2 2" xfId="48959"/>
    <cellStyle name="Standaard 7 4 4 2 2 2 2" xfId="48960"/>
    <cellStyle name="Standaard 7 4 4 2 2 3" xfId="48961"/>
    <cellStyle name="Standaard 7 4 4 2 3" xfId="48962"/>
    <cellStyle name="Standaard 7 4 4 2 3 2" xfId="48963"/>
    <cellStyle name="Standaard 7 4 4 2 4" xfId="48964"/>
    <cellStyle name="Standaard 7 4 4 3" xfId="48965"/>
    <cellStyle name="Standaard 7 4 4 3 2" xfId="48966"/>
    <cellStyle name="Standaard 7 4 4 3 2 2" xfId="48967"/>
    <cellStyle name="Standaard 7 4 4 3 3" xfId="48968"/>
    <cellStyle name="Standaard 7 4 4 4" xfId="48969"/>
    <cellStyle name="Standaard 7 4 4 4 2" xfId="48970"/>
    <cellStyle name="Standaard 7 4 4 5" xfId="48971"/>
    <cellStyle name="Standaard 7 4 4 6" xfId="48972"/>
    <cellStyle name="Standaard 7 4 5" xfId="48973"/>
    <cellStyle name="Standaard 7 4 5 2" xfId="48974"/>
    <cellStyle name="Standaard 7 4 5 2 2" xfId="48975"/>
    <cellStyle name="Standaard 7 4 5 2 2 2" xfId="48976"/>
    <cellStyle name="Standaard 7 4 5 2 3" xfId="48977"/>
    <cellStyle name="Standaard 7 4 5 3" xfId="48978"/>
    <cellStyle name="Standaard 7 4 5 3 2" xfId="48979"/>
    <cellStyle name="Standaard 7 4 5 4" xfId="48980"/>
    <cellStyle name="Standaard 7 4 6" xfId="48981"/>
    <cellStyle name="Standaard 7 4 6 2" xfId="48982"/>
    <cellStyle name="Standaard 7 4 6 2 2" xfId="48983"/>
    <cellStyle name="Standaard 7 4 6 3" xfId="48984"/>
    <cellStyle name="Standaard 7 4 7" xfId="48985"/>
    <cellStyle name="Standaard 7 4 7 2" xfId="48986"/>
    <cellStyle name="Standaard 7 4 8" xfId="48987"/>
    <cellStyle name="Standaard 7 4 9" xfId="48988"/>
    <cellStyle name="Standaard 7 5" xfId="48989"/>
    <cellStyle name="Standaard 7 5 2" xfId="48990"/>
    <cellStyle name="Standaard 7 5 2 2" xfId="48991"/>
    <cellStyle name="Standaard 7 5 2 2 2" xfId="48992"/>
    <cellStyle name="Standaard 7 5 2 2 2 2" xfId="48993"/>
    <cellStyle name="Standaard 7 5 2 2 2 2 2" xfId="48994"/>
    <cellStyle name="Standaard 7 5 2 2 2 2 2 2" xfId="48995"/>
    <cellStyle name="Standaard 7 5 2 2 2 2 3" xfId="48996"/>
    <cellStyle name="Standaard 7 5 2 2 2 3" xfId="48997"/>
    <cellStyle name="Standaard 7 5 2 2 2 3 2" xfId="48998"/>
    <cellStyle name="Standaard 7 5 2 2 2 4" xfId="48999"/>
    <cellStyle name="Standaard 7 5 2 2 3" xfId="49000"/>
    <cellStyle name="Standaard 7 5 2 2 3 2" xfId="49001"/>
    <cellStyle name="Standaard 7 5 2 2 3 2 2" xfId="49002"/>
    <cellStyle name="Standaard 7 5 2 2 3 3" xfId="49003"/>
    <cellStyle name="Standaard 7 5 2 2 4" xfId="49004"/>
    <cellStyle name="Standaard 7 5 2 2 4 2" xfId="49005"/>
    <cellStyle name="Standaard 7 5 2 2 5" xfId="49006"/>
    <cellStyle name="Standaard 7 5 2 2 6" xfId="49007"/>
    <cellStyle name="Standaard 7 5 2 3" xfId="49008"/>
    <cellStyle name="Standaard 7 5 2 3 2" xfId="49009"/>
    <cellStyle name="Standaard 7 5 2 3 2 2" xfId="49010"/>
    <cellStyle name="Standaard 7 5 2 3 2 2 2" xfId="49011"/>
    <cellStyle name="Standaard 7 5 2 3 2 3" xfId="49012"/>
    <cellStyle name="Standaard 7 5 2 3 3" xfId="49013"/>
    <cellStyle name="Standaard 7 5 2 3 3 2" xfId="49014"/>
    <cellStyle name="Standaard 7 5 2 3 4" xfId="49015"/>
    <cellStyle name="Standaard 7 5 2 4" xfId="49016"/>
    <cellStyle name="Standaard 7 5 2 4 2" xfId="49017"/>
    <cellStyle name="Standaard 7 5 2 4 2 2" xfId="49018"/>
    <cellStyle name="Standaard 7 5 2 4 3" xfId="49019"/>
    <cellStyle name="Standaard 7 5 2 5" xfId="49020"/>
    <cellStyle name="Standaard 7 5 2 5 2" xfId="49021"/>
    <cellStyle name="Standaard 7 5 2 6" xfId="49022"/>
    <cellStyle name="Standaard 7 5 2 7" xfId="49023"/>
    <cellStyle name="Standaard 7 5 3" xfId="49024"/>
    <cellStyle name="Standaard 7 5 3 2" xfId="49025"/>
    <cellStyle name="Standaard 7 5 3 2 2" xfId="49026"/>
    <cellStyle name="Standaard 7 5 3 2 2 2" xfId="49027"/>
    <cellStyle name="Standaard 7 5 3 2 2 2 2" xfId="49028"/>
    <cellStyle name="Standaard 7 5 3 2 2 3" xfId="49029"/>
    <cellStyle name="Standaard 7 5 3 2 3" xfId="49030"/>
    <cellStyle name="Standaard 7 5 3 2 3 2" xfId="49031"/>
    <cellStyle name="Standaard 7 5 3 2 4" xfId="49032"/>
    <cellStyle name="Standaard 7 5 3 3" xfId="49033"/>
    <cellStyle name="Standaard 7 5 3 3 2" xfId="49034"/>
    <cellStyle name="Standaard 7 5 3 3 2 2" xfId="49035"/>
    <cellStyle name="Standaard 7 5 3 3 3" xfId="49036"/>
    <cellStyle name="Standaard 7 5 3 4" xfId="49037"/>
    <cellStyle name="Standaard 7 5 3 4 2" xfId="49038"/>
    <cellStyle name="Standaard 7 5 3 5" xfId="49039"/>
    <cellStyle name="Standaard 7 5 3 6" xfId="49040"/>
    <cellStyle name="Standaard 7 5 4" xfId="49041"/>
    <cellStyle name="Standaard 7 5 4 2" xfId="49042"/>
    <cellStyle name="Standaard 7 5 4 2 2" xfId="49043"/>
    <cellStyle name="Standaard 7 5 4 2 2 2" xfId="49044"/>
    <cellStyle name="Standaard 7 5 4 2 3" xfId="49045"/>
    <cellStyle name="Standaard 7 5 4 3" xfId="49046"/>
    <cellStyle name="Standaard 7 5 4 3 2" xfId="49047"/>
    <cellStyle name="Standaard 7 5 4 4" xfId="49048"/>
    <cellStyle name="Standaard 7 5 5" xfId="49049"/>
    <cellStyle name="Standaard 7 5 5 2" xfId="49050"/>
    <cellStyle name="Standaard 7 5 5 2 2" xfId="49051"/>
    <cellStyle name="Standaard 7 5 5 3" xfId="49052"/>
    <cellStyle name="Standaard 7 5 6" xfId="49053"/>
    <cellStyle name="Standaard 7 5 6 2" xfId="49054"/>
    <cellStyle name="Standaard 7 5 7" xfId="49055"/>
    <cellStyle name="Standaard 7 5 8" xfId="49056"/>
    <cellStyle name="Standaard 7 6" xfId="49057"/>
    <cellStyle name="Standaard 7 6 2" xfId="49058"/>
    <cellStyle name="Standaard 7 6 2 2" xfId="49059"/>
    <cellStyle name="Standaard 7 6 2 2 2" xfId="49060"/>
    <cellStyle name="Standaard 7 6 2 2 2 2" xfId="49061"/>
    <cellStyle name="Standaard 7 6 2 2 2 2 2" xfId="49062"/>
    <cellStyle name="Standaard 7 6 2 2 2 2 2 2" xfId="49063"/>
    <cellStyle name="Standaard 7 6 2 2 2 2 3" xfId="49064"/>
    <cellStyle name="Standaard 7 6 2 2 2 3" xfId="49065"/>
    <cellStyle name="Standaard 7 6 2 2 2 3 2" xfId="49066"/>
    <cellStyle name="Standaard 7 6 2 2 2 4" xfId="49067"/>
    <cellStyle name="Standaard 7 6 2 2 3" xfId="49068"/>
    <cellStyle name="Standaard 7 6 2 2 3 2" xfId="49069"/>
    <cellStyle name="Standaard 7 6 2 2 3 2 2" xfId="49070"/>
    <cellStyle name="Standaard 7 6 2 2 3 3" xfId="49071"/>
    <cellStyle name="Standaard 7 6 2 2 4" xfId="49072"/>
    <cellStyle name="Standaard 7 6 2 2 4 2" xfId="49073"/>
    <cellStyle name="Standaard 7 6 2 2 5" xfId="49074"/>
    <cellStyle name="Standaard 7 6 2 2 6" xfId="49075"/>
    <cellStyle name="Standaard 7 6 2 3" xfId="49076"/>
    <cellStyle name="Standaard 7 6 2 3 2" xfId="49077"/>
    <cellStyle name="Standaard 7 6 2 3 2 2" xfId="49078"/>
    <cellStyle name="Standaard 7 6 2 3 2 2 2" xfId="49079"/>
    <cellStyle name="Standaard 7 6 2 3 2 3" xfId="49080"/>
    <cellStyle name="Standaard 7 6 2 3 3" xfId="49081"/>
    <cellStyle name="Standaard 7 6 2 3 3 2" xfId="49082"/>
    <cellStyle name="Standaard 7 6 2 3 4" xfId="49083"/>
    <cellStyle name="Standaard 7 6 2 4" xfId="49084"/>
    <cellStyle name="Standaard 7 6 2 4 2" xfId="49085"/>
    <cellStyle name="Standaard 7 6 2 4 2 2" xfId="49086"/>
    <cellStyle name="Standaard 7 6 2 4 3" xfId="49087"/>
    <cellStyle name="Standaard 7 6 2 5" xfId="49088"/>
    <cellStyle name="Standaard 7 6 2 5 2" xfId="49089"/>
    <cellStyle name="Standaard 7 6 2 6" xfId="49090"/>
    <cellStyle name="Standaard 7 6 2 7" xfId="49091"/>
    <cellStyle name="Standaard 7 6 3" xfId="49092"/>
    <cellStyle name="Standaard 7 6 3 2" xfId="49093"/>
    <cellStyle name="Standaard 7 6 3 2 2" xfId="49094"/>
    <cellStyle name="Standaard 7 6 3 2 2 2" xfId="49095"/>
    <cellStyle name="Standaard 7 6 3 2 2 2 2" xfId="49096"/>
    <cellStyle name="Standaard 7 6 3 2 2 3" xfId="49097"/>
    <cellStyle name="Standaard 7 6 3 2 3" xfId="49098"/>
    <cellStyle name="Standaard 7 6 3 2 3 2" xfId="49099"/>
    <cellStyle name="Standaard 7 6 3 2 4" xfId="49100"/>
    <cellStyle name="Standaard 7 6 3 3" xfId="49101"/>
    <cellStyle name="Standaard 7 6 3 3 2" xfId="49102"/>
    <cellStyle name="Standaard 7 6 3 3 2 2" xfId="49103"/>
    <cellStyle name="Standaard 7 6 3 3 3" xfId="49104"/>
    <cellStyle name="Standaard 7 6 3 4" xfId="49105"/>
    <cellStyle name="Standaard 7 6 3 4 2" xfId="49106"/>
    <cellStyle name="Standaard 7 6 3 5" xfId="49107"/>
    <cellStyle name="Standaard 7 6 3 6" xfId="49108"/>
    <cellStyle name="Standaard 7 6 4" xfId="49109"/>
    <cellStyle name="Standaard 7 6 4 2" xfId="49110"/>
    <cellStyle name="Standaard 7 6 4 2 2" xfId="49111"/>
    <cellStyle name="Standaard 7 6 4 2 2 2" xfId="49112"/>
    <cellStyle name="Standaard 7 6 4 2 3" xfId="49113"/>
    <cellStyle name="Standaard 7 6 4 3" xfId="49114"/>
    <cellStyle name="Standaard 7 6 4 3 2" xfId="49115"/>
    <cellStyle name="Standaard 7 6 4 4" xfId="49116"/>
    <cellStyle name="Standaard 7 6 5" xfId="49117"/>
    <cellStyle name="Standaard 7 6 5 2" xfId="49118"/>
    <cellStyle name="Standaard 7 6 5 2 2" xfId="49119"/>
    <cellStyle name="Standaard 7 6 5 3" xfId="49120"/>
    <cellStyle name="Standaard 7 6 6" xfId="49121"/>
    <cellStyle name="Standaard 7 6 6 2" xfId="49122"/>
    <cellStyle name="Standaard 7 6 7" xfId="49123"/>
    <cellStyle name="Standaard 7 6 8" xfId="49124"/>
    <cellStyle name="Standaard 7 7" xfId="49125"/>
    <cellStyle name="Standaard 7 7 2" xfId="49126"/>
    <cellStyle name="Standaard 7 7 2 2" xfId="49127"/>
    <cellStyle name="Standaard 7 7 2 2 2" xfId="49128"/>
    <cellStyle name="Standaard 7 7 2 2 2 2" xfId="49129"/>
    <cellStyle name="Standaard 7 7 2 2 2 2 2" xfId="49130"/>
    <cellStyle name="Standaard 7 7 2 2 2 3" xfId="49131"/>
    <cellStyle name="Standaard 7 7 2 2 3" xfId="49132"/>
    <cellStyle name="Standaard 7 7 2 2 3 2" xfId="49133"/>
    <cellStyle name="Standaard 7 7 2 2 4" xfId="49134"/>
    <cellStyle name="Standaard 7 7 2 3" xfId="49135"/>
    <cellStyle name="Standaard 7 7 2 3 2" xfId="49136"/>
    <cellStyle name="Standaard 7 7 2 3 2 2" xfId="49137"/>
    <cellStyle name="Standaard 7 7 2 3 3" xfId="49138"/>
    <cellStyle name="Standaard 7 7 2 4" xfId="49139"/>
    <cellStyle name="Standaard 7 7 2 4 2" xfId="49140"/>
    <cellStyle name="Standaard 7 7 2 5" xfId="49141"/>
    <cellStyle name="Standaard 7 7 2 6" xfId="49142"/>
    <cellStyle name="Standaard 7 7 3" xfId="49143"/>
    <cellStyle name="Standaard 7 7 3 2" xfId="49144"/>
    <cellStyle name="Standaard 7 7 3 2 2" xfId="49145"/>
    <cellStyle name="Standaard 7 7 3 2 2 2" xfId="49146"/>
    <cellStyle name="Standaard 7 7 3 2 3" xfId="49147"/>
    <cellStyle name="Standaard 7 7 3 3" xfId="49148"/>
    <cellStyle name="Standaard 7 7 3 3 2" xfId="49149"/>
    <cellStyle name="Standaard 7 7 3 4" xfId="49150"/>
    <cellStyle name="Standaard 7 7 4" xfId="49151"/>
    <cellStyle name="Standaard 7 7 4 2" xfId="49152"/>
    <cellStyle name="Standaard 7 7 4 2 2" xfId="49153"/>
    <cellStyle name="Standaard 7 7 4 3" xfId="49154"/>
    <cellStyle name="Standaard 7 7 5" xfId="49155"/>
    <cellStyle name="Standaard 7 7 5 2" xfId="49156"/>
    <cellStyle name="Standaard 7 7 6" xfId="49157"/>
    <cellStyle name="Standaard 7 7 7" xfId="49158"/>
    <cellStyle name="Standaard 7 8" xfId="49159"/>
    <cellStyle name="Standaard 7 8 2" xfId="49160"/>
    <cellStyle name="Standaard 7 8 2 2" xfId="49161"/>
    <cellStyle name="Standaard 7 8 2 2 2" xfId="49162"/>
    <cellStyle name="Standaard 7 8 2 2 2 2" xfId="49163"/>
    <cellStyle name="Standaard 7 8 2 2 3" xfId="49164"/>
    <cellStyle name="Standaard 7 8 2 3" xfId="49165"/>
    <cellStyle name="Standaard 7 8 2 3 2" xfId="49166"/>
    <cellStyle name="Standaard 7 8 2 4" xfId="49167"/>
    <cellStyle name="Standaard 7 8 3" xfId="49168"/>
    <cellStyle name="Standaard 7 8 3 2" xfId="49169"/>
    <cellStyle name="Standaard 7 8 3 2 2" xfId="49170"/>
    <cellStyle name="Standaard 7 8 3 3" xfId="49171"/>
    <cellStyle name="Standaard 7 8 4" xfId="49172"/>
    <cellStyle name="Standaard 7 8 4 2" xfId="49173"/>
    <cellStyle name="Standaard 7 8 5" xfId="49174"/>
    <cellStyle name="Standaard 7 8 6" xfId="49175"/>
    <cellStyle name="Standaard 7 9" xfId="49176"/>
    <cellStyle name="Standaard 7 9 2" xfId="49177"/>
    <cellStyle name="Standaard 7 9 2 2" xfId="49178"/>
    <cellStyle name="Standaard 7 9 2 2 2" xfId="49179"/>
    <cellStyle name="Standaard 7 9 2 3" xfId="49180"/>
    <cellStyle name="Standaard 7 9 3" xfId="49181"/>
    <cellStyle name="Standaard 7 9 3 2" xfId="49182"/>
    <cellStyle name="Standaard 7 9 4" xfId="49183"/>
    <cellStyle name="Standaard 8" xfId="49184"/>
    <cellStyle name="Standaard 8 10" xfId="49185"/>
    <cellStyle name="Standaard 8 10 2" xfId="49186"/>
    <cellStyle name="Standaard 8 10 2 2" xfId="49187"/>
    <cellStyle name="Standaard 8 10 2 2 2" xfId="49188"/>
    <cellStyle name="Standaard 8 10 2 3" xfId="49189"/>
    <cellStyle name="Standaard 8 10 3" xfId="49190"/>
    <cellStyle name="Standaard 8 10 3 2" xfId="49191"/>
    <cellStyle name="Standaard 8 10 4" xfId="49192"/>
    <cellStyle name="Standaard 8 11" xfId="49193"/>
    <cellStyle name="Standaard 8 11 2" xfId="49194"/>
    <cellStyle name="Standaard 8 11 2 2" xfId="49195"/>
    <cellStyle name="Standaard 8 11 3" xfId="49196"/>
    <cellStyle name="Standaard 8 12" xfId="49197"/>
    <cellStyle name="Standaard 8 12 2" xfId="49198"/>
    <cellStyle name="Standaard 8 13" xfId="49199"/>
    <cellStyle name="Standaard 8 14" xfId="49200"/>
    <cellStyle name="Standaard 8 2" xfId="49201"/>
    <cellStyle name="Standaard 8 2 2" xfId="49202"/>
    <cellStyle name="Standaard 8 3" xfId="49203"/>
    <cellStyle name="Standaard 8 3 10" xfId="49204"/>
    <cellStyle name="Standaard 8 3 10 2" xfId="49205"/>
    <cellStyle name="Standaard 8 3 11" xfId="49206"/>
    <cellStyle name="Standaard 8 3 12" xfId="49207"/>
    <cellStyle name="Standaard 8 3 2" xfId="49208"/>
    <cellStyle name="Standaard 8 3 2 10" xfId="49209"/>
    <cellStyle name="Standaard 8 3 2 11" xfId="49210"/>
    <cellStyle name="Standaard 8 3 2 2" xfId="49211"/>
    <cellStyle name="Standaard 8 3 2 2 2" xfId="49212"/>
    <cellStyle name="Standaard 8 3 2 2 2 2" xfId="49213"/>
    <cellStyle name="Standaard 8 3 2 2 2 2 2" xfId="49214"/>
    <cellStyle name="Standaard 8 3 2 2 2 2 2 2" xfId="49215"/>
    <cellStyle name="Standaard 8 3 2 2 2 2 2 2 2" xfId="49216"/>
    <cellStyle name="Standaard 8 3 2 2 2 2 2 2 2 2" xfId="49217"/>
    <cellStyle name="Standaard 8 3 2 2 2 2 2 2 2 2 2" xfId="49218"/>
    <cellStyle name="Standaard 8 3 2 2 2 2 2 2 2 3" xfId="49219"/>
    <cellStyle name="Standaard 8 3 2 2 2 2 2 2 3" xfId="49220"/>
    <cellStyle name="Standaard 8 3 2 2 2 2 2 2 3 2" xfId="49221"/>
    <cellStyle name="Standaard 8 3 2 2 2 2 2 2 4" xfId="49222"/>
    <cellStyle name="Standaard 8 3 2 2 2 2 2 3" xfId="49223"/>
    <cellStyle name="Standaard 8 3 2 2 2 2 2 3 2" xfId="49224"/>
    <cellStyle name="Standaard 8 3 2 2 2 2 2 3 2 2" xfId="49225"/>
    <cellStyle name="Standaard 8 3 2 2 2 2 2 3 3" xfId="49226"/>
    <cellStyle name="Standaard 8 3 2 2 2 2 2 4" xfId="49227"/>
    <cellStyle name="Standaard 8 3 2 2 2 2 2 4 2" xfId="49228"/>
    <cellStyle name="Standaard 8 3 2 2 2 2 2 5" xfId="49229"/>
    <cellStyle name="Standaard 8 3 2 2 2 2 2 6" xfId="49230"/>
    <cellStyle name="Standaard 8 3 2 2 2 2 3" xfId="49231"/>
    <cellStyle name="Standaard 8 3 2 2 2 2 3 2" xfId="49232"/>
    <cellStyle name="Standaard 8 3 2 2 2 2 3 2 2" xfId="49233"/>
    <cellStyle name="Standaard 8 3 2 2 2 2 3 2 2 2" xfId="49234"/>
    <cellStyle name="Standaard 8 3 2 2 2 2 3 2 3" xfId="49235"/>
    <cellStyle name="Standaard 8 3 2 2 2 2 3 3" xfId="49236"/>
    <cellStyle name="Standaard 8 3 2 2 2 2 3 3 2" xfId="49237"/>
    <cellStyle name="Standaard 8 3 2 2 2 2 3 4" xfId="49238"/>
    <cellStyle name="Standaard 8 3 2 2 2 2 4" xfId="49239"/>
    <cellStyle name="Standaard 8 3 2 2 2 2 4 2" xfId="49240"/>
    <cellStyle name="Standaard 8 3 2 2 2 2 4 2 2" xfId="49241"/>
    <cellStyle name="Standaard 8 3 2 2 2 2 4 3" xfId="49242"/>
    <cellStyle name="Standaard 8 3 2 2 2 2 5" xfId="49243"/>
    <cellStyle name="Standaard 8 3 2 2 2 2 5 2" xfId="49244"/>
    <cellStyle name="Standaard 8 3 2 2 2 2 6" xfId="49245"/>
    <cellStyle name="Standaard 8 3 2 2 2 2 7" xfId="49246"/>
    <cellStyle name="Standaard 8 3 2 2 2 3" xfId="49247"/>
    <cellStyle name="Standaard 8 3 2 2 2 3 2" xfId="49248"/>
    <cellStyle name="Standaard 8 3 2 2 2 3 2 2" xfId="49249"/>
    <cellStyle name="Standaard 8 3 2 2 2 3 2 2 2" xfId="49250"/>
    <cellStyle name="Standaard 8 3 2 2 2 3 2 2 2 2" xfId="49251"/>
    <cellStyle name="Standaard 8 3 2 2 2 3 2 2 3" xfId="49252"/>
    <cellStyle name="Standaard 8 3 2 2 2 3 2 3" xfId="49253"/>
    <cellStyle name="Standaard 8 3 2 2 2 3 2 3 2" xfId="49254"/>
    <cellStyle name="Standaard 8 3 2 2 2 3 2 4" xfId="49255"/>
    <cellStyle name="Standaard 8 3 2 2 2 3 3" xfId="49256"/>
    <cellStyle name="Standaard 8 3 2 2 2 3 3 2" xfId="49257"/>
    <cellStyle name="Standaard 8 3 2 2 2 3 3 2 2" xfId="49258"/>
    <cellStyle name="Standaard 8 3 2 2 2 3 3 3" xfId="49259"/>
    <cellStyle name="Standaard 8 3 2 2 2 3 4" xfId="49260"/>
    <cellStyle name="Standaard 8 3 2 2 2 3 4 2" xfId="49261"/>
    <cellStyle name="Standaard 8 3 2 2 2 3 5" xfId="49262"/>
    <cellStyle name="Standaard 8 3 2 2 2 3 6" xfId="49263"/>
    <cellStyle name="Standaard 8 3 2 2 2 4" xfId="49264"/>
    <cellStyle name="Standaard 8 3 2 2 2 4 2" xfId="49265"/>
    <cellStyle name="Standaard 8 3 2 2 2 4 2 2" xfId="49266"/>
    <cellStyle name="Standaard 8 3 2 2 2 4 2 2 2" xfId="49267"/>
    <cellStyle name="Standaard 8 3 2 2 2 4 2 3" xfId="49268"/>
    <cellStyle name="Standaard 8 3 2 2 2 4 3" xfId="49269"/>
    <cellStyle name="Standaard 8 3 2 2 2 4 3 2" xfId="49270"/>
    <cellStyle name="Standaard 8 3 2 2 2 4 4" xfId="49271"/>
    <cellStyle name="Standaard 8 3 2 2 2 5" xfId="49272"/>
    <cellStyle name="Standaard 8 3 2 2 2 5 2" xfId="49273"/>
    <cellStyle name="Standaard 8 3 2 2 2 5 2 2" xfId="49274"/>
    <cellStyle name="Standaard 8 3 2 2 2 5 3" xfId="49275"/>
    <cellStyle name="Standaard 8 3 2 2 2 6" xfId="49276"/>
    <cellStyle name="Standaard 8 3 2 2 2 6 2" xfId="49277"/>
    <cellStyle name="Standaard 8 3 2 2 2 7" xfId="49278"/>
    <cellStyle name="Standaard 8 3 2 2 2 8" xfId="49279"/>
    <cellStyle name="Standaard 8 3 2 2 3" xfId="49280"/>
    <cellStyle name="Standaard 8 3 2 2 3 2" xfId="49281"/>
    <cellStyle name="Standaard 8 3 2 2 3 2 2" xfId="49282"/>
    <cellStyle name="Standaard 8 3 2 2 3 2 2 2" xfId="49283"/>
    <cellStyle name="Standaard 8 3 2 2 3 2 2 2 2" xfId="49284"/>
    <cellStyle name="Standaard 8 3 2 2 3 2 2 2 2 2" xfId="49285"/>
    <cellStyle name="Standaard 8 3 2 2 3 2 2 2 3" xfId="49286"/>
    <cellStyle name="Standaard 8 3 2 2 3 2 2 3" xfId="49287"/>
    <cellStyle name="Standaard 8 3 2 2 3 2 2 3 2" xfId="49288"/>
    <cellStyle name="Standaard 8 3 2 2 3 2 2 4" xfId="49289"/>
    <cellStyle name="Standaard 8 3 2 2 3 2 3" xfId="49290"/>
    <cellStyle name="Standaard 8 3 2 2 3 2 3 2" xfId="49291"/>
    <cellStyle name="Standaard 8 3 2 2 3 2 3 2 2" xfId="49292"/>
    <cellStyle name="Standaard 8 3 2 2 3 2 3 3" xfId="49293"/>
    <cellStyle name="Standaard 8 3 2 2 3 2 4" xfId="49294"/>
    <cellStyle name="Standaard 8 3 2 2 3 2 4 2" xfId="49295"/>
    <cellStyle name="Standaard 8 3 2 2 3 2 5" xfId="49296"/>
    <cellStyle name="Standaard 8 3 2 2 3 2 6" xfId="49297"/>
    <cellStyle name="Standaard 8 3 2 2 3 3" xfId="49298"/>
    <cellStyle name="Standaard 8 3 2 2 3 3 2" xfId="49299"/>
    <cellStyle name="Standaard 8 3 2 2 3 3 2 2" xfId="49300"/>
    <cellStyle name="Standaard 8 3 2 2 3 3 2 2 2" xfId="49301"/>
    <cellStyle name="Standaard 8 3 2 2 3 3 2 3" xfId="49302"/>
    <cellStyle name="Standaard 8 3 2 2 3 3 3" xfId="49303"/>
    <cellStyle name="Standaard 8 3 2 2 3 3 3 2" xfId="49304"/>
    <cellStyle name="Standaard 8 3 2 2 3 3 4" xfId="49305"/>
    <cellStyle name="Standaard 8 3 2 2 3 4" xfId="49306"/>
    <cellStyle name="Standaard 8 3 2 2 3 4 2" xfId="49307"/>
    <cellStyle name="Standaard 8 3 2 2 3 4 2 2" xfId="49308"/>
    <cellStyle name="Standaard 8 3 2 2 3 4 3" xfId="49309"/>
    <cellStyle name="Standaard 8 3 2 2 3 5" xfId="49310"/>
    <cellStyle name="Standaard 8 3 2 2 3 5 2" xfId="49311"/>
    <cellStyle name="Standaard 8 3 2 2 3 6" xfId="49312"/>
    <cellStyle name="Standaard 8 3 2 2 3 7" xfId="49313"/>
    <cellStyle name="Standaard 8 3 2 2 4" xfId="49314"/>
    <cellStyle name="Standaard 8 3 2 2 4 2" xfId="49315"/>
    <cellStyle name="Standaard 8 3 2 2 4 2 2" xfId="49316"/>
    <cellStyle name="Standaard 8 3 2 2 4 2 2 2" xfId="49317"/>
    <cellStyle name="Standaard 8 3 2 2 4 2 2 2 2" xfId="49318"/>
    <cellStyle name="Standaard 8 3 2 2 4 2 2 3" xfId="49319"/>
    <cellStyle name="Standaard 8 3 2 2 4 2 3" xfId="49320"/>
    <cellStyle name="Standaard 8 3 2 2 4 2 3 2" xfId="49321"/>
    <cellStyle name="Standaard 8 3 2 2 4 2 4" xfId="49322"/>
    <cellStyle name="Standaard 8 3 2 2 4 3" xfId="49323"/>
    <cellStyle name="Standaard 8 3 2 2 4 3 2" xfId="49324"/>
    <cellStyle name="Standaard 8 3 2 2 4 3 2 2" xfId="49325"/>
    <cellStyle name="Standaard 8 3 2 2 4 3 3" xfId="49326"/>
    <cellStyle name="Standaard 8 3 2 2 4 4" xfId="49327"/>
    <cellStyle name="Standaard 8 3 2 2 4 4 2" xfId="49328"/>
    <cellStyle name="Standaard 8 3 2 2 4 5" xfId="49329"/>
    <cellStyle name="Standaard 8 3 2 2 4 6" xfId="49330"/>
    <cellStyle name="Standaard 8 3 2 2 5" xfId="49331"/>
    <cellStyle name="Standaard 8 3 2 2 5 2" xfId="49332"/>
    <cellStyle name="Standaard 8 3 2 2 5 2 2" xfId="49333"/>
    <cellStyle name="Standaard 8 3 2 2 5 2 2 2" xfId="49334"/>
    <cellStyle name="Standaard 8 3 2 2 5 2 3" xfId="49335"/>
    <cellStyle name="Standaard 8 3 2 2 5 3" xfId="49336"/>
    <cellStyle name="Standaard 8 3 2 2 5 3 2" xfId="49337"/>
    <cellStyle name="Standaard 8 3 2 2 5 4" xfId="49338"/>
    <cellStyle name="Standaard 8 3 2 2 6" xfId="49339"/>
    <cellStyle name="Standaard 8 3 2 2 6 2" xfId="49340"/>
    <cellStyle name="Standaard 8 3 2 2 6 2 2" xfId="49341"/>
    <cellStyle name="Standaard 8 3 2 2 6 3" xfId="49342"/>
    <cellStyle name="Standaard 8 3 2 2 7" xfId="49343"/>
    <cellStyle name="Standaard 8 3 2 2 7 2" xfId="49344"/>
    <cellStyle name="Standaard 8 3 2 2 8" xfId="49345"/>
    <cellStyle name="Standaard 8 3 2 2 9" xfId="49346"/>
    <cellStyle name="Standaard 8 3 2 3" xfId="49347"/>
    <cellStyle name="Standaard 8 3 2 3 2" xfId="49348"/>
    <cellStyle name="Standaard 8 3 2 3 2 2" xfId="49349"/>
    <cellStyle name="Standaard 8 3 2 3 2 2 2" xfId="49350"/>
    <cellStyle name="Standaard 8 3 2 3 2 2 2 2" xfId="49351"/>
    <cellStyle name="Standaard 8 3 2 3 2 2 2 2 2" xfId="49352"/>
    <cellStyle name="Standaard 8 3 2 3 2 2 2 2 2 2" xfId="49353"/>
    <cellStyle name="Standaard 8 3 2 3 2 2 2 2 3" xfId="49354"/>
    <cellStyle name="Standaard 8 3 2 3 2 2 2 3" xfId="49355"/>
    <cellStyle name="Standaard 8 3 2 3 2 2 2 3 2" xfId="49356"/>
    <cellStyle name="Standaard 8 3 2 3 2 2 2 4" xfId="49357"/>
    <cellStyle name="Standaard 8 3 2 3 2 2 3" xfId="49358"/>
    <cellStyle name="Standaard 8 3 2 3 2 2 3 2" xfId="49359"/>
    <cellStyle name="Standaard 8 3 2 3 2 2 3 2 2" xfId="49360"/>
    <cellStyle name="Standaard 8 3 2 3 2 2 3 3" xfId="49361"/>
    <cellStyle name="Standaard 8 3 2 3 2 2 4" xfId="49362"/>
    <cellStyle name="Standaard 8 3 2 3 2 2 4 2" xfId="49363"/>
    <cellStyle name="Standaard 8 3 2 3 2 2 5" xfId="49364"/>
    <cellStyle name="Standaard 8 3 2 3 2 2 6" xfId="49365"/>
    <cellStyle name="Standaard 8 3 2 3 2 3" xfId="49366"/>
    <cellStyle name="Standaard 8 3 2 3 2 3 2" xfId="49367"/>
    <cellStyle name="Standaard 8 3 2 3 2 3 2 2" xfId="49368"/>
    <cellStyle name="Standaard 8 3 2 3 2 3 2 2 2" xfId="49369"/>
    <cellStyle name="Standaard 8 3 2 3 2 3 2 3" xfId="49370"/>
    <cellStyle name="Standaard 8 3 2 3 2 3 3" xfId="49371"/>
    <cellStyle name="Standaard 8 3 2 3 2 3 3 2" xfId="49372"/>
    <cellStyle name="Standaard 8 3 2 3 2 3 4" xfId="49373"/>
    <cellStyle name="Standaard 8 3 2 3 2 4" xfId="49374"/>
    <cellStyle name="Standaard 8 3 2 3 2 4 2" xfId="49375"/>
    <cellStyle name="Standaard 8 3 2 3 2 4 2 2" xfId="49376"/>
    <cellStyle name="Standaard 8 3 2 3 2 4 3" xfId="49377"/>
    <cellStyle name="Standaard 8 3 2 3 2 5" xfId="49378"/>
    <cellStyle name="Standaard 8 3 2 3 2 5 2" xfId="49379"/>
    <cellStyle name="Standaard 8 3 2 3 2 6" xfId="49380"/>
    <cellStyle name="Standaard 8 3 2 3 2 7" xfId="49381"/>
    <cellStyle name="Standaard 8 3 2 3 3" xfId="49382"/>
    <cellStyle name="Standaard 8 3 2 3 3 2" xfId="49383"/>
    <cellStyle name="Standaard 8 3 2 3 3 2 2" xfId="49384"/>
    <cellStyle name="Standaard 8 3 2 3 3 2 2 2" xfId="49385"/>
    <cellStyle name="Standaard 8 3 2 3 3 2 2 2 2" xfId="49386"/>
    <cellStyle name="Standaard 8 3 2 3 3 2 2 3" xfId="49387"/>
    <cellStyle name="Standaard 8 3 2 3 3 2 3" xfId="49388"/>
    <cellStyle name="Standaard 8 3 2 3 3 2 3 2" xfId="49389"/>
    <cellStyle name="Standaard 8 3 2 3 3 2 4" xfId="49390"/>
    <cellStyle name="Standaard 8 3 2 3 3 3" xfId="49391"/>
    <cellStyle name="Standaard 8 3 2 3 3 3 2" xfId="49392"/>
    <cellStyle name="Standaard 8 3 2 3 3 3 2 2" xfId="49393"/>
    <cellStyle name="Standaard 8 3 2 3 3 3 3" xfId="49394"/>
    <cellStyle name="Standaard 8 3 2 3 3 4" xfId="49395"/>
    <cellStyle name="Standaard 8 3 2 3 3 4 2" xfId="49396"/>
    <cellStyle name="Standaard 8 3 2 3 3 5" xfId="49397"/>
    <cellStyle name="Standaard 8 3 2 3 3 6" xfId="49398"/>
    <cellStyle name="Standaard 8 3 2 3 4" xfId="49399"/>
    <cellStyle name="Standaard 8 3 2 3 4 2" xfId="49400"/>
    <cellStyle name="Standaard 8 3 2 3 4 2 2" xfId="49401"/>
    <cellStyle name="Standaard 8 3 2 3 4 2 2 2" xfId="49402"/>
    <cellStyle name="Standaard 8 3 2 3 4 2 3" xfId="49403"/>
    <cellStyle name="Standaard 8 3 2 3 4 3" xfId="49404"/>
    <cellStyle name="Standaard 8 3 2 3 4 3 2" xfId="49405"/>
    <cellStyle name="Standaard 8 3 2 3 4 4" xfId="49406"/>
    <cellStyle name="Standaard 8 3 2 3 5" xfId="49407"/>
    <cellStyle name="Standaard 8 3 2 3 5 2" xfId="49408"/>
    <cellStyle name="Standaard 8 3 2 3 5 2 2" xfId="49409"/>
    <cellStyle name="Standaard 8 3 2 3 5 3" xfId="49410"/>
    <cellStyle name="Standaard 8 3 2 3 6" xfId="49411"/>
    <cellStyle name="Standaard 8 3 2 3 6 2" xfId="49412"/>
    <cellStyle name="Standaard 8 3 2 3 7" xfId="49413"/>
    <cellStyle name="Standaard 8 3 2 3 8" xfId="49414"/>
    <cellStyle name="Standaard 8 3 2 4" xfId="49415"/>
    <cellStyle name="Standaard 8 3 2 4 2" xfId="49416"/>
    <cellStyle name="Standaard 8 3 2 4 2 2" xfId="49417"/>
    <cellStyle name="Standaard 8 3 2 4 2 2 2" xfId="49418"/>
    <cellStyle name="Standaard 8 3 2 4 2 2 2 2" xfId="49419"/>
    <cellStyle name="Standaard 8 3 2 4 2 2 2 2 2" xfId="49420"/>
    <cellStyle name="Standaard 8 3 2 4 2 2 2 2 2 2" xfId="49421"/>
    <cellStyle name="Standaard 8 3 2 4 2 2 2 2 3" xfId="49422"/>
    <cellStyle name="Standaard 8 3 2 4 2 2 2 3" xfId="49423"/>
    <cellStyle name="Standaard 8 3 2 4 2 2 2 3 2" xfId="49424"/>
    <cellStyle name="Standaard 8 3 2 4 2 2 2 4" xfId="49425"/>
    <cellStyle name="Standaard 8 3 2 4 2 2 3" xfId="49426"/>
    <cellStyle name="Standaard 8 3 2 4 2 2 3 2" xfId="49427"/>
    <cellStyle name="Standaard 8 3 2 4 2 2 3 2 2" xfId="49428"/>
    <cellStyle name="Standaard 8 3 2 4 2 2 3 3" xfId="49429"/>
    <cellStyle name="Standaard 8 3 2 4 2 2 4" xfId="49430"/>
    <cellStyle name="Standaard 8 3 2 4 2 2 4 2" xfId="49431"/>
    <cellStyle name="Standaard 8 3 2 4 2 2 5" xfId="49432"/>
    <cellStyle name="Standaard 8 3 2 4 2 2 6" xfId="49433"/>
    <cellStyle name="Standaard 8 3 2 4 2 3" xfId="49434"/>
    <cellStyle name="Standaard 8 3 2 4 2 3 2" xfId="49435"/>
    <cellStyle name="Standaard 8 3 2 4 2 3 2 2" xfId="49436"/>
    <cellStyle name="Standaard 8 3 2 4 2 3 2 2 2" xfId="49437"/>
    <cellStyle name="Standaard 8 3 2 4 2 3 2 3" xfId="49438"/>
    <cellStyle name="Standaard 8 3 2 4 2 3 3" xfId="49439"/>
    <cellStyle name="Standaard 8 3 2 4 2 3 3 2" xfId="49440"/>
    <cellStyle name="Standaard 8 3 2 4 2 3 4" xfId="49441"/>
    <cellStyle name="Standaard 8 3 2 4 2 4" xfId="49442"/>
    <cellStyle name="Standaard 8 3 2 4 2 4 2" xfId="49443"/>
    <cellStyle name="Standaard 8 3 2 4 2 4 2 2" xfId="49444"/>
    <cellStyle name="Standaard 8 3 2 4 2 4 3" xfId="49445"/>
    <cellStyle name="Standaard 8 3 2 4 2 5" xfId="49446"/>
    <cellStyle name="Standaard 8 3 2 4 2 5 2" xfId="49447"/>
    <cellStyle name="Standaard 8 3 2 4 2 6" xfId="49448"/>
    <cellStyle name="Standaard 8 3 2 4 2 7" xfId="49449"/>
    <cellStyle name="Standaard 8 3 2 4 3" xfId="49450"/>
    <cellStyle name="Standaard 8 3 2 4 3 2" xfId="49451"/>
    <cellStyle name="Standaard 8 3 2 4 3 2 2" xfId="49452"/>
    <cellStyle name="Standaard 8 3 2 4 3 2 2 2" xfId="49453"/>
    <cellStyle name="Standaard 8 3 2 4 3 2 2 2 2" xfId="49454"/>
    <cellStyle name="Standaard 8 3 2 4 3 2 2 3" xfId="49455"/>
    <cellStyle name="Standaard 8 3 2 4 3 2 3" xfId="49456"/>
    <cellStyle name="Standaard 8 3 2 4 3 2 3 2" xfId="49457"/>
    <cellStyle name="Standaard 8 3 2 4 3 2 4" xfId="49458"/>
    <cellStyle name="Standaard 8 3 2 4 3 3" xfId="49459"/>
    <cellStyle name="Standaard 8 3 2 4 3 3 2" xfId="49460"/>
    <cellStyle name="Standaard 8 3 2 4 3 3 2 2" xfId="49461"/>
    <cellStyle name="Standaard 8 3 2 4 3 3 3" xfId="49462"/>
    <cellStyle name="Standaard 8 3 2 4 3 4" xfId="49463"/>
    <cellStyle name="Standaard 8 3 2 4 3 4 2" xfId="49464"/>
    <cellStyle name="Standaard 8 3 2 4 3 5" xfId="49465"/>
    <cellStyle name="Standaard 8 3 2 4 3 6" xfId="49466"/>
    <cellStyle name="Standaard 8 3 2 4 4" xfId="49467"/>
    <cellStyle name="Standaard 8 3 2 4 4 2" xfId="49468"/>
    <cellStyle name="Standaard 8 3 2 4 4 2 2" xfId="49469"/>
    <cellStyle name="Standaard 8 3 2 4 4 2 2 2" xfId="49470"/>
    <cellStyle name="Standaard 8 3 2 4 4 2 3" xfId="49471"/>
    <cellStyle name="Standaard 8 3 2 4 4 3" xfId="49472"/>
    <cellStyle name="Standaard 8 3 2 4 4 3 2" xfId="49473"/>
    <cellStyle name="Standaard 8 3 2 4 4 4" xfId="49474"/>
    <cellStyle name="Standaard 8 3 2 4 5" xfId="49475"/>
    <cellStyle name="Standaard 8 3 2 4 5 2" xfId="49476"/>
    <cellStyle name="Standaard 8 3 2 4 5 2 2" xfId="49477"/>
    <cellStyle name="Standaard 8 3 2 4 5 3" xfId="49478"/>
    <cellStyle name="Standaard 8 3 2 4 6" xfId="49479"/>
    <cellStyle name="Standaard 8 3 2 4 6 2" xfId="49480"/>
    <cellStyle name="Standaard 8 3 2 4 7" xfId="49481"/>
    <cellStyle name="Standaard 8 3 2 4 8" xfId="49482"/>
    <cellStyle name="Standaard 8 3 2 5" xfId="49483"/>
    <cellStyle name="Standaard 8 3 2 5 2" xfId="49484"/>
    <cellStyle name="Standaard 8 3 2 5 2 2" xfId="49485"/>
    <cellStyle name="Standaard 8 3 2 5 2 2 2" xfId="49486"/>
    <cellStyle name="Standaard 8 3 2 5 2 2 2 2" xfId="49487"/>
    <cellStyle name="Standaard 8 3 2 5 2 2 2 2 2" xfId="49488"/>
    <cellStyle name="Standaard 8 3 2 5 2 2 2 3" xfId="49489"/>
    <cellStyle name="Standaard 8 3 2 5 2 2 3" xfId="49490"/>
    <cellStyle name="Standaard 8 3 2 5 2 2 3 2" xfId="49491"/>
    <cellStyle name="Standaard 8 3 2 5 2 2 4" xfId="49492"/>
    <cellStyle name="Standaard 8 3 2 5 2 3" xfId="49493"/>
    <cellStyle name="Standaard 8 3 2 5 2 3 2" xfId="49494"/>
    <cellStyle name="Standaard 8 3 2 5 2 3 2 2" xfId="49495"/>
    <cellStyle name="Standaard 8 3 2 5 2 3 3" xfId="49496"/>
    <cellStyle name="Standaard 8 3 2 5 2 4" xfId="49497"/>
    <cellStyle name="Standaard 8 3 2 5 2 4 2" xfId="49498"/>
    <cellStyle name="Standaard 8 3 2 5 2 5" xfId="49499"/>
    <cellStyle name="Standaard 8 3 2 5 2 6" xfId="49500"/>
    <cellStyle name="Standaard 8 3 2 5 3" xfId="49501"/>
    <cellStyle name="Standaard 8 3 2 5 3 2" xfId="49502"/>
    <cellStyle name="Standaard 8 3 2 5 3 2 2" xfId="49503"/>
    <cellStyle name="Standaard 8 3 2 5 3 2 2 2" xfId="49504"/>
    <cellStyle name="Standaard 8 3 2 5 3 2 3" xfId="49505"/>
    <cellStyle name="Standaard 8 3 2 5 3 3" xfId="49506"/>
    <cellStyle name="Standaard 8 3 2 5 3 3 2" xfId="49507"/>
    <cellStyle name="Standaard 8 3 2 5 3 4" xfId="49508"/>
    <cellStyle name="Standaard 8 3 2 5 4" xfId="49509"/>
    <cellStyle name="Standaard 8 3 2 5 4 2" xfId="49510"/>
    <cellStyle name="Standaard 8 3 2 5 4 2 2" xfId="49511"/>
    <cellStyle name="Standaard 8 3 2 5 4 3" xfId="49512"/>
    <cellStyle name="Standaard 8 3 2 5 5" xfId="49513"/>
    <cellStyle name="Standaard 8 3 2 5 5 2" xfId="49514"/>
    <cellStyle name="Standaard 8 3 2 5 6" xfId="49515"/>
    <cellStyle name="Standaard 8 3 2 5 7" xfId="49516"/>
    <cellStyle name="Standaard 8 3 2 6" xfId="49517"/>
    <cellStyle name="Standaard 8 3 2 6 2" xfId="49518"/>
    <cellStyle name="Standaard 8 3 2 6 2 2" xfId="49519"/>
    <cellStyle name="Standaard 8 3 2 6 2 2 2" xfId="49520"/>
    <cellStyle name="Standaard 8 3 2 6 2 2 2 2" xfId="49521"/>
    <cellStyle name="Standaard 8 3 2 6 2 2 3" xfId="49522"/>
    <cellStyle name="Standaard 8 3 2 6 2 3" xfId="49523"/>
    <cellStyle name="Standaard 8 3 2 6 2 3 2" xfId="49524"/>
    <cellStyle name="Standaard 8 3 2 6 2 4" xfId="49525"/>
    <cellStyle name="Standaard 8 3 2 6 3" xfId="49526"/>
    <cellStyle name="Standaard 8 3 2 6 3 2" xfId="49527"/>
    <cellStyle name="Standaard 8 3 2 6 3 2 2" xfId="49528"/>
    <cellStyle name="Standaard 8 3 2 6 3 3" xfId="49529"/>
    <cellStyle name="Standaard 8 3 2 6 4" xfId="49530"/>
    <cellStyle name="Standaard 8 3 2 6 4 2" xfId="49531"/>
    <cellStyle name="Standaard 8 3 2 6 5" xfId="49532"/>
    <cellStyle name="Standaard 8 3 2 6 6" xfId="49533"/>
    <cellStyle name="Standaard 8 3 2 7" xfId="49534"/>
    <cellStyle name="Standaard 8 3 2 7 2" xfId="49535"/>
    <cellStyle name="Standaard 8 3 2 7 2 2" xfId="49536"/>
    <cellStyle name="Standaard 8 3 2 7 2 2 2" xfId="49537"/>
    <cellStyle name="Standaard 8 3 2 7 2 3" xfId="49538"/>
    <cellStyle name="Standaard 8 3 2 7 3" xfId="49539"/>
    <cellStyle name="Standaard 8 3 2 7 3 2" xfId="49540"/>
    <cellStyle name="Standaard 8 3 2 7 4" xfId="49541"/>
    <cellStyle name="Standaard 8 3 2 8" xfId="49542"/>
    <cellStyle name="Standaard 8 3 2 8 2" xfId="49543"/>
    <cellStyle name="Standaard 8 3 2 8 2 2" xfId="49544"/>
    <cellStyle name="Standaard 8 3 2 8 3" xfId="49545"/>
    <cellStyle name="Standaard 8 3 2 9" xfId="49546"/>
    <cellStyle name="Standaard 8 3 2 9 2" xfId="49547"/>
    <cellStyle name="Standaard 8 3 3" xfId="49548"/>
    <cellStyle name="Standaard 8 3 3 2" xfId="49549"/>
    <cellStyle name="Standaard 8 3 3 2 2" xfId="49550"/>
    <cellStyle name="Standaard 8 3 3 2 2 2" xfId="49551"/>
    <cellStyle name="Standaard 8 3 3 2 2 2 2" xfId="49552"/>
    <cellStyle name="Standaard 8 3 3 2 2 2 2 2" xfId="49553"/>
    <cellStyle name="Standaard 8 3 3 2 2 2 2 2 2" xfId="49554"/>
    <cellStyle name="Standaard 8 3 3 2 2 2 2 2 2 2" xfId="49555"/>
    <cellStyle name="Standaard 8 3 3 2 2 2 2 2 3" xfId="49556"/>
    <cellStyle name="Standaard 8 3 3 2 2 2 2 3" xfId="49557"/>
    <cellStyle name="Standaard 8 3 3 2 2 2 2 3 2" xfId="49558"/>
    <cellStyle name="Standaard 8 3 3 2 2 2 2 4" xfId="49559"/>
    <cellStyle name="Standaard 8 3 3 2 2 2 3" xfId="49560"/>
    <cellStyle name="Standaard 8 3 3 2 2 2 3 2" xfId="49561"/>
    <cellStyle name="Standaard 8 3 3 2 2 2 3 2 2" xfId="49562"/>
    <cellStyle name="Standaard 8 3 3 2 2 2 3 3" xfId="49563"/>
    <cellStyle name="Standaard 8 3 3 2 2 2 4" xfId="49564"/>
    <cellStyle name="Standaard 8 3 3 2 2 2 4 2" xfId="49565"/>
    <cellStyle name="Standaard 8 3 3 2 2 2 5" xfId="49566"/>
    <cellStyle name="Standaard 8 3 3 2 2 2 6" xfId="49567"/>
    <cellStyle name="Standaard 8 3 3 2 2 3" xfId="49568"/>
    <cellStyle name="Standaard 8 3 3 2 2 3 2" xfId="49569"/>
    <cellStyle name="Standaard 8 3 3 2 2 3 2 2" xfId="49570"/>
    <cellStyle name="Standaard 8 3 3 2 2 3 2 2 2" xfId="49571"/>
    <cellStyle name="Standaard 8 3 3 2 2 3 2 3" xfId="49572"/>
    <cellStyle name="Standaard 8 3 3 2 2 3 3" xfId="49573"/>
    <cellStyle name="Standaard 8 3 3 2 2 3 3 2" xfId="49574"/>
    <cellStyle name="Standaard 8 3 3 2 2 3 4" xfId="49575"/>
    <cellStyle name="Standaard 8 3 3 2 2 4" xfId="49576"/>
    <cellStyle name="Standaard 8 3 3 2 2 4 2" xfId="49577"/>
    <cellStyle name="Standaard 8 3 3 2 2 4 2 2" xfId="49578"/>
    <cellStyle name="Standaard 8 3 3 2 2 4 3" xfId="49579"/>
    <cellStyle name="Standaard 8 3 3 2 2 5" xfId="49580"/>
    <cellStyle name="Standaard 8 3 3 2 2 5 2" xfId="49581"/>
    <cellStyle name="Standaard 8 3 3 2 2 6" xfId="49582"/>
    <cellStyle name="Standaard 8 3 3 2 2 7" xfId="49583"/>
    <cellStyle name="Standaard 8 3 3 2 3" xfId="49584"/>
    <cellStyle name="Standaard 8 3 3 2 3 2" xfId="49585"/>
    <cellStyle name="Standaard 8 3 3 2 3 2 2" xfId="49586"/>
    <cellStyle name="Standaard 8 3 3 2 3 2 2 2" xfId="49587"/>
    <cellStyle name="Standaard 8 3 3 2 3 2 2 2 2" xfId="49588"/>
    <cellStyle name="Standaard 8 3 3 2 3 2 2 3" xfId="49589"/>
    <cellStyle name="Standaard 8 3 3 2 3 2 3" xfId="49590"/>
    <cellStyle name="Standaard 8 3 3 2 3 2 3 2" xfId="49591"/>
    <cellStyle name="Standaard 8 3 3 2 3 2 4" xfId="49592"/>
    <cellStyle name="Standaard 8 3 3 2 3 3" xfId="49593"/>
    <cellStyle name="Standaard 8 3 3 2 3 3 2" xfId="49594"/>
    <cellStyle name="Standaard 8 3 3 2 3 3 2 2" xfId="49595"/>
    <cellStyle name="Standaard 8 3 3 2 3 3 3" xfId="49596"/>
    <cellStyle name="Standaard 8 3 3 2 3 4" xfId="49597"/>
    <cellStyle name="Standaard 8 3 3 2 3 4 2" xfId="49598"/>
    <cellStyle name="Standaard 8 3 3 2 3 5" xfId="49599"/>
    <cellStyle name="Standaard 8 3 3 2 3 6" xfId="49600"/>
    <cellStyle name="Standaard 8 3 3 2 4" xfId="49601"/>
    <cellStyle name="Standaard 8 3 3 2 4 2" xfId="49602"/>
    <cellStyle name="Standaard 8 3 3 2 4 2 2" xfId="49603"/>
    <cellStyle name="Standaard 8 3 3 2 4 2 2 2" xfId="49604"/>
    <cellStyle name="Standaard 8 3 3 2 4 2 3" xfId="49605"/>
    <cellStyle name="Standaard 8 3 3 2 4 3" xfId="49606"/>
    <cellStyle name="Standaard 8 3 3 2 4 3 2" xfId="49607"/>
    <cellStyle name="Standaard 8 3 3 2 4 4" xfId="49608"/>
    <cellStyle name="Standaard 8 3 3 2 5" xfId="49609"/>
    <cellStyle name="Standaard 8 3 3 2 5 2" xfId="49610"/>
    <cellStyle name="Standaard 8 3 3 2 5 2 2" xfId="49611"/>
    <cellStyle name="Standaard 8 3 3 2 5 3" xfId="49612"/>
    <cellStyle name="Standaard 8 3 3 2 6" xfId="49613"/>
    <cellStyle name="Standaard 8 3 3 2 6 2" xfId="49614"/>
    <cellStyle name="Standaard 8 3 3 2 7" xfId="49615"/>
    <cellStyle name="Standaard 8 3 3 2 8" xfId="49616"/>
    <cellStyle name="Standaard 8 3 3 3" xfId="49617"/>
    <cellStyle name="Standaard 8 3 3 3 2" xfId="49618"/>
    <cellStyle name="Standaard 8 3 3 3 2 2" xfId="49619"/>
    <cellStyle name="Standaard 8 3 3 3 2 2 2" xfId="49620"/>
    <cellStyle name="Standaard 8 3 3 3 2 2 2 2" xfId="49621"/>
    <cellStyle name="Standaard 8 3 3 3 2 2 2 2 2" xfId="49622"/>
    <cellStyle name="Standaard 8 3 3 3 2 2 2 3" xfId="49623"/>
    <cellStyle name="Standaard 8 3 3 3 2 2 3" xfId="49624"/>
    <cellStyle name="Standaard 8 3 3 3 2 2 3 2" xfId="49625"/>
    <cellStyle name="Standaard 8 3 3 3 2 2 4" xfId="49626"/>
    <cellStyle name="Standaard 8 3 3 3 2 3" xfId="49627"/>
    <cellStyle name="Standaard 8 3 3 3 2 3 2" xfId="49628"/>
    <cellStyle name="Standaard 8 3 3 3 2 3 2 2" xfId="49629"/>
    <cellStyle name="Standaard 8 3 3 3 2 3 3" xfId="49630"/>
    <cellStyle name="Standaard 8 3 3 3 2 4" xfId="49631"/>
    <cellStyle name="Standaard 8 3 3 3 2 4 2" xfId="49632"/>
    <cellStyle name="Standaard 8 3 3 3 2 5" xfId="49633"/>
    <cellStyle name="Standaard 8 3 3 3 2 6" xfId="49634"/>
    <cellStyle name="Standaard 8 3 3 3 3" xfId="49635"/>
    <cellStyle name="Standaard 8 3 3 3 3 2" xfId="49636"/>
    <cellStyle name="Standaard 8 3 3 3 3 2 2" xfId="49637"/>
    <cellStyle name="Standaard 8 3 3 3 3 2 2 2" xfId="49638"/>
    <cellStyle name="Standaard 8 3 3 3 3 2 3" xfId="49639"/>
    <cellStyle name="Standaard 8 3 3 3 3 3" xfId="49640"/>
    <cellStyle name="Standaard 8 3 3 3 3 3 2" xfId="49641"/>
    <cellStyle name="Standaard 8 3 3 3 3 4" xfId="49642"/>
    <cellStyle name="Standaard 8 3 3 3 4" xfId="49643"/>
    <cellStyle name="Standaard 8 3 3 3 4 2" xfId="49644"/>
    <cellStyle name="Standaard 8 3 3 3 4 2 2" xfId="49645"/>
    <cellStyle name="Standaard 8 3 3 3 4 3" xfId="49646"/>
    <cellStyle name="Standaard 8 3 3 3 5" xfId="49647"/>
    <cellStyle name="Standaard 8 3 3 3 5 2" xfId="49648"/>
    <cellStyle name="Standaard 8 3 3 3 6" xfId="49649"/>
    <cellStyle name="Standaard 8 3 3 3 7" xfId="49650"/>
    <cellStyle name="Standaard 8 3 3 4" xfId="49651"/>
    <cellStyle name="Standaard 8 3 3 4 2" xfId="49652"/>
    <cellStyle name="Standaard 8 3 3 4 2 2" xfId="49653"/>
    <cellStyle name="Standaard 8 3 3 4 2 2 2" xfId="49654"/>
    <cellStyle name="Standaard 8 3 3 4 2 2 2 2" xfId="49655"/>
    <cellStyle name="Standaard 8 3 3 4 2 2 3" xfId="49656"/>
    <cellStyle name="Standaard 8 3 3 4 2 3" xfId="49657"/>
    <cellStyle name="Standaard 8 3 3 4 2 3 2" xfId="49658"/>
    <cellStyle name="Standaard 8 3 3 4 2 4" xfId="49659"/>
    <cellStyle name="Standaard 8 3 3 4 3" xfId="49660"/>
    <cellStyle name="Standaard 8 3 3 4 3 2" xfId="49661"/>
    <cellStyle name="Standaard 8 3 3 4 3 2 2" xfId="49662"/>
    <cellStyle name="Standaard 8 3 3 4 3 3" xfId="49663"/>
    <cellStyle name="Standaard 8 3 3 4 4" xfId="49664"/>
    <cellStyle name="Standaard 8 3 3 4 4 2" xfId="49665"/>
    <cellStyle name="Standaard 8 3 3 4 5" xfId="49666"/>
    <cellStyle name="Standaard 8 3 3 4 6" xfId="49667"/>
    <cellStyle name="Standaard 8 3 3 5" xfId="49668"/>
    <cellStyle name="Standaard 8 3 3 5 2" xfId="49669"/>
    <cellStyle name="Standaard 8 3 3 5 2 2" xfId="49670"/>
    <cellStyle name="Standaard 8 3 3 5 2 2 2" xfId="49671"/>
    <cellStyle name="Standaard 8 3 3 5 2 3" xfId="49672"/>
    <cellStyle name="Standaard 8 3 3 5 3" xfId="49673"/>
    <cellStyle name="Standaard 8 3 3 5 3 2" xfId="49674"/>
    <cellStyle name="Standaard 8 3 3 5 4" xfId="49675"/>
    <cellStyle name="Standaard 8 3 3 6" xfId="49676"/>
    <cellStyle name="Standaard 8 3 3 6 2" xfId="49677"/>
    <cellStyle name="Standaard 8 3 3 6 2 2" xfId="49678"/>
    <cellStyle name="Standaard 8 3 3 6 3" xfId="49679"/>
    <cellStyle name="Standaard 8 3 3 7" xfId="49680"/>
    <cellStyle name="Standaard 8 3 3 7 2" xfId="49681"/>
    <cellStyle name="Standaard 8 3 3 8" xfId="49682"/>
    <cellStyle name="Standaard 8 3 3 9" xfId="49683"/>
    <cellStyle name="Standaard 8 3 4" xfId="49684"/>
    <cellStyle name="Standaard 8 3 4 2" xfId="49685"/>
    <cellStyle name="Standaard 8 3 4 2 2" xfId="49686"/>
    <cellStyle name="Standaard 8 3 4 2 2 2" xfId="49687"/>
    <cellStyle name="Standaard 8 3 4 2 2 2 2" xfId="49688"/>
    <cellStyle name="Standaard 8 3 4 2 2 2 2 2" xfId="49689"/>
    <cellStyle name="Standaard 8 3 4 2 2 2 2 2 2" xfId="49690"/>
    <cellStyle name="Standaard 8 3 4 2 2 2 2 3" xfId="49691"/>
    <cellStyle name="Standaard 8 3 4 2 2 2 3" xfId="49692"/>
    <cellStyle name="Standaard 8 3 4 2 2 2 3 2" xfId="49693"/>
    <cellStyle name="Standaard 8 3 4 2 2 2 4" xfId="49694"/>
    <cellStyle name="Standaard 8 3 4 2 2 3" xfId="49695"/>
    <cellStyle name="Standaard 8 3 4 2 2 3 2" xfId="49696"/>
    <cellStyle name="Standaard 8 3 4 2 2 3 2 2" xfId="49697"/>
    <cellStyle name="Standaard 8 3 4 2 2 3 3" xfId="49698"/>
    <cellStyle name="Standaard 8 3 4 2 2 4" xfId="49699"/>
    <cellStyle name="Standaard 8 3 4 2 2 4 2" xfId="49700"/>
    <cellStyle name="Standaard 8 3 4 2 2 5" xfId="49701"/>
    <cellStyle name="Standaard 8 3 4 2 2 6" xfId="49702"/>
    <cellStyle name="Standaard 8 3 4 2 3" xfId="49703"/>
    <cellStyle name="Standaard 8 3 4 2 3 2" xfId="49704"/>
    <cellStyle name="Standaard 8 3 4 2 3 2 2" xfId="49705"/>
    <cellStyle name="Standaard 8 3 4 2 3 2 2 2" xfId="49706"/>
    <cellStyle name="Standaard 8 3 4 2 3 2 3" xfId="49707"/>
    <cellStyle name="Standaard 8 3 4 2 3 3" xfId="49708"/>
    <cellStyle name="Standaard 8 3 4 2 3 3 2" xfId="49709"/>
    <cellStyle name="Standaard 8 3 4 2 3 4" xfId="49710"/>
    <cellStyle name="Standaard 8 3 4 2 4" xfId="49711"/>
    <cellStyle name="Standaard 8 3 4 2 4 2" xfId="49712"/>
    <cellStyle name="Standaard 8 3 4 2 4 2 2" xfId="49713"/>
    <cellStyle name="Standaard 8 3 4 2 4 3" xfId="49714"/>
    <cellStyle name="Standaard 8 3 4 2 5" xfId="49715"/>
    <cellStyle name="Standaard 8 3 4 2 5 2" xfId="49716"/>
    <cellStyle name="Standaard 8 3 4 2 6" xfId="49717"/>
    <cellStyle name="Standaard 8 3 4 2 7" xfId="49718"/>
    <cellStyle name="Standaard 8 3 4 3" xfId="49719"/>
    <cellStyle name="Standaard 8 3 4 3 2" xfId="49720"/>
    <cellStyle name="Standaard 8 3 4 3 2 2" xfId="49721"/>
    <cellStyle name="Standaard 8 3 4 3 2 2 2" xfId="49722"/>
    <cellStyle name="Standaard 8 3 4 3 2 2 2 2" xfId="49723"/>
    <cellStyle name="Standaard 8 3 4 3 2 2 3" xfId="49724"/>
    <cellStyle name="Standaard 8 3 4 3 2 3" xfId="49725"/>
    <cellStyle name="Standaard 8 3 4 3 2 3 2" xfId="49726"/>
    <cellStyle name="Standaard 8 3 4 3 2 4" xfId="49727"/>
    <cellStyle name="Standaard 8 3 4 3 3" xfId="49728"/>
    <cellStyle name="Standaard 8 3 4 3 3 2" xfId="49729"/>
    <cellStyle name="Standaard 8 3 4 3 3 2 2" xfId="49730"/>
    <cellStyle name="Standaard 8 3 4 3 3 3" xfId="49731"/>
    <cellStyle name="Standaard 8 3 4 3 4" xfId="49732"/>
    <cellStyle name="Standaard 8 3 4 3 4 2" xfId="49733"/>
    <cellStyle name="Standaard 8 3 4 3 5" xfId="49734"/>
    <cellStyle name="Standaard 8 3 4 3 6" xfId="49735"/>
    <cellStyle name="Standaard 8 3 4 4" xfId="49736"/>
    <cellStyle name="Standaard 8 3 4 4 2" xfId="49737"/>
    <cellStyle name="Standaard 8 3 4 4 2 2" xfId="49738"/>
    <cellStyle name="Standaard 8 3 4 4 2 2 2" xfId="49739"/>
    <cellStyle name="Standaard 8 3 4 4 2 3" xfId="49740"/>
    <cellStyle name="Standaard 8 3 4 4 3" xfId="49741"/>
    <cellStyle name="Standaard 8 3 4 4 3 2" xfId="49742"/>
    <cellStyle name="Standaard 8 3 4 4 4" xfId="49743"/>
    <cellStyle name="Standaard 8 3 4 5" xfId="49744"/>
    <cellStyle name="Standaard 8 3 4 5 2" xfId="49745"/>
    <cellStyle name="Standaard 8 3 4 5 2 2" xfId="49746"/>
    <cellStyle name="Standaard 8 3 4 5 3" xfId="49747"/>
    <cellStyle name="Standaard 8 3 4 6" xfId="49748"/>
    <cellStyle name="Standaard 8 3 4 6 2" xfId="49749"/>
    <cellStyle name="Standaard 8 3 4 7" xfId="49750"/>
    <cellStyle name="Standaard 8 3 4 8" xfId="49751"/>
    <cellStyle name="Standaard 8 3 5" xfId="49752"/>
    <cellStyle name="Standaard 8 3 5 2" xfId="49753"/>
    <cellStyle name="Standaard 8 3 5 2 2" xfId="49754"/>
    <cellStyle name="Standaard 8 3 5 2 2 2" xfId="49755"/>
    <cellStyle name="Standaard 8 3 5 2 2 2 2" xfId="49756"/>
    <cellStyle name="Standaard 8 3 5 2 2 2 2 2" xfId="49757"/>
    <cellStyle name="Standaard 8 3 5 2 2 2 2 2 2" xfId="49758"/>
    <cellStyle name="Standaard 8 3 5 2 2 2 2 3" xfId="49759"/>
    <cellStyle name="Standaard 8 3 5 2 2 2 3" xfId="49760"/>
    <cellStyle name="Standaard 8 3 5 2 2 2 3 2" xfId="49761"/>
    <cellStyle name="Standaard 8 3 5 2 2 2 4" xfId="49762"/>
    <cellStyle name="Standaard 8 3 5 2 2 3" xfId="49763"/>
    <cellStyle name="Standaard 8 3 5 2 2 3 2" xfId="49764"/>
    <cellStyle name="Standaard 8 3 5 2 2 3 2 2" xfId="49765"/>
    <cellStyle name="Standaard 8 3 5 2 2 3 3" xfId="49766"/>
    <cellStyle name="Standaard 8 3 5 2 2 4" xfId="49767"/>
    <cellStyle name="Standaard 8 3 5 2 2 4 2" xfId="49768"/>
    <cellStyle name="Standaard 8 3 5 2 2 5" xfId="49769"/>
    <cellStyle name="Standaard 8 3 5 2 2 6" xfId="49770"/>
    <cellStyle name="Standaard 8 3 5 2 3" xfId="49771"/>
    <cellStyle name="Standaard 8 3 5 2 3 2" xfId="49772"/>
    <cellStyle name="Standaard 8 3 5 2 3 2 2" xfId="49773"/>
    <cellStyle name="Standaard 8 3 5 2 3 2 2 2" xfId="49774"/>
    <cellStyle name="Standaard 8 3 5 2 3 2 3" xfId="49775"/>
    <cellStyle name="Standaard 8 3 5 2 3 3" xfId="49776"/>
    <cellStyle name="Standaard 8 3 5 2 3 3 2" xfId="49777"/>
    <cellStyle name="Standaard 8 3 5 2 3 4" xfId="49778"/>
    <cellStyle name="Standaard 8 3 5 2 4" xfId="49779"/>
    <cellStyle name="Standaard 8 3 5 2 4 2" xfId="49780"/>
    <cellStyle name="Standaard 8 3 5 2 4 2 2" xfId="49781"/>
    <cellStyle name="Standaard 8 3 5 2 4 3" xfId="49782"/>
    <cellStyle name="Standaard 8 3 5 2 5" xfId="49783"/>
    <cellStyle name="Standaard 8 3 5 2 5 2" xfId="49784"/>
    <cellStyle name="Standaard 8 3 5 2 6" xfId="49785"/>
    <cellStyle name="Standaard 8 3 5 2 7" xfId="49786"/>
    <cellStyle name="Standaard 8 3 5 3" xfId="49787"/>
    <cellStyle name="Standaard 8 3 5 3 2" xfId="49788"/>
    <cellStyle name="Standaard 8 3 5 3 2 2" xfId="49789"/>
    <cellStyle name="Standaard 8 3 5 3 2 2 2" xfId="49790"/>
    <cellStyle name="Standaard 8 3 5 3 2 2 2 2" xfId="49791"/>
    <cellStyle name="Standaard 8 3 5 3 2 2 3" xfId="49792"/>
    <cellStyle name="Standaard 8 3 5 3 2 3" xfId="49793"/>
    <cellStyle name="Standaard 8 3 5 3 2 3 2" xfId="49794"/>
    <cellStyle name="Standaard 8 3 5 3 2 4" xfId="49795"/>
    <cellStyle name="Standaard 8 3 5 3 3" xfId="49796"/>
    <cellStyle name="Standaard 8 3 5 3 3 2" xfId="49797"/>
    <cellStyle name="Standaard 8 3 5 3 3 2 2" xfId="49798"/>
    <cellStyle name="Standaard 8 3 5 3 3 3" xfId="49799"/>
    <cellStyle name="Standaard 8 3 5 3 4" xfId="49800"/>
    <cellStyle name="Standaard 8 3 5 3 4 2" xfId="49801"/>
    <cellStyle name="Standaard 8 3 5 3 5" xfId="49802"/>
    <cellStyle name="Standaard 8 3 5 3 6" xfId="49803"/>
    <cellStyle name="Standaard 8 3 5 4" xfId="49804"/>
    <cellStyle name="Standaard 8 3 5 4 2" xfId="49805"/>
    <cellStyle name="Standaard 8 3 5 4 2 2" xfId="49806"/>
    <cellStyle name="Standaard 8 3 5 4 2 2 2" xfId="49807"/>
    <cellStyle name="Standaard 8 3 5 4 2 3" xfId="49808"/>
    <cellStyle name="Standaard 8 3 5 4 3" xfId="49809"/>
    <cellStyle name="Standaard 8 3 5 4 3 2" xfId="49810"/>
    <cellStyle name="Standaard 8 3 5 4 4" xfId="49811"/>
    <cellStyle name="Standaard 8 3 5 5" xfId="49812"/>
    <cellStyle name="Standaard 8 3 5 5 2" xfId="49813"/>
    <cellStyle name="Standaard 8 3 5 5 2 2" xfId="49814"/>
    <cellStyle name="Standaard 8 3 5 5 3" xfId="49815"/>
    <cellStyle name="Standaard 8 3 5 6" xfId="49816"/>
    <cellStyle name="Standaard 8 3 5 6 2" xfId="49817"/>
    <cellStyle name="Standaard 8 3 5 7" xfId="49818"/>
    <cellStyle name="Standaard 8 3 5 8" xfId="49819"/>
    <cellStyle name="Standaard 8 3 6" xfId="49820"/>
    <cellStyle name="Standaard 8 3 6 2" xfId="49821"/>
    <cellStyle name="Standaard 8 3 6 2 2" xfId="49822"/>
    <cellStyle name="Standaard 8 3 6 2 2 2" xfId="49823"/>
    <cellStyle name="Standaard 8 3 6 2 2 2 2" xfId="49824"/>
    <cellStyle name="Standaard 8 3 6 2 2 2 2 2" xfId="49825"/>
    <cellStyle name="Standaard 8 3 6 2 2 2 3" xfId="49826"/>
    <cellStyle name="Standaard 8 3 6 2 2 3" xfId="49827"/>
    <cellStyle name="Standaard 8 3 6 2 2 3 2" xfId="49828"/>
    <cellStyle name="Standaard 8 3 6 2 2 4" xfId="49829"/>
    <cellStyle name="Standaard 8 3 6 2 3" xfId="49830"/>
    <cellStyle name="Standaard 8 3 6 2 3 2" xfId="49831"/>
    <cellStyle name="Standaard 8 3 6 2 3 2 2" xfId="49832"/>
    <cellStyle name="Standaard 8 3 6 2 3 3" xfId="49833"/>
    <cellStyle name="Standaard 8 3 6 2 4" xfId="49834"/>
    <cellStyle name="Standaard 8 3 6 2 4 2" xfId="49835"/>
    <cellStyle name="Standaard 8 3 6 2 5" xfId="49836"/>
    <cellStyle name="Standaard 8 3 6 2 6" xfId="49837"/>
    <cellStyle name="Standaard 8 3 6 3" xfId="49838"/>
    <cellStyle name="Standaard 8 3 6 3 2" xfId="49839"/>
    <cellStyle name="Standaard 8 3 6 3 2 2" xfId="49840"/>
    <cellStyle name="Standaard 8 3 6 3 2 2 2" xfId="49841"/>
    <cellStyle name="Standaard 8 3 6 3 2 3" xfId="49842"/>
    <cellStyle name="Standaard 8 3 6 3 3" xfId="49843"/>
    <cellStyle name="Standaard 8 3 6 3 3 2" xfId="49844"/>
    <cellStyle name="Standaard 8 3 6 3 4" xfId="49845"/>
    <cellStyle name="Standaard 8 3 6 4" xfId="49846"/>
    <cellStyle name="Standaard 8 3 6 4 2" xfId="49847"/>
    <cellStyle name="Standaard 8 3 6 4 2 2" xfId="49848"/>
    <cellStyle name="Standaard 8 3 6 4 3" xfId="49849"/>
    <cellStyle name="Standaard 8 3 6 5" xfId="49850"/>
    <cellStyle name="Standaard 8 3 6 5 2" xfId="49851"/>
    <cellStyle name="Standaard 8 3 6 6" xfId="49852"/>
    <cellStyle name="Standaard 8 3 6 7" xfId="49853"/>
    <cellStyle name="Standaard 8 3 7" xfId="49854"/>
    <cellStyle name="Standaard 8 3 7 2" xfId="49855"/>
    <cellStyle name="Standaard 8 3 7 2 2" xfId="49856"/>
    <cellStyle name="Standaard 8 3 7 2 2 2" xfId="49857"/>
    <cellStyle name="Standaard 8 3 7 2 2 2 2" xfId="49858"/>
    <cellStyle name="Standaard 8 3 7 2 2 3" xfId="49859"/>
    <cellStyle name="Standaard 8 3 7 2 3" xfId="49860"/>
    <cellStyle name="Standaard 8 3 7 2 3 2" xfId="49861"/>
    <cellStyle name="Standaard 8 3 7 2 4" xfId="49862"/>
    <cellStyle name="Standaard 8 3 7 3" xfId="49863"/>
    <cellStyle name="Standaard 8 3 7 3 2" xfId="49864"/>
    <cellStyle name="Standaard 8 3 7 3 2 2" xfId="49865"/>
    <cellStyle name="Standaard 8 3 7 3 3" xfId="49866"/>
    <cellStyle name="Standaard 8 3 7 4" xfId="49867"/>
    <cellStyle name="Standaard 8 3 7 4 2" xfId="49868"/>
    <cellStyle name="Standaard 8 3 7 5" xfId="49869"/>
    <cellStyle name="Standaard 8 3 7 6" xfId="49870"/>
    <cellStyle name="Standaard 8 3 8" xfId="49871"/>
    <cellStyle name="Standaard 8 3 8 2" xfId="49872"/>
    <cellStyle name="Standaard 8 3 8 2 2" xfId="49873"/>
    <cellStyle name="Standaard 8 3 8 2 2 2" xfId="49874"/>
    <cellStyle name="Standaard 8 3 8 2 3" xfId="49875"/>
    <cellStyle name="Standaard 8 3 8 3" xfId="49876"/>
    <cellStyle name="Standaard 8 3 8 3 2" xfId="49877"/>
    <cellStyle name="Standaard 8 3 8 4" xfId="49878"/>
    <cellStyle name="Standaard 8 3 9" xfId="49879"/>
    <cellStyle name="Standaard 8 3 9 2" xfId="49880"/>
    <cellStyle name="Standaard 8 3 9 2 2" xfId="49881"/>
    <cellStyle name="Standaard 8 3 9 3" xfId="49882"/>
    <cellStyle name="Standaard 8 4" xfId="49883"/>
    <cellStyle name="Standaard 8 4 10" xfId="49884"/>
    <cellStyle name="Standaard 8 4 11" xfId="49885"/>
    <cellStyle name="Standaard 8 4 2" xfId="49886"/>
    <cellStyle name="Standaard 8 4 2 2" xfId="49887"/>
    <cellStyle name="Standaard 8 4 2 2 2" xfId="49888"/>
    <cellStyle name="Standaard 8 4 2 2 2 2" xfId="49889"/>
    <cellStyle name="Standaard 8 4 2 2 2 2 2" xfId="49890"/>
    <cellStyle name="Standaard 8 4 2 2 2 2 2 2" xfId="49891"/>
    <cellStyle name="Standaard 8 4 2 2 2 2 2 2 2" xfId="49892"/>
    <cellStyle name="Standaard 8 4 2 2 2 2 2 2 2 2" xfId="49893"/>
    <cellStyle name="Standaard 8 4 2 2 2 2 2 2 3" xfId="49894"/>
    <cellStyle name="Standaard 8 4 2 2 2 2 2 3" xfId="49895"/>
    <cellStyle name="Standaard 8 4 2 2 2 2 2 3 2" xfId="49896"/>
    <cellStyle name="Standaard 8 4 2 2 2 2 2 4" xfId="49897"/>
    <cellStyle name="Standaard 8 4 2 2 2 2 3" xfId="49898"/>
    <cellStyle name="Standaard 8 4 2 2 2 2 3 2" xfId="49899"/>
    <cellStyle name="Standaard 8 4 2 2 2 2 3 2 2" xfId="49900"/>
    <cellStyle name="Standaard 8 4 2 2 2 2 3 3" xfId="49901"/>
    <cellStyle name="Standaard 8 4 2 2 2 2 4" xfId="49902"/>
    <cellStyle name="Standaard 8 4 2 2 2 2 4 2" xfId="49903"/>
    <cellStyle name="Standaard 8 4 2 2 2 2 5" xfId="49904"/>
    <cellStyle name="Standaard 8 4 2 2 2 2 6" xfId="49905"/>
    <cellStyle name="Standaard 8 4 2 2 2 3" xfId="49906"/>
    <cellStyle name="Standaard 8 4 2 2 2 3 2" xfId="49907"/>
    <cellStyle name="Standaard 8 4 2 2 2 3 2 2" xfId="49908"/>
    <cellStyle name="Standaard 8 4 2 2 2 3 2 2 2" xfId="49909"/>
    <cellStyle name="Standaard 8 4 2 2 2 3 2 3" xfId="49910"/>
    <cellStyle name="Standaard 8 4 2 2 2 3 3" xfId="49911"/>
    <cellStyle name="Standaard 8 4 2 2 2 3 3 2" xfId="49912"/>
    <cellStyle name="Standaard 8 4 2 2 2 3 4" xfId="49913"/>
    <cellStyle name="Standaard 8 4 2 2 2 4" xfId="49914"/>
    <cellStyle name="Standaard 8 4 2 2 2 4 2" xfId="49915"/>
    <cellStyle name="Standaard 8 4 2 2 2 4 2 2" xfId="49916"/>
    <cellStyle name="Standaard 8 4 2 2 2 4 3" xfId="49917"/>
    <cellStyle name="Standaard 8 4 2 2 2 5" xfId="49918"/>
    <cellStyle name="Standaard 8 4 2 2 2 5 2" xfId="49919"/>
    <cellStyle name="Standaard 8 4 2 2 2 6" xfId="49920"/>
    <cellStyle name="Standaard 8 4 2 2 2 7" xfId="49921"/>
    <cellStyle name="Standaard 8 4 2 2 3" xfId="49922"/>
    <cellStyle name="Standaard 8 4 2 2 3 2" xfId="49923"/>
    <cellStyle name="Standaard 8 4 2 2 3 2 2" xfId="49924"/>
    <cellStyle name="Standaard 8 4 2 2 3 2 2 2" xfId="49925"/>
    <cellStyle name="Standaard 8 4 2 2 3 2 2 2 2" xfId="49926"/>
    <cellStyle name="Standaard 8 4 2 2 3 2 2 3" xfId="49927"/>
    <cellStyle name="Standaard 8 4 2 2 3 2 3" xfId="49928"/>
    <cellStyle name="Standaard 8 4 2 2 3 2 3 2" xfId="49929"/>
    <cellStyle name="Standaard 8 4 2 2 3 2 4" xfId="49930"/>
    <cellStyle name="Standaard 8 4 2 2 3 3" xfId="49931"/>
    <cellStyle name="Standaard 8 4 2 2 3 3 2" xfId="49932"/>
    <cellStyle name="Standaard 8 4 2 2 3 3 2 2" xfId="49933"/>
    <cellStyle name="Standaard 8 4 2 2 3 3 3" xfId="49934"/>
    <cellStyle name="Standaard 8 4 2 2 3 4" xfId="49935"/>
    <cellStyle name="Standaard 8 4 2 2 3 4 2" xfId="49936"/>
    <cellStyle name="Standaard 8 4 2 2 3 5" xfId="49937"/>
    <cellStyle name="Standaard 8 4 2 2 3 6" xfId="49938"/>
    <cellStyle name="Standaard 8 4 2 2 4" xfId="49939"/>
    <cellStyle name="Standaard 8 4 2 2 4 2" xfId="49940"/>
    <cellStyle name="Standaard 8 4 2 2 4 2 2" xfId="49941"/>
    <cellStyle name="Standaard 8 4 2 2 4 2 2 2" xfId="49942"/>
    <cellStyle name="Standaard 8 4 2 2 4 2 3" xfId="49943"/>
    <cellStyle name="Standaard 8 4 2 2 4 3" xfId="49944"/>
    <cellStyle name="Standaard 8 4 2 2 4 3 2" xfId="49945"/>
    <cellStyle name="Standaard 8 4 2 2 4 4" xfId="49946"/>
    <cellStyle name="Standaard 8 4 2 2 5" xfId="49947"/>
    <cellStyle name="Standaard 8 4 2 2 5 2" xfId="49948"/>
    <cellStyle name="Standaard 8 4 2 2 5 2 2" xfId="49949"/>
    <cellStyle name="Standaard 8 4 2 2 5 3" xfId="49950"/>
    <cellStyle name="Standaard 8 4 2 2 6" xfId="49951"/>
    <cellStyle name="Standaard 8 4 2 2 6 2" xfId="49952"/>
    <cellStyle name="Standaard 8 4 2 2 7" xfId="49953"/>
    <cellStyle name="Standaard 8 4 2 2 8" xfId="49954"/>
    <cellStyle name="Standaard 8 4 2 3" xfId="49955"/>
    <cellStyle name="Standaard 8 4 2 3 2" xfId="49956"/>
    <cellStyle name="Standaard 8 4 2 3 2 2" xfId="49957"/>
    <cellStyle name="Standaard 8 4 2 3 2 2 2" xfId="49958"/>
    <cellStyle name="Standaard 8 4 2 3 2 2 2 2" xfId="49959"/>
    <cellStyle name="Standaard 8 4 2 3 2 2 2 2 2" xfId="49960"/>
    <cellStyle name="Standaard 8 4 2 3 2 2 2 3" xfId="49961"/>
    <cellStyle name="Standaard 8 4 2 3 2 2 3" xfId="49962"/>
    <cellStyle name="Standaard 8 4 2 3 2 2 3 2" xfId="49963"/>
    <cellStyle name="Standaard 8 4 2 3 2 2 4" xfId="49964"/>
    <cellStyle name="Standaard 8 4 2 3 2 3" xfId="49965"/>
    <cellStyle name="Standaard 8 4 2 3 2 3 2" xfId="49966"/>
    <cellStyle name="Standaard 8 4 2 3 2 3 2 2" xfId="49967"/>
    <cellStyle name="Standaard 8 4 2 3 2 3 3" xfId="49968"/>
    <cellStyle name="Standaard 8 4 2 3 2 4" xfId="49969"/>
    <cellStyle name="Standaard 8 4 2 3 2 4 2" xfId="49970"/>
    <cellStyle name="Standaard 8 4 2 3 2 5" xfId="49971"/>
    <cellStyle name="Standaard 8 4 2 3 2 6" xfId="49972"/>
    <cellStyle name="Standaard 8 4 2 3 3" xfId="49973"/>
    <cellStyle name="Standaard 8 4 2 3 3 2" xfId="49974"/>
    <cellStyle name="Standaard 8 4 2 3 3 2 2" xfId="49975"/>
    <cellStyle name="Standaard 8 4 2 3 3 2 2 2" xfId="49976"/>
    <cellStyle name="Standaard 8 4 2 3 3 2 3" xfId="49977"/>
    <cellStyle name="Standaard 8 4 2 3 3 3" xfId="49978"/>
    <cellStyle name="Standaard 8 4 2 3 3 3 2" xfId="49979"/>
    <cellStyle name="Standaard 8 4 2 3 3 4" xfId="49980"/>
    <cellStyle name="Standaard 8 4 2 3 4" xfId="49981"/>
    <cellStyle name="Standaard 8 4 2 3 4 2" xfId="49982"/>
    <cellStyle name="Standaard 8 4 2 3 4 2 2" xfId="49983"/>
    <cellStyle name="Standaard 8 4 2 3 4 3" xfId="49984"/>
    <cellStyle name="Standaard 8 4 2 3 5" xfId="49985"/>
    <cellStyle name="Standaard 8 4 2 3 5 2" xfId="49986"/>
    <cellStyle name="Standaard 8 4 2 3 6" xfId="49987"/>
    <cellStyle name="Standaard 8 4 2 3 7" xfId="49988"/>
    <cellStyle name="Standaard 8 4 2 4" xfId="49989"/>
    <cellStyle name="Standaard 8 4 2 4 2" xfId="49990"/>
    <cellStyle name="Standaard 8 4 2 4 2 2" xfId="49991"/>
    <cellStyle name="Standaard 8 4 2 4 2 2 2" xfId="49992"/>
    <cellStyle name="Standaard 8 4 2 4 2 2 2 2" xfId="49993"/>
    <cellStyle name="Standaard 8 4 2 4 2 2 3" xfId="49994"/>
    <cellStyle name="Standaard 8 4 2 4 2 3" xfId="49995"/>
    <cellStyle name="Standaard 8 4 2 4 2 3 2" xfId="49996"/>
    <cellStyle name="Standaard 8 4 2 4 2 4" xfId="49997"/>
    <cellStyle name="Standaard 8 4 2 4 3" xfId="49998"/>
    <cellStyle name="Standaard 8 4 2 4 3 2" xfId="49999"/>
    <cellStyle name="Standaard 8 4 2 4 3 2 2" xfId="50000"/>
    <cellStyle name="Standaard 8 4 2 4 3 3" xfId="50001"/>
    <cellStyle name="Standaard 8 4 2 4 4" xfId="50002"/>
    <cellStyle name="Standaard 8 4 2 4 4 2" xfId="50003"/>
    <cellStyle name="Standaard 8 4 2 4 5" xfId="50004"/>
    <cellStyle name="Standaard 8 4 2 4 6" xfId="50005"/>
    <cellStyle name="Standaard 8 4 2 5" xfId="50006"/>
    <cellStyle name="Standaard 8 4 2 5 2" xfId="50007"/>
    <cellStyle name="Standaard 8 4 2 5 2 2" xfId="50008"/>
    <cellStyle name="Standaard 8 4 2 5 2 2 2" xfId="50009"/>
    <cellStyle name="Standaard 8 4 2 5 2 3" xfId="50010"/>
    <cellStyle name="Standaard 8 4 2 5 3" xfId="50011"/>
    <cellStyle name="Standaard 8 4 2 5 3 2" xfId="50012"/>
    <cellStyle name="Standaard 8 4 2 5 4" xfId="50013"/>
    <cellStyle name="Standaard 8 4 2 6" xfId="50014"/>
    <cellStyle name="Standaard 8 4 2 6 2" xfId="50015"/>
    <cellStyle name="Standaard 8 4 2 6 2 2" xfId="50016"/>
    <cellStyle name="Standaard 8 4 2 6 3" xfId="50017"/>
    <cellStyle name="Standaard 8 4 2 7" xfId="50018"/>
    <cellStyle name="Standaard 8 4 2 7 2" xfId="50019"/>
    <cellStyle name="Standaard 8 4 2 8" xfId="50020"/>
    <cellStyle name="Standaard 8 4 2 9" xfId="50021"/>
    <cellStyle name="Standaard 8 4 3" xfId="50022"/>
    <cellStyle name="Standaard 8 4 3 2" xfId="50023"/>
    <cellStyle name="Standaard 8 4 3 2 2" xfId="50024"/>
    <cellStyle name="Standaard 8 4 3 2 2 2" xfId="50025"/>
    <cellStyle name="Standaard 8 4 3 2 2 2 2" xfId="50026"/>
    <cellStyle name="Standaard 8 4 3 2 2 2 2 2" xfId="50027"/>
    <cellStyle name="Standaard 8 4 3 2 2 2 2 2 2" xfId="50028"/>
    <cellStyle name="Standaard 8 4 3 2 2 2 2 3" xfId="50029"/>
    <cellStyle name="Standaard 8 4 3 2 2 2 3" xfId="50030"/>
    <cellStyle name="Standaard 8 4 3 2 2 2 3 2" xfId="50031"/>
    <cellStyle name="Standaard 8 4 3 2 2 2 4" xfId="50032"/>
    <cellStyle name="Standaard 8 4 3 2 2 3" xfId="50033"/>
    <cellStyle name="Standaard 8 4 3 2 2 3 2" xfId="50034"/>
    <cellStyle name="Standaard 8 4 3 2 2 3 2 2" xfId="50035"/>
    <cellStyle name="Standaard 8 4 3 2 2 3 3" xfId="50036"/>
    <cellStyle name="Standaard 8 4 3 2 2 4" xfId="50037"/>
    <cellStyle name="Standaard 8 4 3 2 2 4 2" xfId="50038"/>
    <cellStyle name="Standaard 8 4 3 2 2 5" xfId="50039"/>
    <cellStyle name="Standaard 8 4 3 2 2 6" xfId="50040"/>
    <cellStyle name="Standaard 8 4 3 2 3" xfId="50041"/>
    <cellStyle name="Standaard 8 4 3 2 3 2" xfId="50042"/>
    <cellStyle name="Standaard 8 4 3 2 3 2 2" xfId="50043"/>
    <cellStyle name="Standaard 8 4 3 2 3 2 2 2" xfId="50044"/>
    <cellStyle name="Standaard 8 4 3 2 3 2 3" xfId="50045"/>
    <cellStyle name="Standaard 8 4 3 2 3 3" xfId="50046"/>
    <cellStyle name="Standaard 8 4 3 2 3 3 2" xfId="50047"/>
    <cellStyle name="Standaard 8 4 3 2 3 4" xfId="50048"/>
    <cellStyle name="Standaard 8 4 3 2 4" xfId="50049"/>
    <cellStyle name="Standaard 8 4 3 2 4 2" xfId="50050"/>
    <cellStyle name="Standaard 8 4 3 2 4 2 2" xfId="50051"/>
    <cellStyle name="Standaard 8 4 3 2 4 3" xfId="50052"/>
    <cellStyle name="Standaard 8 4 3 2 5" xfId="50053"/>
    <cellStyle name="Standaard 8 4 3 2 5 2" xfId="50054"/>
    <cellStyle name="Standaard 8 4 3 2 6" xfId="50055"/>
    <cellStyle name="Standaard 8 4 3 2 7" xfId="50056"/>
    <cellStyle name="Standaard 8 4 3 3" xfId="50057"/>
    <cellStyle name="Standaard 8 4 3 3 2" xfId="50058"/>
    <cellStyle name="Standaard 8 4 3 3 2 2" xfId="50059"/>
    <cellStyle name="Standaard 8 4 3 3 2 2 2" xfId="50060"/>
    <cellStyle name="Standaard 8 4 3 3 2 2 2 2" xfId="50061"/>
    <cellStyle name="Standaard 8 4 3 3 2 2 3" xfId="50062"/>
    <cellStyle name="Standaard 8 4 3 3 2 3" xfId="50063"/>
    <cellStyle name="Standaard 8 4 3 3 2 3 2" xfId="50064"/>
    <cellStyle name="Standaard 8 4 3 3 2 4" xfId="50065"/>
    <cellStyle name="Standaard 8 4 3 3 3" xfId="50066"/>
    <cellStyle name="Standaard 8 4 3 3 3 2" xfId="50067"/>
    <cellStyle name="Standaard 8 4 3 3 3 2 2" xfId="50068"/>
    <cellStyle name="Standaard 8 4 3 3 3 3" xfId="50069"/>
    <cellStyle name="Standaard 8 4 3 3 4" xfId="50070"/>
    <cellStyle name="Standaard 8 4 3 3 4 2" xfId="50071"/>
    <cellStyle name="Standaard 8 4 3 3 5" xfId="50072"/>
    <cellStyle name="Standaard 8 4 3 3 6" xfId="50073"/>
    <cellStyle name="Standaard 8 4 3 4" xfId="50074"/>
    <cellStyle name="Standaard 8 4 3 4 2" xfId="50075"/>
    <cellStyle name="Standaard 8 4 3 4 2 2" xfId="50076"/>
    <cellStyle name="Standaard 8 4 3 4 2 2 2" xfId="50077"/>
    <cellStyle name="Standaard 8 4 3 4 2 3" xfId="50078"/>
    <cellStyle name="Standaard 8 4 3 4 3" xfId="50079"/>
    <cellStyle name="Standaard 8 4 3 4 3 2" xfId="50080"/>
    <cellStyle name="Standaard 8 4 3 4 4" xfId="50081"/>
    <cellStyle name="Standaard 8 4 3 5" xfId="50082"/>
    <cellStyle name="Standaard 8 4 3 5 2" xfId="50083"/>
    <cellStyle name="Standaard 8 4 3 5 2 2" xfId="50084"/>
    <cellStyle name="Standaard 8 4 3 5 3" xfId="50085"/>
    <cellStyle name="Standaard 8 4 3 6" xfId="50086"/>
    <cellStyle name="Standaard 8 4 3 6 2" xfId="50087"/>
    <cellStyle name="Standaard 8 4 3 7" xfId="50088"/>
    <cellStyle name="Standaard 8 4 3 8" xfId="50089"/>
    <cellStyle name="Standaard 8 4 4" xfId="50090"/>
    <cellStyle name="Standaard 8 4 4 2" xfId="50091"/>
    <cellStyle name="Standaard 8 4 4 2 2" xfId="50092"/>
    <cellStyle name="Standaard 8 4 4 2 2 2" xfId="50093"/>
    <cellStyle name="Standaard 8 4 4 2 2 2 2" xfId="50094"/>
    <cellStyle name="Standaard 8 4 4 2 2 2 2 2" xfId="50095"/>
    <cellStyle name="Standaard 8 4 4 2 2 2 2 2 2" xfId="50096"/>
    <cellStyle name="Standaard 8 4 4 2 2 2 2 3" xfId="50097"/>
    <cellStyle name="Standaard 8 4 4 2 2 2 3" xfId="50098"/>
    <cellStyle name="Standaard 8 4 4 2 2 2 3 2" xfId="50099"/>
    <cellStyle name="Standaard 8 4 4 2 2 2 4" xfId="50100"/>
    <cellStyle name="Standaard 8 4 4 2 2 3" xfId="50101"/>
    <cellStyle name="Standaard 8 4 4 2 2 3 2" xfId="50102"/>
    <cellStyle name="Standaard 8 4 4 2 2 3 2 2" xfId="50103"/>
    <cellStyle name="Standaard 8 4 4 2 2 3 3" xfId="50104"/>
    <cellStyle name="Standaard 8 4 4 2 2 4" xfId="50105"/>
    <cellStyle name="Standaard 8 4 4 2 2 4 2" xfId="50106"/>
    <cellStyle name="Standaard 8 4 4 2 2 5" xfId="50107"/>
    <cellStyle name="Standaard 8 4 4 2 2 6" xfId="50108"/>
    <cellStyle name="Standaard 8 4 4 2 3" xfId="50109"/>
    <cellStyle name="Standaard 8 4 4 2 3 2" xfId="50110"/>
    <cellStyle name="Standaard 8 4 4 2 3 2 2" xfId="50111"/>
    <cellStyle name="Standaard 8 4 4 2 3 2 2 2" xfId="50112"/>
    <cellStyle name="Standaard 8 4 4 2 3 2 3" xfId="50113"/>
    <cellStyle name="Standaard 8 4 4 2 3 3" xfId="50114"/>
    <cellStyle name="Standaard 8 4 4 2 3 3 2" xfId="50115"/>
    <cellStyle name="Standaard 8 4 4 2 3 4" xfId="50116"/>
    <cellStyle name="Standaard 8 4 4 2 4" xfId="50117"/>
    <cellStyle name="Standaard 8 4 4 2 4 2" xfId="50118"/>
    <cellStyle name="Standaard 8 4 4 2 4 2 2" xfId="50119"/>
    <cellStyle name="Standaard 8 4 4 2 4 3" xfId="50120"/>
    <cellStyle name="Standaard 8 4 4 2 5" xfId="50121"/>
    <cellStyle name="Standaard 8 4 4 2 5 2" xfId="50122"/>
    <cellStyle name="Standaard 8 4 4 2 6" xfId="50123"/>
    <cellStyle name="Standaard 8 4 4 2 7" xfId="50124"/>
    <cellStyle name="Standaard 8 4 4 3" xfId="50125"/>
    <cellStyle name="Standaard 8 4 4 3 2" xfId="50126"/>
    <cellStyle name="Standaard 8 4 4 3 2 2" xfId="50127"/>
    <cellStyle name="Standaard 8 4 4 3 2 2 2" xfId="50128"/>
    <cellStyle name="Standaard 8 4 4 3 2 2 2 2" xfId="50129"/>
    <cellStyle name="Standaard 8 4 4 3 2 2 3" xfId="50130"/>
    <cellStyle name="Standaard 8 4 4 3 2 3" xfId="50131"/>
    <cellStyle name="Standaard 8 4 4 3 2 3 2" xfId="50132"/>
    <cellStyle name="Standaard 8 4 4 3 2 4" xfId="50133"/>
    <cellStyle name="Standaard 8 4 4 3 3" xfId="50134"/>
    <cellStyle name="Standaard 8 4 4 3 3 2" xfId="50135"/>
    <cellStyle name="Standaard 8 4 4 3 3 2 2" xfId="50136"/>
    <cellStyle name="Standaard 8 4 4 3 3 3" xfId="50137"/>
    <cellStyle name="Standaard 8 4 4 3 4" xfId="50138"/>
    <cellStyle name="Standaard 8 4 4 3 4 2" xfId="50139"/>
    <cellStyle name="Standaard 8 4 4 3 5" xfId="50140"/>
    <cellStyle name="Standaard 8 4 4 3 6" xfId="50141"/>
    <cellStyle name="Standaard 8 4 4 4" xfId="50142"/>
    <cellStyle name="Standaard 8 4 4 4 2" xfId="50143"/>
    <cellStyle name="Standaard 8 4 4 4 2 2" xfId="50144"/>
    <cellStyle name="Standaard 8 4 4 4 2 2 2" xfId="50145"/>
    <cellStyle name="Standaard 8 4 4 4 2 3" xfId="50146"/>
    <cellStyle name="Standaard 8 4 4 4 3" xfId="50147"/>
    <cellStyle name="Standaard 8 4 4 4 3 2" xfId="50148"/>
    <cellStyle name="Standaard 8 4 4 4 4" xfId="50149"/>
    <cellStyle name="Standaard 8 4 4 5" xfId="50150"/>
    <cellStyle name="Standaard 8 4 4 5 2" xfId="50151"/>
    <cellStyle name="Standaard 8 4 4 5 2 2" xfId="50152"/>
    <cellStyle name="Standaard 8 4 4 5 3" xfId="50153"/>
    <cellStyle name="Standaard 8 4 4 6" xfId="50154"/>
    <cellStyle name="Standaard 8 4 4 6 2" xfId="50155"/>
    <cellStyle name="Standaard 8 4 4 7" xfId="50156"/>
    <cellStyle name="Standaard 8 4 4 8" xfId="50157"/>
    <cellStyle name="Standaard 8 4 5" xfId="50158"/>
    <cellStyle name="Standaard 8 4 5 2" xfId="50159"/>
    <cellStyle name="Standaard 8 4 5 2 2" xfId="50160"/>
    <cellStyle name="Standaard 8 4 5 2 2 2" xfId="50161"/>
    <cellStyle name="Standaard 8 4 5 2 2 2 2" xfId="50162"/>
    <cellStyle name="Standaard 8 4 5 2 2 2 2 2" xfId="50163"/>
    <cellStyle name="Standaard 8 4 5 2 2 2 3" xfId="50164"/>
    <cellStyle name="Standaard 8 4 5 2 2 3" xfId="50165"/>
    <cellStyle name="Standaard 8 4 5 2 2 3 2" xfId="50166"/>
    <cellStyle name="Standaard 8 4 5 2 2 4" xfId="50167"/>
    <cellStyle name="Standaard 8 4 5 2 3" xfId="50168"/>
    <cellStyle name="Standaard 8 4 5 2 3 2" xfId="50169"/>
    <cellStyle name="Standaard 8 4 5 2 3 2 2" xfId="50170"/>
    <cellStyle name="Standaard 8 4 5 2 3 3" xfId="50171"/>
    <cellStyle name="Standaard 8 4 5 2 4" xfId="50172"/>
    <cellStyle name="Standaard 8 4 5 2 4 2" xfId="50173"/>
    <cellStyle name="Standaard 8 4 5 2 5" xfId="50174"/>
    <cellStyle name="Standaard 8 4 5 2 6" xfId="50175"/>
    <cellStyle name="Standaard 8 4 5 3" xfId="50176"/>
    <cellStyle name="Standaard 8 4 5 3 2" xfId="50177"/>
    <cellStyle name="Standaard 8 4 5 3 2 2" xfId="50178"/>
    <cellStyle name="Standaard 8 4 5 3 2 2 2" xfId="50179"/>
    <cellStyle name="Standaard 8 4 5 3 2 3" xfId="50180"/>
    <cellStyle name="Standaard 8 4 5 3 3" xfId="50181"/>
    <cellStyle name="Standaard 8 4 5 3 3 2" xfId="50182"/>
    <cellStyle name="Standaard 8 4 5 3 4" xfId="50183"/>
    <cellStyle name="Standaard 8 4 5 4" xfId="50184"/>
    <cellStyle name="Standaard 8 4 5 4 2" xfId="50185"/>
    <cellStyle name="Standaard 8 4 5 4 2 2" xfId="50186"/>
    <cellStyle name="Standaard 8 4 5 4 3" xfId="50187"/>
    <cellStyle name="Standaard 8 4 5 5" xfId="50188"/>
    <cellStyle name="Standaard 8 4 5 5 2" xfId="50189"/>
    <cellStyle name="Standaard 8 4 5 6" xfId="50190"/>
    <cellStyle name="Standaard 8 4 5 7" xfId="50191"/>
    <cellStyle name="Standaard 8 4 6" xfId="50192"/>
    <cellStyle name="Standaard 8 4 6 2" xfId="50193"/>
    <cellStyle name="Standaard 8 4 6 2 2" xfId="50194"/>
    <cellStyle name="Standaard 8 4 6 2 2 2" xfId="50195"/>
    <cellStyle name="Standaard 8 4 6 2 2 2 2" xfId="50196"/>
    <cellStyle name="Standaard 8 4 6 2 2 3" xfId="50197"/>
    <cellStyle name="Standaard 8 4 6 2 3" xfId="50198"/>
    <cellStyle name="Standaard 8 4 6 2 3 2" xfId="50199"/>
    <cellStyle name="Standaard 8 4 6 2 4" xfId="50200"/>
    <cellStyle name="Standaard 8 4 6 3" xfId="50201"/>
    <cellStyle name="Standaard 8 4 6 3 2" xfId="50202"/>
    <cellStyle name="Standaard 8 4 6 3 2 2" xfId="50203"/>
    <cellStyle name="Standaard 8 4 6 3 3" xfId="50204"/>
    <cellStyle name="Standaard 8 4 6 4" xfId="50205"/>
    <cellStyle name="Standaard 8 4 6 4 2" xfId="50206"/>
    <cellStyle name="Standaard 8 4 6 5" xfId="50207"/>
    <cellStyle name="Standaard 8 4 6 6" xfId="50208"/>
    <cellStyle name="Standaard 8 4 7" xfId="50209"/>
    <cellStyle name="Standaard 8 4 7 2" xfId="50210"/>
    <cellStyle name="Standaard 8 4 7 2 2" xfId="50211"/>
    <cellStyle name="Standaard 8 4 7 2 2 2" xfId="50212"/>
    <cellStyle name="Standaard 8 4 7 2 3" xfId="50213"/>
    <cellStyle name="Standaard 8 4 7 3" xfId="50214"/>
    <cellStyle name="Standaard 8 4 7 3 2" xfId="50215"/>
    <cellStyle name="Standaard 8 4 7 4" xfId="50216"/>
    <cellStyle name="Standaard 8 4 8" xfId="50217"/>
    <cellStyle name="Standaard 8 4 8 2" xfId="50218"/>
    <cellStyle name="Standaard 8 4 8 2 2" xfId="50219"/>
    <cellStyle name="Standaard 8 4 8 3" xfId="50220"/>
    <cellStyle name="Standaard 8 4 9" xfId="50221"/>
    <cellStyle name="Standaard 8 4 9 2" xfId="50222"/>
    <cellStyle name="Standaard 8 5" xfId="50223"/>
    <cellStyle name="Standaard 8 5 2" xfId="50224"/>
    <cellStyle name="Standaard 8 5 2 2" xfId="50225"/>
    <cellStyle name="Standaard 8 5 2 2 2" xfId="50226"/>
    <cellStyle name="Standaard 8 5 2 2 2 2" xfId="50227"/>
    <cellStyle name="Standaard 8 5 2 2 2 2 2" xfId="50228"/>
    <cellStyle name="Standaard 8 5 2 2 2 2 2 2" xfId="50229"/>
    <cellStyle name="Standaard 8 5 2 2 2 2 2 2 2" xfId="50230"/>
    <cellStyle name="Standaard 8 5 2 2 2 2 2 3" xfId="50231"/>
    <cellStyle name="Standaard 8 5 2 2 2 2 3" xfId="50232"/>
    <cellStyle name="Standaard 8 5 2 2 2 2 3 2" xfId="50233"/>
    <cellStyle name="Standaard 8 5 2 2 2 2 4" xfId="50234"/>
    <cellStyle name="Standaard 8 5 2 2 2 3" xfId="50235"/>
    <cellStyle name="Standaard 8 5 2 2 2 3 2" xfId="50236"/>
    <cellStyle name="Standaard 8 5 2 2 2 3 2 2" xfId="50237"/>
    <cellStyle name="Standaard 8 5 2 2 2 3 3" xfId="50238"/>
    <cellStyle name="Standaard 8 5 2 2 2 4" xfId="50239"/>
    <cellStyle name="Standaard 8 5 2 2 2 4 2" xfId="50240"/>
    <cellStyle name="Standaard 8 5 2 2 2 5" xfId="50241"/>
    <cellStyle name="Standaard 8 5 2 2 2 6" xfId="50242"/>
    <cellStyle name="Standaard 8 5 2 2 3" xfId="50243"/>
    <cellStyle name="Standaard 8 5 2 2 3 2" xfId="50244"/>
    <cellStyle name="Standaard 8 5 2 2 3 2 2" xfId="50245"/>
    <cellStyle name="Standaard 8 5 2 2 3 2 2 2" xfId="50246"/>
    <cellStyle name="Standaard 8 5 2 2 3 2 3" xfId="50247"/>
    <cellStyle name="Standaard 8 5 2 2 3 3" xfId="50248"/>
    <cellStyle name="Standaard 8 5 2 2 3 3 2" xfId="50249"/>
    <cellStyle name="Standaard 8 5 2 2 3 4" xfId="50250"/>
    <cellStyle name="Standaard 8 5 2 2 4" xfId="50251"/>
    <cellStyle name="Standaard 8 5 2 2 4 2" xfId="50252"/>
    <cellStyle name="Standaard 8 5 2 2 4 2 2" xfId="50253"/>
    <cellStyle name="Standaard 8 5 2 2 4 3" xfId="50254"/>
    <cellStyle name="Standaard 8 5 2 2 5" xfId="50255"/>
    <cellStyle name="Standaard 8 5 2 2 5 2" xfId="50256"/>
    <cellStyle name="Standaard 8 5 2 2 6" xfId="50257"/>
    <cellStyle name="Standaard 8 5 2 2 7" xfId="50258"/>
    <cellStyle name="Standaard 8 5 2 3" xfId="50259"/>
    <cellStyle name="Standaard 8 5 2 3 2" xfId="50260"/>
    <cellStyle name="Standaard 8 5 2 3 2 2" xfId="50261"/>
    <cellStyle name="Standaard 8 5 2 3 2 2 2" xfId="50262"/>
    <cellStyle name="Standaard 8 5 2 3 2 2 2 2" xfId="50263"/>
    <cellStyle name="Standaard 8 5 2 3 2 2 3" xfId="50264"/>
    <cellStyle name="Standaard 8 5 2 3 2 3" xfId="50265"/>
    <cellStyle name="Standaard 8 5 2 3 2 3 2" xfId="50266"/>
    <cellStyle name="Standaard 8 5 2 3 2 4" xfId="50267"/>
    <cellStyle name="Standaard 8 5 2 3 3" xfId="50268"/>
    <cellStyle name="Standaard 8 5 2 3 3 2" xfId="50269"/>
    <cellStyle name="Standaard 8 5 2 3 3 2 2" xfId="50270"/>
    <cellStyle name="Standaard 8 5 2 3 3 3" xfId="50271"/>
    <cellStyle name="Standaard 8 5 2 3 4" xfId="50272"/>
    <cellStyle name="Standaard 8 5 2 3 4 2" xfId="50273"/>
    <cellStyle name="Standaard 8 5 2 3 5" xfId="50274"/>
    <cellStyle name="Standaard 8 5 2 3 6" xfId="50275"/>
    <cellStyle name="Standaard 8 5 2 4" xfId="50276"/>
    <cellStyle name="Standaard 8 5 2 4 2" xfId="50277"/>
    <cellStyle name="Standaard 8 5 2 4 2 2" xfId="50278"/>
    <cellStyle name="Standaard 8 5 2 4 2 2 2" xfId="50279"/>
    <cellStyle name="Standaard 8 5 2 4 2 3" xfId="50280"/>
    <cellStyle name="Standaard 8 5 2 4 3" xfId="50281"/>
    <cellStyle name="Standaard 8 5 2 4 3 2" xfId="50282"/>
    <cellStyle name="Standaard 8 5 2 4 4" xfId="50283"/>
    <cellStyle name="Standaard 8 5 2 5" xfId="50284"/>
    <cellStyle name="Standaard 8 5 2 5 2" xfId="50285"/>
    <cellStyle name="Standaard 8 5 2 5 2 2" xfId="50286"/>
    <cellStyle name="Standaard 8 5 2 5 3" xfId="50287"/>
    <cellStyle name="Standaard 8 5 2 6" xfId="50288"/>
    <cellStyle name="Standaard 8 5 2 6 2" xfId="50289"/>
    <cellStyle name="Standaard 8 5 2 7" xfId="50290"/>
    <cellStyle name="Standaard 8 5 2 8" xfId="50291"/>
    <cellStyle name="Standaard 8 5 3" xfId="50292"/>
    <cellStyle name="Standaard 8 5 3 2" xfId="50293"/>
    <cellStyle name="Standaard 8 5 3 2 2" xfId="50294"/>
    <cellStyle name="Standaard 8 5 3 2 2 2" xfId="50295"/>
    <cellStyle name="Standaard 8 5 3 2 2 2 2" xfId="50296"/>
    <cellStyle name="Standaard 8 5 3 2 2 2 2 2" xfId="50297"/>
    <cellStyle name="Standaard 8 5 3 2 2 2 3" xfId="50298"/>
    <cellStyle name="Standaard 8 5 3 2 2 3" xfId="50299"/>
    <cellStyle name="Standaard 8 5 3 2 2 3 2" xfId="50300"/>
    <cellStyle name="Standaard 8 5 3 2 2 4" xfId="50301"/>
    <cellStyle name="Standaard 8 5 3 2 3" xfId="50302"/>
    <cellStyle name="Standaard 8 5 3 2 3 2" xfId="50303"/>
    <cellStyle name="Standaard 8 5 3 2 3 2 2" xfId="50304"/>
    <cellStyle name="Standaard 8 5 3 2 3 3" xfId="50305"/>
    <cellStyle name="Standaard 8 5 3 2 4" xfId="50306"/>
    <cellStyle name="Standaard 8 5 3 2 4 2" xfId="50307"/>
    <cellStyle name="Standaard 8 5 3 2 5" xfId="50308"/>
    <cellStyle name="Standaard 8 5 3 2 6" xfId="50309"/>
    <cellStyle name="Standaard 8 5 3 3" xfId="50310"/>
    <cellStyle name="Standaard 8 5 3 3 2" xfId="50311"/>
    <cellStyle name="Standaard 8 5 3 3 2 2" xfId="50312"/>
    <cellStyle name="Standaard 8 5 3 3 2 2 2" xfId="50313"/>
    <cellStyle name="Standaard 8 5 3 3 2 3" xfId="50314"/>
    <cellStyle name="Standaard 8 5 3 3 3" xfId="50315"/>
    <cellStyle name="Standaard 8 5 3 3 3 2" xfId="50316"/>
    <cellStyle name="Standaard 8 5 3 3 4" xfId="50317"/>
    <cellStyle name="Standaard 8 5 3 4" xfId="50318"/>
    <cellStyle name="Standaard 8 5 3 4 2" xfId="50319"/>
    <cellStyle name="Standaard 8 5 3 4 2 2" xfId="50320"/>
    <cellStyle name="Standaard 8 5 3 4 3" xfId="50321"/>
    <cellStyle name="Standaard 8 5 3 5" xfId="50322"/>
    <cellStyle name="Standaard 8 5 3 5 2" xfId="50323"/>
    <cellStyle name="Standaard 8 5 3 6" xfId="50324"/>
    <cellStyle name="Standaard 8 5 3 7" xfId="50325"/>
    <cellStyle name="Standaard 8 5 4" xfId="50326"/>
    <cellStyle name="Standaard 8 5 4 2" xfId="50327"/>
    <cellStyle name="Standaard 8 5 4 2 2" xfId="50328"/>
    <cellStyle name="Standaard 8 5 4 2 2 2" xfId="50329"/>
    <cellStyle name="Standaard 8 5 4 2 2 2 2" xfId="50330"/>
    <cellStyle name="Standaard 8 5 4 2 2 3" xfId="50331"/>
    <cellStyle name="Standaard 8 5 4 2 3" xfId="50332"/>
    <cellStyle name="Standaard 8 5 4 2 3 2" xfId="50333"/>
    <cellStyle name="Standaard 8 5 4 2 4" xfId="50334"/>
    <cellStyle name="Standaard 8 5 4 3" xfId="50335"/>
    <cellStyle name="Standaard 8 5 4 3 2" xfId="50336"/>
    <cellStyle name="Standaard 8 5 4 3 2 2" xfId="50337"/>
    <cellStyle name="Standaard 8 5 4 3 3" xfId="50338"/>
    <cellStyle name="Standaard 8 5 4 4" xfId="50339"/>
    <cellStyle name="Standaard 8 5 4 4 2" xfId="50340"/>
    <cellStyle name="Standaard 8 5 4 5" xfId="50341"/>
    <cellStyle name="Standaard 8 5 4 6" xfId="50342"/>
    <cellStyle name="Standaard 8 5 5" xfId="50343"/>
    <cellStyle name="Standaard 8 5 5 2" xfId="50344"/>
    <cellStyle name="Standaard 8 5 5 2 2" xfId="50345"/>
    <cellStyle name="Standaard 8 5 5 2 2 2" xfId="50346"/>
    <cellStyle name="Standaard 8 5 5 2 3" xfId="50347"/>
    <cellStyle name="Standaard 8 5 5 3" xfId="50348"/>
    <cellStyle name="Standaard 8 5 5 3 2" xfId="50349"/>
    <cellStyle name="Standaard 8 5 5 4" xfId="50350"/>
    <cellStyle name="Standaard 8 5 6" xfId="50351"/>
    <cellStyle name="Standaard 8 5 6 2" xfId="50352"/>
    <cellStyle name="Standaard 8 5 6 2 2" xfId="50353"/>
    <cellStyle name="Standaard 8 5 6 3" xfId="50354"/>
    <cellStyle name="Standaard 8 5 7" xfId="50355"/>
    <cellStyle name="Standaard 8 5 7 2" xfId="50356"/>
    <cellStyle name="Standaard 8 5 8" xfId="50357"/>
    <cellStyle name="Standaard 8 5 9" xfId="50358"/>
    <cellStyle name="Standaard 8 6" xfId="50359"/>
    <cellStyle name="Standaard 8 6 2" xfId="50360"/>
    <cellStyle name="Standaard 8 6 2 2" xfId="50361"/>
    <cellStyle name="Standaard 8 6 2 2 2" xfId="50362"/>
    <cellStyle name="Standaard 8 6 2 2 2 2" xfId="50363"/>
    <cellStyle name="Standaard 8 6 2 2 2 2 2" xfId="50364"/>
    <cellStyle name="Standaard 8 6 2 2 2 2 2 2" xfId="50365"/>
    <cellStyle name="Standaard 8 6 2 2 2 2 3" xfId="50366"/>
    <cellStyle name="Standaard 8 6 2 2 2 3" xfId="50367"/>
    <cellStyle name="Standaard 8 6 2 2 2 3 2" xfId="50368"/>
    <cellStyle name="Standaard 8 6 2 2 2 4" xfId="50369"/>
    <cellStyle name="Standaard 8 6 2 2 3" xfId="50370"/>
    <cellStyle name="Standaard 8 6 2 2 3 2" xfId="50371"/>
    <cellStyle name="Standaard 8 6 2 2 3 2 2" xfId="50372"/>
    <cellStyle name="Standaard 8 6 2 2 3 3" xfId="50373"/>
    <cellStyle name="Standaard 8 6 2 2 4" xfId="50374"/>
    <cellStyle name="Standaard 8 6 2 2 4 2" xfId="50375"/>
    <cellStyle name="Standaard 8 6 2 2 5" xfId="50376"/>
    <cellStyle name="Standaard 8 6 2 2 6" xfId="50377"/>
    <cellStyle name="Standaard 8 6 2 3" xfId="50378"/>
    <cellStyle name="Standaard 8 6 2 3 2" xfId="50379"/>
    <cellStyle name="Standaard 8 6 2 3 2 2" xfId="50380"/>
    <cellStyle name="Standaard 8 6 2 3 2 2 2" xfId="50381"/>
    <cellStyle name="Standaard 8 6 2 3 2 3" xfId="50382"/>
    <cellStyle name="Standaard 8 6 2 3 3" xfId="50383"/>
    <cellStyle name="Standaard 8 6 2 3 3 2" xfId="50384"/>
    <cellStyle name="Standaard 8 6 2 3 4" xfId="50385"/>
    <cellStyle name="Standaard 8 6 2 4" xfId="50386"/>
    <cellStyle name="Standaard 8 6 2 4 2" xfId="50387"/>
    <cellStyle name="Standaard 8 6 2 4 2 2" xfId="50388"/>
    <cellStyle name="Standaard 8 6 2 4 3" xfId="50389"/>
    <cellStyle name="Standaard 8 6 2 5" xfId="50390"/>
    <cellStyle name="Standaard 8 6 2 5 2" xfId="50391"/>
    <cellStyle name="Standaard 8 6 2 6" xfId="50392"/>
    <cellStyle name="Standaard 8 6 2 7" xfId="50393"/>
    <cellStyle name="Standaard 8 6 3" xfId="50394"/>
    <cellStyle name="Standaard 8 6 3 2" xfId="50395"/>
    <cellStyle name="Standaard 8 6 3 2 2" xfId="50396"/>
    <cellStyle name="Standaard 8 6 3 2 2 2" xfId="50397"/>
    <cellStyle name="Standaard 8 6 3 2 2 2 2" xfId="50398"/>
    <cellStyle name="Standaard 8 6 3 2 2 3" xfId="50399"/>
    <cellStyle name="Standaard 8 6 3 2 3" xfId="50400"/>
    <cellStyle name="Standaard 8 6 3 2 3 2" xfId="50401"/>
    <cellStyle name="Standaard 8 6 3 2 4" xfId="50402"/>
    <cellStyle name="Standaard 8 6 3 3" xfId="50403"/>
    <cellStyle name="Standaard 8 6 3 3 2" xfId="50404"/>
    <cellStyle name="Standaard 8 6 3 3 2 2" xfId="50405"/>
    <cellStyle name="Standaard 8 6 3 3 3" xfId="50406"/>
    <cellStyle name="Standaard 8 6 3 4" xfId="50407"/>
    <cellStyle name="Standaard 8 6 3 4 2" xfId="50408"/>
    <cellStyle name="Standaard 8 6 3 5" xfId="50409"/>
    <cellStyle name="Standaard 8 6 3 6" xfId="50410"/>
    <cellStyle name="Standaard 8 6 4" xfId="50411"/>
    <cellStyle name="Standaard 8 6 4 2" xfId="50412"/>
    <cellStyle name="Standaard 8 6 4 2 2" xfId="50413"/>
    <cellStyle name="Standaard 8 6 4 2 2 2" xfId="50414"/>
    <cellStyle name="Standaard 8 6 4 2 3" xfId="50415"/>
    <cellStyle name="Standaard 8 6 4 3" xfId="50416"/>
    <cellStyle name="Standaard 8 6 4 3 2" xfId="50417"/>
    <cellStyle name="Standaard 8 6 4 4" xfId="50418"/>
    <cellStyle name="Standaard 8 6 5" xfId="50419"/>
    <cellStyle name="Standaard 8 6 5 2" xfId="50420"/>
    <cellStyle name="Standaard 8 6 5 2 2" xfId="50421"/>
    <cellStyle name="Standaard 8 6 5 3" xfId="50422"/>
    <cellStyle name="Standaard 8 6 6" xfId="50423"/>
    <cellStyle name="Standaard 8 6 6 2" xfId="50424"/>
    <cellStyle name="Standaard 8 6 7" xfId="50425"/>
    <cellStyle name="Standaard 8 6 8" xfId="50426"/>
    <cellStyle name="Standaard 8 7" xfId="50427"/>
    <cellStyle name="Standaard 8 7 2" xfId="50428"/>
    <cellStyle name="Standaard 8 7 2 2" xfId="50429"/>
    <cellStyle name="Standaard 8 7 2 2 2" xfId="50430"/>
    <cellStyle name="Standaard 8 7 2 2 2 2" xfId="50431"/>
    <cellStyle name="Standaard 8 7 2 2 2 2 2" xfId="50432"/>
    <cellStyle name="Standaard 8 7 2 2 2 2 2 2" xfId="50433"/>
    <cellStyle name="Standaard 8 7 2 2 2 2 3" xfId="50434"/>
    <cellStyle name="Standaard 8 7 2 2 2 3" xfId="50435"/>
    <cellStyle name="Standaard 8 7 2 2 2 3 2" xfId="50436"/>
    <cellStyle name="Standaard 8 7 2 2 2 4" xfId="50437"/>
    <cellStyle name="Standaard 8 7 2 2 3" xfId="50438"/>
    <cellStyle name="Standaard 8 7 2 2 3 2" xfId="50439"/>
    <cellStyle name="Standaard 8 7 2 2 3 2 2" xfId="50440"/>
    <cellStyle name="Standaard 8 7 2 2 3 3" xfId="50441"/>
    <cellStyle name="Standaard 8 7 2 2 4" xfId="50442"/>
    <cellStyle name="Standaard 8 7 2 2 4 2" xfId="50443"/>
    <cellStyle name="Standaard 8 7 2 2 5" xfId="50444"/>
    <cellStyle name="Standaard 8 7 2 2 6" xfId="50445"/>
    <cellStyle name="Standaard 8 7 2 3" xfId="50446"/>
    <cellStyle name="Standaard 8 7 2 3 2" xfId="50447"/>
    <cellStyle name="Standaard 8 7 2 3 2 2" xfId="50448"/>
    <cellStyle name="Standaard 8 7 2 3 2 2 2" xfId="50449"/>
    <cellStyle name="Standaard 8 7 2 3 2 3" xfId="50450"/>
    <cellStyle name="Standaard 8 7 2 3 3" xfId="50451"/>
    <cellStyle name="Standaard 8 7 2 3 3 2" xfId="50452"/>
    <cellStyle name="Standaard 8 7 2 3 4" xfId="50453"/>
    <cellStyle name="Standaard 8 7 2 4" xfId="50454"/>
    <cellStyle name="Standaard 8 7 2 4 2" xfId="50455"/>
    <cellStyle name="Standaard 8 7 2 4 2 2" xfId="50456"/>
    <cellStyle name="Standaard 8 7 2 4 3" xfId="50457"/>
    <cellStyle name="Standaard 8 7 2 5" xfId="50458"/>
    <cellStyle name="Standaard 8 7 2 5 2" xfId="50459"/>
    <cellStyle name="Standaard 8 7 2 6" xfId="50460"/>
    <cellStyle name="Standaard 8 7 2 7" xfId="50461"/>
    <cellStyle name="Standaard 8 7 3" xfId="50462"/>
    <cellStyle name="Standaard 8 7 3 2" xfId="50463"/>
    <cellStyle name="Standaard 8 7 3 2 2" xfId="50464"/>
    <cellStyle name="Standaard 8 7 3 2 2 2" xfId="50465"/>
    <cellStyle name="Standaard 8 7 3 2 2 2 2" xfId="50466"/>
    <cellStyle name="Standaard 8 7 3 2 2 3" xfId="50467"/>
    <cellStyle name="Standaard 8 7 3 2 3" xfId="50468"/>
    <cellStyle name="Standaard 8 7 3 2 3 2" xfId="50469"/>
    <cellStyle name="Standaard 8 7 3 2 4" xfId="50470"/>
    <cellStyle name="Standaard 8 7 3 3" xfId="50471"/>
    <cellStyle name="Standaard 8 7 3 3 2" xfId="50472"/>
    <cellStyle name="Standaard 8 7 3 3 2 2" xfId="50473"/>
    <cellStyle name="Standaard 8 7 3 3 3" xfId="50474"/>
    <cellStyle name="Standaard 8 7 3 4" xfId="50475"/>
    <cellStyle name="Standaard 8 7 3 4 2" xfId="50476"/>
    <cellStyle name="Standaard 8 7 3 5" xfId="50477"/>
    <cellStyle name="Standaard 8 7 3 6" xfId="50478"/>
    <cellStyle name="Standaard 8 7 4" xfId="50479"/>
    <cellStyle name="Standaard 8 7 4 2" xfId="50480"/>
    <cellStyle name="Standaard 8 7 4 2 2" xfId="50481"/>
    <cellStyle name="Standaard 8 7 4 2 2 2" xfId="50482"/>
    <cellStyle name="Standaard 8 7 4 2 3" xfId="50483"/>
    <cellStyle name="Standaard 8 7 4 3" xfId="50484"/>
    <cellStyle name="Standaard 8 7 4 3 2" xfId="50485"/>
    <cellStyle name="Standaard 8 7 4 4" xfId="50486"/>
    <cellStyle name="Standaard 8 7 5" xfId="50487"/>
    <cellStyle name="Standaard 8 7 5 2" xfId="50488"/>
    <cellStyle name="Standaard 8 7 5 2 2" xfId="50489"/>
    <cellStyle name="Standaard 8 7 5 3" xfId="50490"/>
    <cellStyle name="Standaard 8 7 6" xfId="50491"/>
    <cellStyle name="Standaard 8 7 6 2" xfId="50492"/>
    <cellStyle name="Standaard 8 7 7" xfId="50493"/>
    <cellStyle name="Standaard 8 7 8" xfId="50494"/>
    <cellStyle name="Standaard 8 8" xfId="50495"/>
    <cellStyle name="Standaard 8 8 2" xfId="50496"/>
    <cellStyle name="Standaard 8 8 2 2" xfId="50497"/>
    <cellStyle name="Standaard 8 8 2 2 2" xfId="50498"/>
    <cellStyle name="Standaard 8 8 2 2 2 2" xfId="50499"/>
    <cellStyle name="Standaard 8 8 2 2 2 2 2" xfId="50500"/>
    <cellStyle name="Standaard 8 8 2 2 2 3" xfId="50501"/>
    <cellStyle name="Standaard 8 8 2 2 3" xfId="50502"/>
    <cellStyle name="Standaard 8 8 2 2 3 2" xfId="50503"/>
    <cellStyle name="Standaard 8 8 2 2 4" xfId="50504"/>
    <cellStyle name="Standaard 8 8 2 3" xfId="50505"/>
    <cellStyle name="Standaard 8 8 2 3 2" xfId="50506"/>
    <cellStyle name="Standaard 8 8 2 3 2 2" xfId="50507"/>
    <cellStyle name="Standaard 8 8 2 3 3" xfId="50508"/>
    <cellStyle name="Standaard 8 8 2 4" xfId="50509"/>
    <cellStyle name="Standaard 8 8 2 4 2" xfId="50510"/>
    <cellStyle name="Standaard 8 8 2 5" xfId="50511"/>
    <cellStyle name="Standaard 8 8 2 6" xfId="50512"/>
    <cellStyle name="Standaard 8 8 3" xfId="50513"/>
    <cellStyle name="Standaard 8 8 3 2" xfId="50514"/>
    <cellStyle name="Standaard 8 8 3 2 2" xfId="50515"/>
    <cellStyle name="Standaard 8 8 3 2 2 2" xfId="50516"/>
    <cellStyle name="Standaard 8 8 3 2 3" xfId="50517"/>
    <cellStyle name="Standaard 8 8 3 3" xfId="50518"/>
    <cellStyle name="Standaard 8 8 3 3 2" xfId="50519"/>
    <cellStyle name="Standaard 8 8 3 4" xfId="50520"/>
    <cellStyle name="Standaard 8 8 4" xfId="50521"/>
    <cellStyle name="Standaard 8 8 4 2" xfId="50522"/>
    <cellStyle name="Standaard 8 8 4 2 2" xfId="50523"/>
    <cellStyle name="Standaard 8 8 4 3" xfId="50524"/>
    <cellStyle name="Standaard 8 8 5" xfId="50525"/>
    <cellStyle name="Standaard 8 8 5 2" xfId="50526"/>
    <cellStyle name="Standaard 8 8 6" xfId="50527"/>
    <cellStyle name="Standaard 8 8 7" xfId="50528"/>
    <cellStyle name="Standaard 8 9" xfId="50529"/>
    <cellStyle name="Standaard 8 9 2" xfId="50530"/>
    <cellStyle name="Standaard 8 9 2 2" xfId="50531"/>
    <cellStyle name="Standaard 8 9 2 2 2" xfId="50532"/>
    <cellStyle name="Standaard 8 9 2 2 2 2" xfId="50533"/>
    <cellStyle name="Standaard 8 9 2 2 3" xfId="50534"/>
    <cellStyle name="Standaard 8 9 2 3" xfId="50535"/>
    <cellStyle name="Standaard 8 9 2 3 2" xfId="50536"/>
    <cellStyle name="Standaard 8 9 2 4" xfId="50537"/>
    <cellStyle name="Standaard 8 9 3" xfId="50538"/>
    <cellStyle name="Standaard 8 9 3 2" xfId="50539"/>
    <cellStyle name="Standaard 8 9 3 2 2" xfId="50540"/>
    <cellStyle name="Standaard 8 9 3 3" xfId="50541"/>
    <cellStyle name="Standaard 8 9 4" xfId="50542"/>
    <cellStyle name="Standaard 8 9 4 2" xfId="50543"/>
    <cellStyle name="Standaard 8 9 5" xfId="50544"/>
    <cellStyle name="Standaard 8 9 6" xfId="50545"/>
    <cellStyle name="Standaard 9" xfId="50546"/>
    <cellStyle name="Standaard 9 2" xfId="50547"/>
  </cellStyles>
  <dxfs count="2">
    <dxf>
      <font>
        <color rgb="FFFF0000"/>
      </font>
    </dxf>
    <dxf>
      <font>
        <color theme="0"/>
      </font>
    </dxf>
  </dxfs>
  <tableStyles count="0" defaultTableStyle="TableStyleMedium2" defaultPivotStyle="PivotStyleLight16"/>
  <colors>
    <mruColors>
      <color rgb="FF69BA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828675</xdr:colOff>
      <xdr:row>1</xdr:row>
      <xdr:rowOff>171450</xdr:rowOff>
    </xdr:from>
    <xdr:to>
      <xdr:col>0</xdr:col>
      <xdr:colOff>1666875</xdr:colOff>
      <xdr:row>1</xdr:row>
      <xdr:rowOff>504825</xdr:rowOff>
    </xdr:to>
    <xdr:pic>
      <xdr:nvPicPr>
        <xdr:cNvPr id="4" name="Afbeelding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8675" y="323850"/>
          <a:ext cx="8382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xdr:row>
      <xdr:rowOff>28575</xdr:rowOff>
    </xdr:from>
    <xdr:to>
      <xdr:col>0</xdr:col>
      <xdr:colOff>733425</xdr:colOff>
      <xdr:row>2</xdr:row>
      <xdr:rowOff>133350</xdr:rowOff>
    </xdr:to>
    <xdr:pic>
      <xdr:nvPicPr>
        <xdr:cNvPr id="5" name="Afbeelding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 y="180975"/>
          <a:ext cx="6762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142875</xdr:colOff>
      <xdr:row>15</xdr:row>
      <xdr:rowOff>47625</xdr:rowOff>
    </xdr:from>
    <xdr:to>
      <xdr:col>0</xdr:col>
      <xdr:colOff>1628775</xdr:colOff>
      <xdr:row>17</xdr:row>
      <xdr:rowOff>104775</xdr:rowOff>
    </xdr:to>
    <xdr:pic>
      <xdr:nvPicPr>
        <xdr:cNvPr id="6" name="Afbeelding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2875" y="2781300"/>
          <a:ext cx="148590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18</xdr:row>
      <xdr:rowOff>9525</xdr:rowOff>
    </xdr:from>
    <xdr:to>
      <xdr:col>0</xdr:col>
      <xdr:colOff>1028700</xdr:colOff>
      <xdr:row>22</xdr:row>
      <xdr:rowOff>66675</xdr:rowOff>
    </xdr:to>
    <xdr:pic>
      <xdr:nvPicPr>
        <xdr:cNvPr id="7" name="Afbeelding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675" y="3171825"/>
          <a:ext cx="96202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1371600</xdr:colOff>
      <xdr:row>40</xdr:row>
      <xdr:rowOff>47625</xdr:rowOff>
    </xdr:from>
    <xdr:to>
      <xdr:col>0</xdr:col>
      <xdr:colOff>1647825</xdr:colOff>
      <xdr:row>41</xdr:row>
      <xdr:rowOff>133351</xdr:rowOff>
    </xdr:to>
    <xdr:sp macro="" textlink="">
      <xdr:nvSpPr>
        <xdr:cNvPr id="8" name="PIJL-OMHOOG 7"/>
        <xdr:cNvSpPr/>
      </xdr:nvSpPr>
      <xdr:spPr>
        <a:xfrm>
          <a:off x="1371600" y="6419850"/>
          <a:ext cx="276225" cy="276226"/>
        </a:xfrm>
        <a:prstGeom prst="upArrow">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0</xdr:colOff>
      <xdr:row>1</xdr:row>
      <xdr:rowOff>523875</xdr:rowOff>
    </xdr:from>
    <xdr:to>
      <xdr:col>13</xdr:col>
      <xdr:colOff>333375</xdr:colOff>
      <xdr:row>7</xdr:row>
      <xdr:rowOff>95250</xdr:rowOff>
    </xdr:to>
    <xdr:sp macro="[0]!CREATEPDF" textlink="">
      <xdr:nvSpPr>
        <xdr:cNvPr id="2" name="Afgeronde rechthoek 1"/>
        <xdr:cNvSpPr/>
      </xdr:nvSpPr>
      <xdr:spPr>
        <a:xfrm>
          <a:off x="6429375" y="676275"/>
          <a:ext cx="1628775" cy="933450"/>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t>PDF MAKEN</a:t>
          </a:r>
        </a:p>
      </xdr:txBody>
    </xdr:sp>
    <xdr:clientData/>
  </xdr:twoCellAnchor>
  <xdr:twoCellAnchor>
    <xdr:from>
      <xdr:col>11</xdr:col>
      <xdr:colOff>0</xdr:colOff>
      <xdr:row>12</xdr:row>
      <xdr:rowOff>57150</xdr:rowOff>
    </xdr:from>
    <xdr:to>
      <xdr:col>13</xdr:col>
      <xdr:colOff>334535</xdr:colOff>
      <xdr:row>18</xdr:row>
      <xdr:rowOff>104775</xdr:rowOff>
    </xdr:to>
    <xdr:sp macro="[0]!MAPOPENEN" textlink="">
      <xdr:nvSpPr>
        <xdr:cNvPr id="9" name="Afgeronde rechthoek 8"/>
        <xdr:cNvSpPr/>
      </xdr:nvSpPr>
      <xdr:spPr>
        <a:xfrm>
          <a:off x="6430536" y="2343150"/>
          <a:ext cx="1630865" cy="939723"/>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t>MAP</a:t>
          </a:r>
          <a:r>
            <a:rPr lang="nl-NL" sz="1100" baseline="0"/>
            <a:t> OPENEN</a:t>
          </a:r>
          <a:endParaRPr lang="nl-NL" sz="1100"/>
        </a:p>
      </xdr:txBody>
    </xdr:sp>
    <xdr:clientData/>
  </xdr:twoCellAnchor>
  <xdr:twoCellAnchor>
    <xdr:from>
      <xdr:col>11</xdr:col>
      <xdr:colOff>0</xdr:colOff>
      <xdr:row>19</xdr:row>
      <xdr:rowOff>123825</xdr:rowOff>
    </xdr:from>
    <xdr:to>
      <xdr:col>13</xdr:col>
      <xdr:colOff>329889</xdr:colOff>
      <xdr:row>22</xdr:row>
      <xdr:rowOff>57149</xdr:rowOff>
    </xdr:to>
    <xdr:sp macro="[0]!COPYFOLDER" textlink="">
      <xdr:nvSpPr>
        <xdr:cNvPr id="10" name="Afgeronde rechthoek 9"/>
        <xdr:cNvSpPr/>
      </xdr:nvSpPr>
      <xdr:spPr>
        <a:xfrm>
          <a:off x="6430536" y="3445959"/>
          <a:ext cx="1626219" cy="36543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t>MAP</a:t>
          </a:r>
          <a:r>
            <a:rPr lang="nl-NL" sz="1100" baseline="0"/>
            <a:t> MAKEN</a:t>
          </a:r>
          <a:endParaRPr lang="nl-NL" sz="1100"/>
        </a:p>
      </xdr:txBody>
    </xdr:sp>
    <xdr:clientData/>
  </xdr:twoCellAnchor>
  <xdr:twoCellAnchor>
    <xdr:from>
      <xdr:col>0</xdr:col>
      <xdr:colOff>1371600</xdr:colOff>
      <xdr:row>40</xdr:row>
      <xdr:rowOff>47625</xdr:rowOff>
    </xdr:from>
    <xdr:to>
      <xdr:col>0</xdr:col>
      <xdr:colOff>1647825</xdr:colOff>
      <xdr:row>41</xdr:row>
      <xdr:rowOff>133351</xdr:rowOff>
    </xdr:to>
    <xdr:sp macro="" textlink="">
      <xdr:nvSpPr>
        <xdr:cNvPr id="12" name="PIJL-OMHOOG 11"/>
        <xdr:cNvSpPr/>
      </xdr:nvSpPr>
      <xdr:spPr>
        <a:xfrm>
          <a:off x="8086725" y="6419850"/>
          <a:ext cx="0" cy="276226"/>
        </a:xfrm>
        <a:prstGeom prst="upArrow">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pageSetUpPr autoPageBreaks="0"/>
  </sheetPr>
  <dimension ref="A1:W70"/>
  <sheetViews>
    <sheetView showGridLines="0" showRowColHeaders="0" tabSelected="1" zoomScale="115" zoomScaleNormal="115" workbookViewId="0">
      <selection activeCell="G37" sqref="G37"/>
    </sheetView>
  </sheetViews>
  <sheetFormatPr defaultRowHeight="11.25" x14ac:dyDescent="0.2"/>
  <cols>
    <col min="1" max="1" width="25.5703125" style="1" customWidth="1"/>
    <col min="2" max="2" width="4.28515625" style="1" customWidth="1"/>
    <col min="3" max="3" width="9.42578125" style="1" customWidth="1"/>
    <col min="4" max="4" width="6" style="1" customWidth="1"/>
    <col min="5" max="5" width="8.85546875" style="1" customWidth="1"/>
    <col min="6" max="6" width="9.85546875" style="1" customWidth="1"/>
    <col min="7" max="7" width="9.5703125" style="2" customWidth="1"/>
    <col min="8" max="8" width="7.7109375" style="1" customWidth="1"/>
    <col min="9" max="10" width="1.5703125" style="1" customWidth="1"/>
    <col min="11" max="11" width="7" style="1" customWidth="1"/>
    <col min="12" max="12" width="9.140625" style="1"/>
    <col min="13" max="13" width="8.85546875" style="1" customWidth="1"/>
    <col min="14" max="14" width="5.42578125" style="1" bestFit="1" customWidth="1"/>
    <col min="15" max="15" width="11.7109375" style="1" bestFit="1" customWidth="1"/>
    <col min="16" max="17" width="13.5703125" style="1" bestFit="1" customWidth="1"/>
    <col min="18" max="18" width="8" style="1" bestFit="1" customWidth="1"/>
    <col min="19" max="30" width="9.140625" style="1"/>
    <col min="31" max="31" width="9.5703125" style="1" bestFit="1" customWidth="1"/>
    <col min="32" max="32" width="12" style="1" bestFit="1" customWidth="1"/>
    <col min="33" max="16384" width="9.140625" style="1"/>
  </cols>
  <sheetData>
    <row r="1" spans="1:23" ht="12" thickBot="1" x14ac:dyDescent="0.25">
      <c r="A1" s="12"/>
      <c r="B1" s="13"/>
      <c r="C1" s="13"/>
      <c r="D1" s="13"/>
      <c r="E1" s="13"/>
      <c r="F1" s="13"/>
      <c r="G1" s="13"/>
      <c r="H1" s="13"/>
      <c r="I1" s="13"/>
      <c r="J1" s="13"/>
      <c r="K1" s="14"/>
      <c r="L1" s="14"/>
      <c r="M1" s="14"/>
      <c r="N1" s="14"/>
      <c r="O1" s="14"/>
      <c r="P1" s="14"/>
      <c r="Q1" s="14"/>
      <c r="R1" s="14"/>
      <c r="S1" s="14"/>
      <c r="T1" s="14"/>
      <c r="U1" s="14"/>
      <c r="V1" s="14"/>
      <c r="W1" s="14"/>
    </row>
    <row r="2" spans="1:23" ht="44.25" customHeight="1" thickBot="1" x14ac:dyDescent="0.5">
      <c r="A2" s="160"/>
      <c r="B2" s="15"/>
      <c r="C2" s="176" t="s">
        <v>24</v>
      </c>
      <c r="D2" s="177"/>
      <c r="E2" s="177"/>
      <c r="F2" s="177"/>
      <c r="G2" s="178"/>
      <c r="H2" s="16"/>
      <c r="I2" s="13"/>
      <c r="J2" s="13"/>
      <c r="K2" s="17"/>
      <c r="L2" s="17"/>
      <c r="M2" s="17"/>
      <c r="N2" s="17"/>
      <c r="O2" s="17"/>
      <c r="P2" s="18"/>
      <c r="Q2" s="17"/>
      <c r="R2" s="19"/>
      <c r="S2" s="14"/>
      <c r="T2" s="14"/>
      <c r="U2" s="14"/>
      <c r="V2" s="14"/>
      <c r="W2" s="14"/>
    </row>
    <row r="3" spans="1:23" ht="15" customHeight="1" thickBot="1" x14ac:dyDescent="0.25">
      <c r="A3" s="161"/>
      <c r="B3" s="20" t="s">
        <v>7</v>
      </c>
      <c r="C3" s="21" t="s">
        <v>9</v>
      </c>
      <c r="D3" s="22" t="s">
        <v>6</v>
      </c>
      <c r="E3" s="23" t="s">
        <v>3</v>
      </c>
      <c r="F3" s="23" t="s">
        <v>4</v>
      </c>
      <c r="G3" s="24" t="s">
        <v>2</v>
      </c>
      <c r="H3" s="25" t="s">
        <v>5</v>
      </c>
      <c r="I3" s="26"/>
      <c r="J3" s="26"/>
      <c r="K3" s="27"/>
      <c r="L3" s="27"/>
      <c r="M3" s="27"/>
      <c r="N3" s="27"/>
      <c r="O3" s="27"/>
      <c r="P3" s="181" t="str">
        <f ca="1">CONCATENATE(B48,A49)</f>
        <v>20-5-2020 13:16:32 Crediteurenadministratie - Team Routeren en Coderen.
BTW-berekening jaarafrekeningen Waternet
Op de jaarafrekeningen van de drinkwaterfacturen van Waternet, is het niet duidelijk of er 6% of 9% BTW berekend moet worden over het reeds betaalde bedrag.
Na overleg met Fiscaal Beheer is er vanuit de Financiële Administratie besloten om bij Waternetfacturen, waarbij sprake is van een jaarafrekening, er vanuit te gaan dat er over het reeds betaalde bedrag 9% BTW is berekend.
Zie de berekening in de bijlage.</v>
      </c>
      <c r="Q3" s="182"/>
      <c r="R3" s="182"/>
      <c r="S3" s="182"/>
      <c r="T3" s="182"/>
      <c r="U3" s="182"/>
      <c r="V3" s="182"/>
      <c r="W3" s="182"/>
    </row>
    <row r="4" spans="1:23" ht="12" customHeight="1" x14ac:dyDescent="0.2">
      <c r="A4" s="28" t="s">
        <v>15</v>
      </c>
      <c r="B4" s="29">
        <v>1</v>
      </c>
      <c r="C4" s="131">
        <v>100</v>
      </c>
      <c r="D4" s="30">
        <v>0.06</v>
      </c>
      <c r="E4" s="9">
        <f>(B4*C4)*I4</f>
        <v>100</v>
      </c>
      <c r="F4" s="9">
        <f>E4*D4</f>
        <v>6</v>
      </c>
      <c r="G4" s="10">
        <f>F4+E4</f>
        <v>106</v>
      </c>
      <c r="H4" s="31">
        <v>0</v>
      </c>
      <c r="I4" s="32">
        <f>100%-H4</f>
        <v>1</v>
      </c>
      <c r="J4" s="32"/>
      <c r="K4" s="33"/>
      <c r="L4" s="33"/>
      <c r="M4" s="33"/>
      <c r="N4" s="33"/>
      <c r="O4" s="33"/>
      <c r="P4" s="182"/>
      <c r="Q4" s="182"/>
      <c r="R4" s="182"/>
      <c r="S4" s="182"/>
      <c r="T4" s="182"/>
      <c r="U4" s="182"/>
      <c r="V4" s="182"/>
      <c r="W4" s="182"/>
    </row>
    <row r="5" spans="1:23" ht="12" customHeight="1" x14ac:dyDescent="0.2">
      <c r="A5" s="34" t="s">
        <v>14</v>
      </c>
      <c r="B5" s="35">
        <v>1</v>
      </c>
      <c r="C5" s="132">
        <v>100</v>
      </c>
      <c r="D5" s="30">
        <v>0.06</v>
      </c>
      <c r="E5" s="9">
        <f t="shared" ref="E5:E6" si="0">(B5*C5)*I5</f>
        <v>100</v>
      </c>
      <c r="F5" s="9">
        <f t="shared" ref="F5:F6" si="1">E5*D5</f>
        <v>6</v>
      </c>
      <c r="G5" s="10">
        <f>F5+E5</f>
        <v>106</v>
      </c>
      <c r="H5" s="31">
        <v>0</v>
      </c>
      <c r="I5" s="32">
        <f>100%-H5</f>
        <v>1</v>
      </c>
      <c r="J5" s="32"/>
      <c r="K5" s="33"/>
      <c r="L5" s="33"/>
      <c r="M5" s="33"/>
      <c r="N5" s="33"/>
      <c r="O5" s="33"/>
      <c r="P5" s="182"/>
      <c r="Q5" s="182"/>
      <c r="R5" s="182"/>
      <c r="S5" s="182"/>
      <c r="T5" s="182"/>
      <c r="U5" s="182"/>
      <c r="V5" s="182"/>
      <c r="W5" s="182"/>
    </row>
    <row r="6" spans="1:23" ht="12" customHeight="1" x14ac:dyDescent="0.2">
      <c r="A6" s="36" t="s">
        <v>16</v>
      </c>
      <c r="B6" s="35">
        <v>1</v>
      </c>
      <c r="C6" s="132">
        <v>100</v>
      </c>
      <c r="D6" s="30">
        <v>0.06</v>
      </c>
      <c r="E6" s="9">
        <f t="shared" si="0"/>
        <v>100</v>
      </c>
      <c r="F6" s="9">
        <f t="shared" si="1"/>
        <v>6</v>
      </c>
      <c r="G6" s="10">
        <f>F6+E6</f>
        <v>106</v>
      </c>
      <c r="H6" s="31">
        <v>0</v>
      </c>
      <c r="I6" s="32">
        <f>100%-H6</f>
        <v>1</v>
      </c>
      <c r="J6" s="32"/>
      <c r="K6" s="33"/>
      <c r="L6" s="33"/>
      <c r="M6" s="33"/>
      <c r="N6" s="33"/>
      <c r="O6" s="33"/>
      <c r="P6" s="182"/>
      <c r="Q6" s="182"/>
      <c r="R6" s="182"/>
      <c r="S6" s="182"/>
      <c r="T6" s="182"/>
      <c r="U6" s="182"/>
      <c r="V6" s="182"/>
      <c r="W6" s="182"/>
    </row>
    <row r="7" spans="1:23" ht="12" customHeight="1" x14ac:dyDescent="0.2">
      <c r="A7" s="34"/>
      <c r="B7" s="37"/>
      <c r="C7" s="38"/>
      <c r="D7" s="158">
        <v>0.06</v>
      </c>
      <c r="E7" s="155">
        <f>SUM(E4:E6)</f>
        <v>300</v>
      </c>
      <c r="F7" s="155">
        <f>SUM(F4:F6)</f>
        <v>18</v>
      </c>
      <c r="G7" s="11">
        <f>ROUND(SUM(G4:G6),2)</f>
        <v>318</v>
      </c>
      <c r="H7" s="40"/>
      <c r="I7" s="32">
        <f>100%-H9</f>
        <v>1</v>
      </c>
      <c r="J7" s="32"/>
      <c r="K7" s="33"/>
      <c r="L7" s="33"/>
      <c r="M7" s="33"/>
      <c r="N7" s="33"/>
      <c r="O7" s="33"/>
      <c r="P7" s="182"/>
      <c r="Q7" s="182"/>
      <c r="R7" s="182"/>
      <c r="S7" s="182"/>
      <c r="T7" s="182"/>
      <c r="U7" s="182"/>
      <c r="V7" s="182"/>
      <c r="W7" s="182"/>
    </row>
    <row r="8" spans="1:23" ht="12" customHeight="1" x14ac:dyDescent="0.2">
      <c r="A8" s="34"/>
      <c r="B8" s="37"/>
      <c r="C8" s="38"/>
      <c r="D8" s="39"/>
      <c r="E8" s="41"/>
      <c r="F8" s="41"/>
      <c r="G8" s="41"/>
      <c r="H8" s="40"/>
      <c r="I8" s="32">
        <f>100%-H10</f>
        <v>1</v>
      </c>
      <c r="J8" s="32"/>
      <c r="K8" s="33"/>
      <c r="L8" s="33"/>
      <c r="M8" s="33"/>
      <c r="N8" s="33"/>
      <c r="O8" s="33"/>
      <c r="P8" s="182"/>
      <c r="Q8" s="182"/>
      <c r="R8" s="182"/>
      <c r="S8" s="182"/>
      <c r="T8" s="182"/>
      <c r="U8" s="182"/>
      <c r="V8" s="182"/>
      <c r="W8" s="182"/>
    </row>
    <row r="9" spans="1:23" ht="12" customHeight="1" x14ac:dyDescent="0.2">
      <c r="A9" s="28" t="s">
        <v>17</v>
      </c>
      <c r="B9" s="35">
        <v>1</v>
      </c>
      <c r="C9" s="132">
        <v>100</v>
      </c>
      <c r="D9" s="42">
        <v>0.09</v>
      </c>
      <c r="E9" s="9">
        <f>(B9*C9)*I9</f>
        <v>100</v>
      </c>
      <c r="F9" s="9">
        <f>E9*D9</f>
        <v>9</v>
      </c>
      <c r="G9" s="10">
        <f>F9+E9</f>
        <v>109</v>
      </c>
      <c r="H9" s="31">
        <v>0</v>
      </c>
      <c r="I9" s="32">
        <f>100%-H9</f>
        <v>1</v>
      </c>
      <c r="J9" s="32"/>
      <c r="K9" s="33"/>
      <c r="L9" s="33"/>
      <c r="M9" s="33"/>
      <c r="N9" s="33"/>
      <c r="O9" s="33"/>
      <c r="P9" s="182"/>
      <c r="Q9" s="182"/>
      <c r="R9" s="182"/>
      <c r="S9" s="182"/>
      <c r="T9" s="182"/>
      <c r="U9" s="182"/>
      <c r="V9" s="182"/>
      <c r="W9" s="182"/>
    </row>
    <row r="10" spans="1:23" ht="12" customHeight="1" x14ac:dyDescent="0.2">
      <c r="A10" s="34" t="s">
        <v>18</v>
      </c>
      <c r="B10" s="35">
        <v>1</v>
      </c>
      <c r="C10" s="132">
        <v>100</v>
      </c>
      <c r="D10" s="42">
        <v>0.09</v>
      </c>
      <c r="E10" s="9">
        <f t="shared" ref="E10:E11" si="2">(B10*C10)*I10</f>
        <v>100</v>
      </c>
      <c r="F10" s="9">
        <f t="shared" ref="F10:F11" si="3">E10*D10</f>
        <v>9</v>
      </c>
      <c r="G10" s="10">
        <f>F10+E10</f>
        <v>109</v>
      </c>
      <c r="H10" s="31">
        <v>0</v>
      </c>
      <c r="I10" s="32">
        <f>100%-H10</f>
        <v>1</v>
      </c>
      <c r="J10" s="32"/>
      <c r="K10" s="33"/>
      <c r="L10" s="33"/>
      <c r="M10" s="33"/>
      <c r="N10" s="33"/>
      <c r="O10" s="33"/>
      <c r="P10" s="182"/>
      <c r="Q10" s="182"/>
      <c r="R10" s="182"/>
      <c r="S10" s="182"/>
      <c r="T10" s="182"/>
      <c r="U10" s="182"/>
      <c r="V10" s="182"/>
      <c r="W10" s="182"/>
    </row>
    <row r="11" spans="1:23" ht="12" customHeight="1" x14ac:dyDescent="0.2">
      <c r="A11" s="36" t="s">
        <v>19</v>
      </c>
      <c r="B11" s="43">
        <v>1</v>
      </c>
      <c r="C11" s="133">
        <v>100</v>
      </c>
      <c r="D11" s="42">
        <v>0.09</v>
      </c>
      <c r="E11" s="9">
        <f t="shared" si="2"/>
        <v>100</v>
      </c>
      <c r="F11" s="9">
        <f t="shared" si="3"/>
        <v>9</v>
      </c>
      <c r="G11" s="10">
        <f>F11+E11</f>
        <v>109</v>
      </c>
      <c r="H11" s="31">
        <v>0</v>
      </c>
      <c r="I11" s="32">
        <f>100%-H11</f>
        <v>1</v>
      </c>
      <c r="J11" s="32"/>
      <c r="K11" s="33"/>
      <c r="L11" s="33"/>
      <c r="M11" s="33"/>
      <c r="N11" s="33"/>
      <c r="O11" s="33"/>
      <c r="P11" s="182"/>
      <c r="Q11" s="182"/>
      <c r="R11" s="182"/>
      <c r="S11" s="182"/>
      <c r="T11" s="182"/>
      <c r="U11" s="182"/>
      <c r="V11" s="182"/>
      <c r="W11" s="182"/>
    </row>
    <row r="12" spans="1:23" ht="12" customHeight="1" x14ac:dyDescent="0.2">
      <c r="A12" s="34"/>
      <c r="B12" s="35"/>
      <c r="C12" s="44">
        <f>ROUND(SUM(G7,G9,G10,G11),2)</f>
        <v>645</v>
      </c>
      <c r="D12" s="42"/>
      <c r="E12" s="9"/>
      <c r="F12" s="9"/>
      <c r="G12" s="45"/>
      <c r="H12" s="46"/>
      <c r="I12" s="47"/>
      <c r="J12" s="48"/>
      <c r="K12" s="33"/>
      <c r="L12" s="33"/>
      <c r="M12" s="33"/>
      <c r="N12" s="33"/>
      <c r="O12" s="33"/>
      <c r="P12" s="182"/>
      <c r="Q12" s="182"/>
      <c r="R12" s="182"/>
      <c r="S12" s="182"/>
      <c r="T12" s="182"/>
      <c r="U12" s="182"/>
      <c r="V12" s="182"/>
      <c r="W12" s="182"/>
    </row>
    <row r="13" spans="1:23" ht="12" customHeight="1" x14ac:dyDescent="0.2">
      <c r="A13" s="49" t="s">
        <v>20</v>
      </c>
      <c r="B13" s="35">
        <v>-1</v>
      </c>
      <c r="C13" s="132">
        <v>100</v>
      </c>
      <c r="D13" s="42">
        <v>0.09</v>
      </c>
      <c r="E13" s="9">
        <f>(G13/J13*100)</f>
        <v>-91.743119266055047</v>
      </c>
      <c r="F13" s="9">
        <f t="shared" ref="F13:F15" si="4">E13*D13</f>
        <v>-8.2568807339449535</v>
      </c>
      <c r="G13" s="45">
        <f>(B13*C13)*I13</f>
        <v>-100</v>
      </c>
      <c r="H13" s="46">
        <v>0</v>
      </c>
      <c r="I13" s="32">
        <f>100%-H13</f>
        <v>1</v>
      </c>
      <c r="J13" s="48">
        <f>(100*D13)+100</f>
        <v>109</v>
      </c>
      <c r="K13" s="33"/>
      <c r="L13" s="33"/>
      <c r="M13" s="33"/>
      <c r="N13" s="33"/>
      <c r="O13" s="33"/>
      <c r="P13" s="182"/>
      <c r="Q13" s="182"/>
      <c r="R13" s="182"/>
      <c r="S13" s="182"/>
      <c r="T13" s="182"/>
      <c r="U13" s="182"/>
      <c r="V13" s="182"/>
      <c r="W13" s="182"/>
    </row>
    <row r="14" spans="1:23" ht="12" customHeight="1" x14ac:dyDescent="0.2">
      <c r="A14" s="49" t="s">
        <v>22</v>
      </c>
      <c r="B14" s="35"/>
      <c r="C14" s="44">
        <f>C12-C13</f>
        <v>545</v>
      </c>
      <c r="D14" s="42"/>
      <c r="E14" s="9"/>
      <c r="F14" s="9"/>
      <c r="G14" s="10"/>
      <c r="H14" s="31"/>
      <c r="I14" s="32"/>
      <c r="J14" s="13"/>
      <c r="K14" s="17"/>
      <c r="L14" s="17"/>
      <c r="M14" s="17"/>
      <c r="N14" s="17"/>
      <c r="O14" s="17"/>
      <c r="P14" s="182"/>
      <c r="Q14" s="182"/>
      <c r="R14" s="182"/>
      <c r="S14" s="182"/>
      <c r="T14" s="182"/>
      <c r="U14" s="182"/>
      <c r="V14" s="182"/>
      <c r="W14" s="182"/>
    </row>
    <row r="15" spans="1:23" ht="12" thickBot="1" x14ac:dyDescent="0.25">
      <c r="A15" s="50" t="s">
        <v>21</v>
      </c>
      <c r="B15" s="51">
        <v>1</v>
      </c>
      <c r="C15" s="134">
        <v>100</v>
      </c>
      <c r="D15" s="42">
        <v>0.09</v>
      </c>
      <c r="E15" s="9">
        <f>(G15/J15*100)</f>
        <v>91.743119266055047</v>
      </c>
      <c r="F15" s="9">
        <f t="shared" si="4"/>
        <v>8.2568807339449535</v>
      </c>
      <c r="G15" s="45">
        <f>(B15*C15)*I15</f>
        <v>100</v>
      </c>
      <c r="H15" s="46">
        <v>0</v>
      </c>
      <c r="I15" s="32">
        <f>100%-H15</f>
        <v>1</v>
      </c>
      <c r="J15" s="48">
        <f>(100*D15)+100</f>
        <v>109</v>
      </c>
      <c r="K15" s="17"/>
      <c r="L15" s="17"/>
      <c r="M15" s="17"/>
      <c r="N15" s="17"/>
      <c r="O15" s="17"/>
      <c r="P15" s="182"/>
      <c r="Q15" s="182"/>
      <c r="R15" s="182"/>
      <c r="S15" s="182"/>
      <c r="T15" s="182"/>
      <c r="U15" s="182"/>
      <c r="V15" s="182"/>
      <c r="W15" s="182"/>
    </row>
    <row r="16" spans="1:23" ht="12.75" x14ac:dyDescent="0.2">
      <c r="A16" s="52"/>
      <c r="B16" s="53"/>
      <c r="C16" s="135"/>
      <c r="D16" s="159">
        <v>0.09</v>
      </c>
      <c r="E16" s="156">
        <f>SUM(E9:E15)</f>
        <v>300</v>
      </c>
      <c r="F16" s="156">
        <f>SUM(F9:F15)</f>
        <v>27</v>
      </c>
      <c r="G16" s="56">
        <f>ROUND(SUM(G9:G15),2)</f>
        <v>327</v>
      </c>
      <c r="H16" s="57"/>
      <c r="I16" s="13"/>
      <c r="J16" s="13"/>
      <c r="K16" s="17"/>
      <c r="L16" s="17"/>
      <c r="M16" s="17"/>
      <c r="N16" s="17"/>
      <c r="O16" s="17"/>
      <c r="P16" s="182"/>
      <c r="Q16" s="182"/>
      <c r="R16" s="182"/>
      <c r="S16" s="182"/>
      <c r="T16" s="182"/>
      <c r="U16" s="182"/>
      <c r="V16" s="182"/>
      <c r="W16" s="182"/>
    </row>
    <row r="17" spans="1:23" x14ac:dyDescent="0.2">
      <c r="A17" s="58"/>
      <c r="B17" s="53"/>
      <c r="C17" s="54"/>
      <c r="D17" s="55"/>
      <c r="E17" s="59"/>
      <c r="F17" s="59"/>
      <c r="G17" s="59"/>
      <c r="H17" s="57"/>
      <c r="I17" s="26"/>
      <c r="J17" s="32"/>
      <c r="K17" s="27"/>
      <c r="L17" s="27"/>
      <c r="M17" s="27"/>
      <c r="N17" s="27"/>
      <c r="O17" s="27"/>
      <c r="P17" s="182"/>
      <c r="Q17" s="182"/>
      <c r="R17" s="182"/>
      <c r="S17" s="182"/>
      <c r="T17" s="182"/>
      <c r="U17" s="182"/>
      <c r="V17" s="182"/>
      <c r="W17" s="182"/>
    </row>
    <row r="18" spans="1:23" ht="11.25" customHeight="1" thickBot="1" x14ac:dyDescent="0.25">
      <c r="A18" s="60"/>
      <c r="B18" s="61"/>
      <c r="C18" s="62"/>
      <c r="D18" s="62"/>
      <c r="E18" s="63" t="s">
        <v>3</v>
      </c>
      <c r="F18" s="63" t="s">
        <v>4</v>
      </c>
      <c r="G18" s="64" t="s">
        <v>2</v>
      </c>
      <c r="H18" s="65"/>
      <c r="I18" s="13"/>
      <c r="J18" s="13"/>
      <c r="K18" s="33"/>
      <c r="L18" s="33"/>
      <c r="M18" s="33"/>
      <c r="N18" s="33"/>
      <c r="O18" s="33"/>
      <c r="P18" s="182"/>
      <c r="Q18" s="182"/>
      <c r="R18" s="182"/>
      <c r="S18" s="182"/>
      <c r="T18" s="182"/>
      <c r="U18" s="182"/>
      <c r="V18" s="182"/>
      <c r="W18" s="182"/>
    </row>
    <row r="19" spans="1:23" ht="15" customHeight="1" thickTop="1" thickBot="1" x14ac:dyDescent="0.25">
      <c r="A19" s="66"/>
      <c r="B19" s="67"/>
      <c r="C19" s="68" t="s">
        <v>0</v>
      </c>
      <c r="D19" s="69"/>
      <c r="E19" s="70">
        <f>SUM(E7,E16)</f>
        <v>600</v>
      </c>
      <c r="F19" s="70">
        <f>SUM(F7,F16)</f>
        <v>45</v>
      </c>
      <c r="G19" s="157">
        <f>ROUND(SUM(G7,G16),2)</f>
        <v>645</v>
      </c>
      <c r="H19" s="16"/>
      <c r="I19" s="13"/>
      <c r="J19" s="71"/>
      <c r="K19" s="33"/>
      <c r="L19" s="33"/>
      <c r="M19" s="33"/>
      <c r="N19" s="33"/>
      <c r="O19" s="33"/>
      <c r="P19" s="182"/>
      <c r="Q19" s="182"/>
      <c r="R19" s="182"/>
      <c r="S19" s="182"/>
      <c r="T19" s="182"/>
      <c r="U19" s="182"/>
      <c r="V19" s="182"/>
      <c r="W19" s="182"/>
    </row>
    <row r="20" spans="1:23" ht="11.25" customHeight="1" thickTop="1" thickBot="1" x14ac:dyDescent="0.25">
      <c r="A20" s="66"/>
      <c r="B20" s="67"/>
      <c r="C20" s="13"/>
      <c r="D20" s="13"/>
      <c r="E20" s="13"/>
      <c r="F20" s="13"/>
      <c r="G20" s="13"/>
      <c r="H20" s="72"/>
      <c r="I20" s="13"/>
      <c r="J20" s="71"/>
      <c r="K20" s="33"/>
      <c r="L20" s="33"/>
      <c r="M20" s="33"/>
      <c r="N20" s="33"/>
      <c r="O20" s="33"/>
      <c r="P20" s="182"/>
      <c r="Q20" s="182"/>
      <c r="R20" s="182"/>
      <c r="S20" s="182"/>
      <c r="T20" s="182"/>
      <c r="U20" s="182"/>
      <c r="V20" s="182"/>
      <c r="W20" s="182"/>
    </row>
    <row r="21" spans="1:23" ht="11.25" customHeight="1" x14ac:dyDescent="0.2">
      <c r="A21" s="66"/>
      <c r="B21" s="73"/>
      <c r="C21" s="74" t="s">
        <v>1</v>
      </c>
      <c r="D21" s="183">
        <v>0</v>
      </c>
      <c r="E21" s="75">
        <f>E19*D21</f>
        <v>0</v>
      </c>
      <c r="F21" s="75">
        <f>F19*D21</f>
        <v>0</v>
      </c>
      <c r="G21" s="75">
        <f>G19*D21</f>
        <v>0</v>
      </c>
      <c r="H21" s="76"/>
      <c r="I21" s="77"/>
      <c r="J21" s="78"/>
      <c r="K21" s="33"/>
      <c r="L21" s="33"/>
      <c r="M21" s="33"/>
      <c r="N21" s="33"/>
      <c r="O21" s="33"/>
      <c r="P21" s="182"/>
      <c r="Q21" s="182"/>
      <c r="R21" s="182"/>
      <c r="S21" s="182"/>
      <c r="T21" s="182"/>
      <c r="U21" s="182"/>
      <c r="V21" s="182"/>
      <c r="W21" s="182"/>
    </row>
    <row r="22" spans="1:23" ht="11.25" customHeight="1" x14ac:dyDescent="0.2">
      <c r="A22" s="66"/>
      <c r="B22" s="79"/>
      <c r="C22" s="80" t="s">
        <v>0</v>
      </c>
      <c r="D22" s="81"/>
      <c r="E22" s="82">
        <f>SUM(E19+E21)</f>
        <v>600</v>
      </c>
      <c r="F22" s="82">
        <f>SUM(F19+F21)</f>
        <v>45</v>
      </c>
      <c r="G22" s="82">
        <f>SUM(G19+G21)</f>
        <v>645</v>
      </c>
      <c r="H22" s="81"/>
      <c r="I22" s="71"/>
      <c r="J22" s="78"/>
      <c r="K22" s="33"/>
      <c r="L22" s="33"/>
      <c r="M22" s="33"/>
      <c r="N22" s="33"/>
      <c r="O22" s="33"/>
      <c r="P22" s="182"/>
      <c r="Q22" s="182"/>
      <c r="R22" s="182"/>
      <c r="S22" s="182"/>
      <c r="T22" s="182"/>
      <c r="U22" s="182"/>
      <c r="V22" s="182"/>
      <c r="W22" s="182"/>
    </row>
    <row r="23" spans="1:23" ht="11.25" customHeight="1" thickBot="1" x14ac:dyDescent="0.25">
      <c r="A23" s="83"/>
      <c r="B23" s="84"/>
      <c r="C23" s="85"/>
      <c r="D23" s="85"/>
      <c r="E23" s="86"/>
      <c r="F23" s="86"/>
      <c r="G23" s="86"/>
      <c r="H23" s="85"/>
      <c r="I23" s="87"/>
      <c r="J23" s="88"/>
      <c r="K23" s="33"/>
      <c r="L23" s="33"/>
      <c r="M23" s="33"/>
      <c r="N23" s="33"/>
      <c r="O23" s="33"/>
      <c r="P23" s="182"/>
      <c r="Q23" s="182"/>
      <c r="R23" s="182"/>
      <c r="S23" s="182"/>
      <c r="T23" s="182"/>
      <c r="U23" s="182"/>
      <c r="V23" s="182"/>
      <c r="W23" s="182"/>
    </row>
    <row r="24" spans="1:23" ht="11.25" customHeight="1" x14ac:dyDescent="0.2">
      <c r="A24" s="14"/>
      <c r="B24" s="14"/>
      <c r="C24" s="136"/>
      <c r="D24" s="14"/>
      <c r="E24" s="14"/>
      <c r="F24" s="14"/>
      <c r="G24" s="89"/>
      <c r="H24" s="14"/>
      <c r="I24" s="14"/>
      <c r="J24" s="14"/>
      <c r="K24" s="33"/>
      <c r="L24" s="33"/>
      <c r="M24" s="33"/>
      <c r="N24" s="33"/>
      <c r="O24" s="33"/>
      <c r="P24" s="182"/>
      <c r="Q24" s="182"/>
      <c r="R24" s="182"/>
      <c r="S24" s="182"/>
      <c r="T24" s="182"/>
      <c r="U24" s="182"/>
      <c r="V24" s="182"/>
      <c r="W24" s="182"/>
    </row>
    <row r="25" spans="1:23" ht="11.25" customHeight="1" x14ac:dyDescent="0.2">
      <c r="A25" s="14"/>
      <c r="B25" s="14"/>
      <c r="C25" s="14"/>
      <c r="D25" s="14"/>
      <c r="E25" s="14"/>
      <c r="F25" s="14"/>
      <c r="G25" s="89"/>
      <c r="H25" s="14"/>
      <c r="I25" s="14"/>
      <c r="J25" s="14"/>
      <c r="K25" s="33"/>
      <c r="L25" s="33"/>
      <c r="M25" s="33"/>
      <c r="N25" s="33"/>
      <c r="O25" s="33"/>
      <c r="P25" s="182"/>
      <c r="Q25" s="182"/>
      <c r="R25" s="182"/>
      <c r="S25" s="182"/>
      <c r="T25" s="182"/>
      <c r="U25" s="182"/>
      <c r="V25" s="182"/>
      <c r="W25" s="182"/>
    </row>
    <row r="26" spans="1:23" ht="11.25" customHeight="1" x14ac:dyDescent="0.2">
      <c r="A26" s="33"/>
      <c r="B26" s="17"/>
      <c r="C26" s="17"/>
      <c r="D26" s="17"/>
      <c r="E26" s="17"/>
      <c r="F26" s="14"/>
      <c r="G26" s="14"/>
      <c r="H26" s="14"/>
      <c r="I26" s="14"/>
      <c r="J26" s="14"/>
      <c r="K26" s="33"/>
      <c r="L26" s="33"/>
      <c r="M26" s="33"/>
      <c r="N26" s="33"/>
      <c r="O26" s="33"/>
      <c r="P26" s="33"/>
      <c r="Q26" s="33"/>
      <c r="R26" s="90"/>
      <c r="S26" s="14"/>
      <c r="T26" s="14"/>
      <c r="U26" s="14"/>
      <c r="V26" s="14"/>
      <c r="W26" s="14"/>
    </row>
    <row r="27" spans="1:23" ht="11.25" customHeight="1" x14ac:dyDescent="0.2">
      <c r="A27" s="14"/>
      <c r="B27" s="91"/>
      <c r="C27" s="14"/>
      <c r="D27" s="14"/>
      <c r="E27" s="92" t="s">
        <v>4</v>
      </c>
      <c r="F27" s="92"/>
      <c r="G27" s="92" t="s">
        <v>3</v>
      </c>
      <c r="H27" s="92" t="s">
        <v>2</v>
      </c>
      <c r="I27" s="14"/>
      <c r="J27" s="91">
        <v>0</v>
      </c>
      <c r="K27" s="33"/>
      <c r="L27" s="33"/>
      <c r="M27" s="33"/>
      <c r="N27" s="33"/>
      <c r="O27" s="33"/>
      <c r="P27" s="33"/>
      <c r="Q27" s="33"/>
      <c r="R27" s="90"/>
      <c r="S27" s="14"/>
      <c r="T27" s="14"/>
      <c r="U27" s="14"/>
      <c r="V27" s="14"/>
      <c r="W27" s="14"/>
    </row>
    <row r="28" spans="1:23" x14ac:dyDescent="0.2">
      <c r="A28" s="14"/>
      <c r="B28" s="91"/>
      <c r="C28" s="14"/>
      <c r="D28" s="14"/>
      <c r="E28" s="154">
        <v>6</v>
      </c>
      <c r="F28" s="93">
        <v>0.06</v>
      </c>
      <c r="G28" s="94">
        <f>E28/6*100</f>
        <v>100</v>
      </c>
      <c r="H28" s="94">
        <f>E28/6*106</f>
        <v>106</v>
      </c>
      <c r="I28" s="14"/>
      <c r="J28" s="91">
        <v>0.01</v>
      </c>
      <c r="K28" s="14"/>
      <c r="L28" s="17"/>
      <c r="M28" s="17"/>
      <c r="N28" s="17"/>
      <c r="O28" s="17"/>
      <c r="P28" s="17"/>
      <c r="Q28" s="17"/>
      <c r="R28" s="17"/>
      <c r="S28" s="19"/>
      <c r="T28" s="14"/>
      <c r="U28" s="14"/>
      <c r="V28" s="14"/>
      <c r="W28" s="14"/>
    </row>
    <row r="29" spans="1:23" x14ac:dyDescent="0.2">
      <c r="A29" s="14"/>
      <c r="B29" s="91"/>
      <c r="C29" s="14"/>
      <c r="D29" s="14"/>
      <c r="E29" s="154">
        <v>9</v>
      </c>
      <c r="F29" s="93">
        <v>0.09</v>
      </c>
      <c r="G29" s="94">
        <f>E29/9*100</f>
        <v>100</v>
      </c>
      <c r="H29" s="94">
        <f>E29/9*109</f>
        <v>109</v>
      </c>
      <c r="I29" s="14"/>
      <c r="J29" s="91">
        <v>0.02</v>
      </c>
      <c r="K29" s="14"/>
      <c r="L29" s="17"/>
      <c r="M29" s="17"/>
      <c r="N29" s="17"/>
      <c r="O29" s="17"/>
      <c r="P29" s="17"/>
      <c r="Q29" s="17"/>
      <c r="R29" s="17"/>
      <c r="S29" s="17"/>
      <c r="T29" s="19"/>
      <c r="U29" s="14"/>
      <c r="V29" s="14"/>
      <c r="W29" s="14"/>
    </row>
    <row r="30" spans="1:23" x14ac:dyDescent="0.2">
      <c r="A30" s="14"/>
      <c r="B30" s="91"/>
      <c r="C30" s="14"/>
      <c r="D30" s="14"/>
      <c r="E30" s="154">
        <v>21</v>
      </c>
      <c r="F30" s="93">
        <v>0.21</v>
      </c>
      <c r="G30" s="94">
        <f>E30/21*100</f>
        <v>100</v>
      </c>
      <c r="H30" s="94">
        <f>E30/21*121</f>
        <v>121</v>
      </c>
      <c r="I30" s="14"/>
      <c r="J30" s="91">
        <v>0.03</v>
      </c>
      <c r="K30" s="14"/>
      <c r="L30" s="14"/>
      <c r="M30" s="14"/>
      <c r="N30" s="14"/>
      <c r="O30" s="14"/>
      <c r="P30" s="17"/>
      <c r="Q30" s="17"/>
      <c r="R30" s="17"/>
      <c r="S30" s="17"/>
      <c r="T30" s="19"/>
      <c r="U30" s="14"/>
      <c r="V30" s="14"/>
      <c r="W30" s="14"/>
    </row>
    <row r="31" spans="1:23" x14ac:dyDescent="0.2">
      <c r="A31" s="14"/>
      <c r="B31" s="91"/>
      <c r="C31" s="14"/>
      <c r="D31" s="14"/>
      <c r="E31" s="14"/>
      <c r="F31" s="14"/>
      <c r="G31" s="89"/>
      <c r="H31" s="14"/>
      <c r="I31" s="14"/>
      <c r="J31" s="91">
        <v>0.04</v>
      </c>
      <c r="K31" s="14"/>
      <c r="L31" s="14"/>
      <c r="M31" s="14"/>
      <c r="N31" s="14"/>
      <c r="O31" s="14"/>
      <c r="P31" s="27"/>
      <c r="Q31" s="27"/>
      <c r="R31" s="27"/>
      <c r="S31" s="27"/>
      <c r="T31" s="95"/>
      <c r="U31" s="14"/>
      <c r="V31" s="14"/>
      <c r="W31" s="14"/>
    </row>
    <row r="32" spans="1:23" x14ac:dyDescent="0.2">
      <c r="A32" s="14"/>
      <c r="B32" s="91"/>
      <c r="C32" s="14"/>
      <c r="D32" s="14"/>
      <c r="E32" s="14"/>
      <c r="F32" s="14"/>
      <c r="G32" s="89"/>
      <c r="H32" s="14"/>
      <c r="I32" s="14"/>
      <c r="J32" s="91">
        <v>0.05</v>
      </c>
      <c r="K32" s="14"/>
      <c r="L32" s="14"/>
      <c r="M32" s="14"/>
      <c r="N32" s="14"/>
      <c r="O32" s="14"/>
      <c r="P32" s="33"/>
      <c r="Q32" s="33"/>
      <c r="R32" s="33"/>
      <c r="S32" s="33"/>
      <c r="T32" s="90"/>
      <c r="U32" s="14"/>
      <c r="V32" s="14"/>
      <c r="W32" s="14"/>
    </row>
    <row r="33" spans="1:23" x14ac:dyDescent="0.2">
      <c r="A33" s="14"/>
      <c r="B33" s="91"/>
      <c r="C33" s="14"/>
      <c r="D33" s="14"/>
      <c r="E33" s="96" t="s">
        <v>13</v>
      </c>
      <c r="F33" s="96"/>
      <c r="G33" s="96"/>
      <c r="H33" s="14"/>
      <c r="I33" s="14"/>
      <c r="J33" s="91">
        <v>0.06</v>
      </c>
      <c r="K33" s="14"/>
      <c r="L33" s="14"/>
      <c r="M33" s="14"/>
      <c r="N33" s="14"/>
      <c r="O33" s="14"/>
      <c r="P33" s="33"/>
      <c r="Q33" s="33"/>
      <c r="R33" s="33"/>
      <c r="S33" s="33"/>
      <c r="T33" s="90"/>
      <c r="U33" s="14"/>
      <c r="V33" s="14"/>
      <c r="W33" s="14"/>
    </row>
    <row r="34" spans="1:23" x14ac:dyDescent="0.2">
      <c r="A34" s="14"/>
      <c r="B34" s="91"/>
      <c r="C34" s="14"/>
      <c r="D34" s="14"/>
      <c r="E34" s="97" t="s">
        <v>12</v>
      </c>
      <c r="F34" s="97" t="s">
        <v>0</v>
      </c>
      <c r="G34" s="97" t="s">
        <v>11</v>
      </c>
      <c r="H34" s="14"/>
      <c r="I34" s="98">
        <v>0.06</v>
      </c>
      <c r="J34" s="91">
        <v>7.0000000000000007E-2</v>
      </c>
      <c r="K34" s="14"/>
      <c r="L34" s="14"/>
      <c r="M34" s="14"/>
      <c r="N34" s="14"/>
      <c r="O34" s="14"/>
      <c r="P34" s="33"/>
      <c r="Q34" s="33"/>
      <c r="R34" s="33"/>
      <c r="S34" s="33"/>
      <c r="T34" s="90"/>
      <c r="U34" s="14"/>
      <c r="V34" s="14"/>
      <c r="W34" s="14"/>
    </row>
    <row r="35" spans="1:23" x14ac:dyDescent="0.2">
      <c r="A35" s="14"/>
      <c r="B35" s="91"/>
      <c r="C35" s="14"/>
      <c r="D35" s="14"/>
      <c r="E35" s="151">
        <v>50</v>
      </c>
      <c r="F35" s="151">
        <v>100</v>
      </c>
      <c r="G35" s="99">
        <f>E35/F35</f>
        <v>0.5</v>
      </c>
      <c r="H35" s="14"/>
      <c r="I35" s="98">
        <v>0.09</v>
      </c>
      <c r="J35" s="91">
        <v>0.08</v>
      </c>
      <c r="K35" s="14"/>
      <c r="L35" s="33"/>
      <c r="M35" s="33"/>
      <c r="N35" s="33"/>
      <c r="O35" s="33"/>
      <c r="P35" s="33"/>
      <c r="Q35" s="33"/>
      <c r="R35" s="33"/>
      <c r="S35" s="33"/>
      <c r="T35" s="90"/>
      <c r="U35" s="14"/>
      <c r="V35" s="14"/>
      <c r="W35" s="14"/>
    </row>
    <row r="36" spans="1:23" x14ac:dyDescent="0.2">
      <c r="A36" s="14"/>
      <c r="B36" s="91"/>
      <c r="C36" s="100"/>
      <c r="D36" s="101"/>
      <c r="E36" s="102">
        <f>(F36*G36)</f>
        <v>50</v>
      </c>
      <c r="F36" s="151">
        <v>100</v>
      </c>
      <c r="G36" s="152">
        <v>0.5</v>
      </c>
      <c r="H36" s="14"/>
      <c r="I36" s="14"/>
      <c r="J36" s="91">
        <v>0.09</v>
      </c>
      <c r="K36" s="14"/>
      <c r="L36" s="33"/>
      <c r="M36" s="33"/>
      <c r="N36" s="33"/>
      <c r="O36" s="33"/>
      <c r="P36" s="33"/>
      <c r="Q36" s="33"/>
      <c r="R36" s="33"/>
      <c r="S36" s="33"/>
      <c r="T36" s="90"/>
      <c r="U36" s="14"/>
      <c r="V36" s="14"/>
      <c r="W36" s="14"/>
    </row>
    <row r="37" spans="1:23" x14ac:dyDescent="0.2">
      <c r="A37" s="14"/>
      <c r="B37" s="91"/>
      <c r="C37" s="100"/>
      <c r="D37" s="101"/>
      <c r="E37" s="153">
        <v>50</v>
      </c>
      <c r="F37" s="103">
        <f>(E37/G37)</f>
        <v>100</v>
      </c>
      <c r="G37" s="152">
        <v>0.5</v>
      </c>
      <c r="H37" s="14"/>
      <c r="I37" s="14"/>
      <c r="J37" s="91">
        <v>0.1</v>
      </c>
      <c r="K37" s="14"/>
      <c r="L37" s="33"/>
      <c r="M37" s="33"/>
      <c r="N37" s="33"/>
      <c r="O37" s="33"/>
      <c r="P37" s="33"/>
      <c r="Q37" s="33"/>
      <c r="R37" s="33"/>
      <c r="S37" s="33"/>
      <c r="T37" s="90"/>
      <c r="U37" s="14"/>
      <c r="V37" s="14"/>
      <c r="W37" s="14"/>
    </row>
    <row r="38" spans="1:23" x14ac:dyDescent="0.2">
      <c r="A38" s="14"/>
      <c r="B38" s="91"/>
      <c r="C38" s="14"/>
      <c r="D38" s="14"/>
      <c r="E38" s="14"/>
      <c r="F38" s="14"/>
      <c r="G38" s="14"/>
      <c r="H38" s="14"/>
      <c r="I38" s="14"/>
      <c r="J38" s="91">
        <v>0.11</v>
      </c>
      <c r="K38" s="14"/>
      <c r="L38" s="33"/>
      <c r="M38" s="33"/>
      <c r="N38" s="33"/>
      <c r="O38" s="33"/>
      <c r="P38" s="33"/>
      <c r="Q38" s="33"/>
      <c r="R38" s="33"/>
      <c r="S38" s="33"/>
      <c r="T38" s="90"/>
      <c r="U38" s="14"/>
      <c r="V38" s="14"/>
      <c r="W38" s="14"/>
    </row>
    <row r="39" spans="1:23" ht="12" thickBot="1" x14ac:dyDescent="0.25">
      <c r="A39" s="14"/>
      <c r="B39" s="14"/>
      <c r="C39" s="14"/>
      <c r="D39" s="14"/>
      <c r="E39" s="14"/>
      <c r="F39" s="14"/>
      <c r="G39" s="14"/>
      <c r="H39" s="14"/>
      <c r="I39" s="14"/>
      <c r="J39" s="33"/>
      <c r="K39" s="14"/>
      <c r="L39" s="33"/>
      <c r="M39" s="33"/>
      <c r="N39" s="33"/>
      <c r="O39" s="33"/>
      <c r="P39" s="33"/>
      <c r="Q39" s="33"/>
      <c r="R39" s="33"/>
      <c r="S39" s="33"/>
      <c r="T39" s="90"/>
      <c r="U39" s="14"/>
      <c r="V39" s="14"/>
      <c r="W39" s="14"/>
    </row>
    <row r="40" spans="1:23" ht="15.75" thickBot="1" x14ac:dyDescent="0.3">
      <c r="A40" s="150">
        <v>0</v>
      </c>
      <c r="B40" s="173" t="s">
        <v>4</v>
      </c>
      <c r="C40" s="174"/>
      <c r="D40" s="104" t="s">
        <v>2</v>
      </c>
      <c r="E40" s="105" t="s">
        <v>4</v>
      </c>
      <c r="F40" s="173" t="s">
        <v>10</v>
      </c>
      <c r="G40" s="174"/>
      <c r="H40" s="104" t="s">
        <v>3</v>
      </c>
      <c r="I40" s="106"/>
      <c r="J40" s="106"/>
      <c r="K40" s="106"/>
      <c r="L40" s="137" t="s">
        <v>23</v>
      </c>
      <c r="M40" s="138"/>
      <c r="N40" s="139"/>
      <c r="O40" s="168"/>
      <c r="P40" s="169"/>
      <c r="Q40" s="107"/>
      <c r="R40" s="108"/>
      <c r="S40" s="170"/>
      <c r="T40" s="170"/>
      <c r="U40" s="107"/>
      <c r="V40" s="14"/>
      <c r="W40" s="14"/>
    </row>
    <row r="41" spans="1:23" ht="15" x14ac:dyDescent="0.25">
      <c r="A41" s="162"/>
      <c r="B41" s="109">
        <v>0.06</v>
      </c>
      <c r="C41" s="110">
        <f>A40*B41</f>
        <v>0</v>
      </c>
      <c r="D41" s="111">
        <f>A40+C41</f>
        <v>0</v>
      </c>
      <c r="E41" s="162">
        <f>A40</f>
        <v>0</v>
      </c>
      <c r="F41" s="112">
        <v>0.06</v>
      </c>
      <c r="G41" s="110">
        <f>E41/6*100</f>
        <v>0</v>
      </c>
      <c r="H41" s="111">
        <f>G41-E41</f>
        <v>0</v>
      </c>
      <c r="I41" s="106"/>
      <c r="J41" s="106"/>
      <c r="K41" s="106"/>
      <c r="L41" s="140"/>
      <c r="M41" s="141"/>
      <c r="N41" s="166"/>
      <c r="O41" s="142"/>
      <c r="P41" s="143"/>
      <c r="Q41" s="114"/>
      <c r="R41" s="115"/>
      <c r="S41" s="113"/>
      <c r="T41" s="114"/>
      <c r="U41" s="114"/>
      <c r="V41" s="14"/>
      <c r="W41" s="14"/>
    </row>
    <row r="42" spans="1:23" ht="15.75" thickBot="1" x14ac:dyDescent="0.3">
      <c r="A42" s="163"/>
      <c r="B42" s="116">
        <v>0.21</v>
      </c>
      <c r="C42" s="117">
        <f>A40*B42</f>
        <v>0</v>
      </c>
      <c r="D42" s="111">
        <f>A40+C42</f>
        <v>0</v>
      </c>
      <c r="E42" s="163"/>
      <c r="F42" s="118">
        <v>0.21</v>
      </c>
      <c r="G42" s="117">
        <f>E41/21*100</f>
        <v>0</v>
      </c>
      <c r="H42" s="111">
        <f>G42-E41</f>
        <v>0</v>
      </c>
      <c r="I42" s="106"/>
      <c r="J42" s="106"/>
      <c r="K42" s="106"/>
      <c r="L42" s="140"/>
      <c r="M42" s="141"/>
      <c r="N42" s="166"/>
      <c r="O42" s="142"/>
      <c r="P42" s="143"/>
      <c r="Q42" s="114"/>
      <c r="R42" s="115"/>
      <c r="S42" s="113"/>
      <c r="T42" s="114"/>
      <c r="U42" s="114"/>
      <c r="V42" s="14"/>
      <c r="W42" s="14"/>
    </row>
    <row r="43" spans="1:23" ht="15.75" thickBot="1" x14ac:dyDescent="0.3">
      <c r="A43" s="104" t="s">
        <v>2</v>
      </c>
      <c r="B43" s="175" t="s">
        <v>4</v>
      </c>
      <c r="C43" s="175"/>
      <c r="D43" s="119" t="s">
        <v>3</v>
      </c>
      <c r="E43" s="105" t="s">
        <v>4</v>
      </c>
      <c r="F43" s="179" t="s">
        <v>8</v>
      </c>
      <c r="G43" s="180"/>
      <c r="H43" s="120" t="s">
        <v>3</v>
      </c>
      <c r="I43" s="106"/>
      <c r="J43" s="106"/>
      <c r="K43" s="106"/>
      <c r="L43" s="140"/>
      <c r="M43" s="144"/>
      <c r="N43" s="145"/>
      <c r="O43" s="171"/>
      <c r="P43" s="172"/>
      <c r="Q43" s="107"/>
      <c r="R43" s="108"/>
      <c r="S43" s="170"/>
      <c r="T43" s="170"/>
      <c r="U43" s="114"/>
      <c r="V43" s="14"/>
      <c r="W43" s="14"/>
    </row>
    <row r="44" spans="1:23" ht="15" x14ac:dyDescent="0.25">
      <c r="A44" s="162">
        <f>A40</f>
        <v>0</v>
      </c>
      <c r="B44" s="109">
        <v>0.09</v>
      </c>
      <c r="C44" s="121">
        <f>A44/106*6</f>
        <v>0</v>
      </c>
      <c r="D44" s="122">
        <f>A44-C44</f>
        <v>0</v>
      </c>
      <c r="E44" s="162">
        <f>A40</f>
        <v>0</v>
      </c>
      <c r="F44" s="123">
        <v>0.06</v>
      </c>
      <c r="G44" s="124">
        <f>E44/6*106</f>
        <v>0</v>
      </c>
      <c r="H44" s="122">
        <f>G44-E44</f>
        <v>0</v>
      </c>
      <c r="I44" s="106"/>
      <c r="J44" s="106"/>
      <c r="K44" s="106"/>
      <c r="L44" s="140"/>
      <c r="M44" s="144"/>
      <c r="N44" s="166"/>
      <c r="O44" s="142"/>
      <c r="P44" s="143"/>
      <c r="Q44" s="114"/>
      <c r="R44" s="115"/>
      <c r="S44" s="113"/>
      <c r="T44" s="114"/>
      <c r="U44" s="114"/>
      <c r="V44" s="14"/>
      <c r="W44" s="14"/>
    </row>
    <row r="45" spans="1:23" ht="15.75" thickBot="1" x14ac:dyDescent="0.3">
      <c r="A45" s="163"/>
      <c r="B45" s="125">
        <v>0.21</v>
      </c>
      <c r="C45" s="126">
        <f>A44/121*21</f>
        <v>0</v>
      </c>
      <c r="D45" s="127">
        <f>A44-C45</f>
        <v>0</v>
      </c>
      <c r="E45" s="163"/>
      <c r="F45" s="128">
        <v>0.21</v>
      </c>
      <c r="G45" s="129">
        <f>E44/21*121</f>
        <v>0</v>
      </c>
      <c r="H45" s="127">
        <f>G45-E44</f>
        <v>0</v>
      </c>
      <c r="I45" s="106"/>
      <c r="J45" s="106"/>
      <c r="K45" s="106"/>
      <c r="L45" s="146"/>
      <c r="M45" s="147"/>
      <c r="N45" s="167"/>
      <c r="O45" s="148"/>
      <c r="P45" s="149"/>
      <c r="Q45" s="114"/>
      <c r="R45" s="115"/>
      <c r="S45" s="113"/>
      <c r="T45" s="114"/>
      <c r="U45" s="114"/>
      <c r="V45" s="14"/>
      <c r="W45" s="14"/>
    </row>
    <row r="46" spans="1:23" x14ac:dyDescent="0.2">
      <c r="A46" s="14"/>
      <c r="B46" s="14"/>
      <c r="C46" s="14"/>
      <c r="D46" s="14"/>
      <c r="E46" s="14"/>
      <c r="F46" s="14"/>
      <c r="G46" s="14"/>
      <c r="H46" s="14"/>
      <c r="I46" s="14"/>
      <c r="J46" s="14"/>
      <c r="K46" s="17"/>
      <c r="L46" s="17"/>
      <c r="M46" s="17"/>
      <c r="N46" s="17"/>
      <c r="O46" s="17"/>
      <c r="P46" s="17"/>
      <c r="Q46" s="17"/>
      <c r="R46" s="130"/>
      <c r="S46" s="14"/>
      <c r="T46" s="14"/>
      <c r="U46" s="14"/>
      <c r="V46" s="14"/>
      <c r="W46" s="14"/>
    </row>
    <row r="47" spans="1:23" ht="15" x14ac:dyDescent="0.25">
      <c r="A47"/>
      <c r="B47"/>
      <c r="C47"/>
      <c r="D47"/>
      <c r="E47"/>
      <c r="F47"/>
      <c r="G47"/>
      <c r="H47"/>
      <c r="I47" s="4"/>
      <c r="J47" s="4"/>
      <c r="K47" s="3"/>
      <c r="L47" s="3"/>
      <c r="M47" s="3"/>
      <c r="N47" s="3"/>
      <c r="O47" s="3"/>
      <c r="P47" s="3"/>
      <c r="Q47" s="3"/>
      <c r="R47" s="6"/>
    </row>
    <row r="48" spans="1:23" ht="15" x14ac:dyDescent="0.25">
      <c r="A48" s="7">
        <f ca="1">NOW()</f>
        <v>43971.553150694446</v>
      </c>
      <c r="B48" s="5" t="str">
        <f ca="1">TEXT(A48,"d-m-jjjj uu:mm:ss")</f>
        <v>20-5-2020 13:16:32</v>
      </c>
      <c r="C48" s="5"/>
      <c r="D48" s="5"/>
      <c r="E48" s="5"/>
      <c r="F48" s="5"/>
      <c r="G48" s="5"/>
      <c r="H48" s="5"/>
      <c r="I48" s="5"/>
      <c r="J48" s="5"/>
      <c r="K48" s="8"/>
      <c r="L48" s="8"/>
      <c r="M48" s="8"/>
      <c r="N48" s="8"/>
      <c r="O48" s="8"/>
      <c r="P48" s="8"/>
      <c r="Q48" s="8"/>
    </row>
    <row r="49" spans="1:17" x14ac:dyDescent="0.2">
      <c r="A49" s="164" t="s">
        <v>25</v>
      </c>
      <c r="B49" s="165"/>
      <c r="C49" s="165"/>
      <c r="D49" s="165"/>
      <c r="E49" s="165"/>
      <c r="F49" s="165"/>
      <c r="G49" s="165"/>
      <c r="H49" s="165"/>
      <c r="I49" s="165"/>
      <c r="J49" s="165"/>
      <c r="K49" s="165"/>
      <c r="L49" s="165"/>
      <c r="M49" s="165"/>
      <c r="N49" s="165"/>
      <c r="O49" s="165"/>
      <c r="P49" s="165"/>
      <c r="Q49" s="165"/>
    </row>
    <row r="50" spans="1:17" x14ac:dyDescent="0.2">
      <c r="A50" s="165"/>
      <c r="B50" s="165"/>
      <c r="C50" s="165"/>
      <c r="D50" s="165"/>
      <c r="E50" s="165"/>
      <c r="F50" s="165"/>
      <c r="G50" s="165"/>
      <c r="H50" s="165"/>
      <c r="I50" s="165"/>
      <c r="J50" s="165"/>
      <c r="K50" s="165"/>
      <c r="L50" s="165"/>
      <c r="M50" s="165"/>
      <c r="N50" s="165"/>
      <c r="O50" s="165"/>
      <c r="P50" s="165"/>
      <c r="Q50" s="165"/>
    </row>
    <row r="51" spans="1:17" x14ac:dyDescent="0.2">
      <c r="A51" s="165"/>
      <c r="B51" s="165"/>
      <c r="C51" s="165"/>
      <c r="D51" s="165"/>
      <c r="E51" s="165"/>
      <c r="F51" s="165"/>
      <c r="G51" s="165"/>
      <c r="H51" s="165"/>
      <c r="I51" s="165"/>
      <c r="J51" s="165"/>
      <c r="K51" s="165"/>
      <c r="L51" s="165"/>
      <c r="M51" s="165"/>
      <c r="N51" s="165"/>
      <c r="O51" s="165"/>
      <c r="P51" s="165"/>
      <c r="Q51" s="165"/>
    </row>
    <row r="52" spans="1:17" x14ac:dyDescent="0.2">
      <c r="A52" s="165"/>
      <c r="B52" s="165"/>
      <c r="C52" s="165"/>
      <c r="D52" s="165"/>
      <c r="E52" s="165"/>
      <c r="F52" s="165"/>
      <c r="G52" s="165"/>
      <c r="H52" s="165"/>
      <c r="I52" s="165"/>
      <c r="J52" s="165"/>
      <c r="K52" s="165"/>
      <c r="L52" s="165"/>
      <c r="M52" s="165"/>
      <c r="N52" s="165"/>
      <c r="O52" s="165"/>
      <c r="P52" s="165"/>
      <c r="Q52" s="165"/>
    </row>
    <row r="53" spans="1:17" x14ac:dyDescent="0.2">
      <c r="A53" s="165"/>
      <c r="B53" s="165"/>
      <c r="C53" s="165"/>
      <c r="D53" s="165"/>
      <c r="E53" s="165"/>
      <c r="F53" s="165"/>
      <c r="G53" s="165"/>
      <c r="H53" s="165"/>
      <c r="I53" s="165"/>
      <c r="J53" s="165"/>
      <c r="K53" s="165"/>
      <c r="L53" s="165"/>
      <c r="M53" s="165"/>
      <c r="N53" s="165"/>
      <c r="O53" s="165"/>
      <c r="P53" s="165"/>
      <c r="Q53" s="165"/>
    </row>
    <row r="54" spans="1:17" x14ac:dyDescent="0.2">
      <c r="A54" s="165"/>
      <c r="B54" s="165"/>
      <c r="C54" s="165"/>
      <c r="D54" s="165"/>
      <c r="E54" s="165"/>
      <c r="F54" s="165"/>
      <c r="G54" s="165"/>
      <c r="H54" s="165"/>
      <c r="I54" s="165"/>
      <c r="J54" s="165"/>
      <c r="K54" s="165"/>
      <c r="L54" s="165"/>
      <c r="M54" s="165"/>
      <c r="N54" s="165"/>
      <c r="O54" s="165"/>
      <c r="P54" s="165"/>
      <c r="Q54" s="165"/>
    </row>
    <row r="55" spans="1:17" x14ac:dyDescent="0.2">
      <c r="A55" s="165"/>
      <c r="B55" s="165"/>
      <c r="C55" s="165"/>
      <c r="D55" s="165"/>
      <c r="E55" s="165"/>
      <c r="F55" s="165"/>
      <c r="G55" s="165"/>
      <c r="H55" s="165"/>
      <c r="I55" s="165"/>
      <c r="J55" s="165"/>
      <c r="K55" s="165"/>
      <c r="L55" s="165"/>
      <c r="M55" s="165"/>
      <c r="N55" s="165"/>
      <c r="O55" s="165"/>
      <c r="P55" s="165"/>
      <c r="Q55" s="165"/>
    </row>
    <row r="56" spans="1:17" x14ac:dyDescent="0.2">
      <c r="A56" s="165"/>
      <c r="B56" s="165"/>
      <c r="C56" s="165"/>
      <c r="D56" s="165"/>
      <c r="E56" s="165"/>
      <c r="F56" s="165"/>
      <c r="G56" s="165"/>
      <c r="H56" s="165"/>
      <c r="I56" s="165"/>
      <c r="J56" s="165"/>
      <c r="K56" s="165"/>
      <c r="L56" s="165"/>
      <c r="M56" s="165"/>
      <c r="N56" s="165"/>
      <c r="O56" s="165"/>
      <c r="P56" s="165"/>
      <c r="Q56" s="165"/>
    </row>
    <row r="57" spans="1:17" x14ac:dyDescent="0.2">
      <c r="A57" s="165"/>
      <c r="B57" s="165"/>
      <c r="C57" s="165"/>
      <c r="D57" s="165"/>
      <c r="E57" s="165"/>
      <c r="F57" s="165"/>
      <c r="G57" s="165"/>
      <c r="H57" s="165"/>
      <c r="I57" s="165"/>
      <c r="J57" s="165"/>
      <c r="K57" s="165"/>
      <c r="L57" s="165"/>
      <c r="M57" s="165"/>
      <c r="N57" s="165"/>
      <c r="O57" s="165"/>
      <c r="P57" s="165"/>
      <c r="Q57" s="165"/>
    </row>
    <row r="58" spans="1:17" x14ac:dyDescent="0.2">
      <c r="A58" s="165"/>
      <c r="B58" s="165"/>
      <c r="C58" s="165"/>
      <c r="D58" s="165"/>
      <c r="E58" s="165"/>
      <c r="F58" s="165"/>
      <c r="G58" s="165"/>
      <c r="H58" s="165"/>
      <c r="I58" s="165"/>
      <c r="J58" s="165"/>
      <c r="K58" s="165"/>
      <c r="L58" s="165"/>
      <c r="M58" s="165"/>
      <c r="N58" s="165"/>
      <c r="O58" s="165"/>
      <c r="P58" s="165"/>
      <c r="Q58" s="165"/>
    </row>
    <row r="59" spans="1:17" x14ac:dyDescent="0.2">
      <c r="A59" s="165"/>
      <c r="B59" s="165"/>
      <c r="C59" s="165"/>
      <c r="D59" s="165"/>
      <c r="E59" s="165"/>
      <c r="F59" s="165"/>
      <c r="G59" s="165"/>
      <c r="H59" s="165"/>
      <c r="I59" s="165"/>
      <c r="J59" s="165"/>
      <c r="K59" s="165"/>
      <c r="L59" s="165"/>
      <c r="M59" s="165"/>
      <c r="N59" s="165"/>
      <c r="O59" s="165"/>
      <c r="P59" s="165"/>
      <c r="Q59" s="165"/>
    </row>
    <row r="60" spans="1:17" x14ac:dyDescent="0.2">
      <c r="A60" s="165"/>
      <c r="B60" s="165"/>
      <c r="C60" s="165"/>
      <c r="D60" s="165"/>
      <c r="E60" s="165"/>
      <c r="F60" s="165"/>
      <c r="G60" s="165"/>
      <c r="H60" s="165"/>
      <c r="I60" s="165"/>
      <c r="J60" s="165"/>
      <c r="K60" s="165"/>
      <c r="L60" s="165"/>
      <c r="M60" s="165"/>
      <c r="N60" s="165"/>
      <c r="O60" s="165"/>
      <c r="P60" s="165"/>
      <c r="Q60" s="165"/>
    </row>
    <row r="61" spans="1:17" x14ac:dyDescent="0.2">
      <c r="A61" s="165"/>
      <c r="B61" s="165"/>
      <c r="C61" s="165"/>
      <c r="D61" s="165"/>
      <c r="E61" s="165"/>
      <c r="F61" s="165"/>
      <c r="G61" s="165"/>
      <c r="H61" s="165"/>
      <c r="I61" s="165"/>
      <c r="J61" s="165"/>
      <c r="K61" s="165"/>
      <c r="L61" s="165"/>
      <c r="M61" s="165"/>
      <c r="N61" s="165"/>
      <c r="O61" s="165"/>
      <c r="P61" s="165"/>
      <c r="Q61" s="165"/>
    </row>
    <row r="62" spans="1:17" x14ac:dyDescent="0.2">
      <c r="A62" s="165"/>
      <c r="B62" s="165"/>
      <c r="C62" s="165"/>
      <c r="D62" s="165"/>
      <c r="E62" s="165"/>
      <c r="F62" s="165"/>
      <c r="G62" s="165"/>
      <c r="H62" s="165"/>
      <c r="I62" s="165"/>
      <c r="J62" s="165"/>
      <c r="K62" s="165"/>
      <c r="L62" s="165"/>
      <c r="M62" s="165"/>
      <c r="N62" s="165"/>
      <c r="O62" s="165"/>
      <c r="P62" s="165"/>
      <c r="Q62" s="165"/>
    </row>
    <row r="63" spans="1:17" x14ac:dyDescent="0.2">
      <c r="A63" s="165"/>
      <c r="B63" s="165"/>
      <c r="C63" s="165"/>
      <c r="D63" s="165"/>
      <c r="E63" s="165"/>
      <c r="F63" s="165"/>
      <c r="G63" s="165"/>
      <c r="H63" s="165"/>
      <c r="I63" s="165"/>
      <c r="J63" s="165"/>
      <c r="K63" s="165"/>
      <c r="L63" s="165"/>
      <c r="M63" s="165"/>
      <c r="N63" s="165"/>
      <c r="O63" s="165"/>
      <c r="P63" s="165"/>
      <c r="Q63" s="165"/>
    </row>
    <row r="64" spans="1:17" x14ac:dyDescent="0.2">
      <c r="A64" s="165"/>
      <c r="B64" s="165"/>
      <c r="C64" s="165"/>
      <c r="D64" s="165"/>
      <c r="E64" s="165"/>
      <c r="F64" s="165"/>
      <c r="G64" s="165"/>
      <c r="H64" s="165"/>
      <c r="I64" s="165"/>
      <c r="J64" s="165"/>
      <c r="K64" s="165"/>
      <c r="L64" s="165"/>
      <c r="M64" s="165"/>
      <c r="N64" s="165"/>
      <c r="O64" s="165"/>
      <c r="P64" s="165"/>
      <c r="Q64" s="165"/>
    </row>
    <row r="65" spans="1:17" x14ac:dyDescent="0.2">
      <c r="A65" s="165"/>
      <c r="B65" s="165"/>
      <c r="C65" s="165"/>
      <c r="D65" s="165"/>
      <c r="E65" s="165"/>
      <c r="F65" s="165"/>
      <c r="G65" s="165"/>
      <c r="H65" s="165"/>
      <c r="I65" s="165"/>
      <c r="J65" s="165"/>
      <c r="K65" s="165"/>
      <c r="L65" s="165"/>
      <c r="M65" s="165"/>
      <c r="N65" s="165"/>
      <c r="O65" s="165"/>
      <c r="P65" s="165"/>
      <c r="Q65" s="165"/>
    </row>
    <row r="66" spans="1:17" x14ac:dyDescent="0.2">
      <c r="A66" s="165"/>
      <c r="B66" s="165"/>
      <c r="C66" s="165"/>
      <c r="D66" s="165"/>
      <c r="E66" s="165"/>
      <c r="F66" s="165"/>
      <c r="G66" s="165"/>
      <c r="H66" s="165"/>
      <c r="I66" s="165"/>
      <c r="J66" s="165"/>
      <c r="K66" s="165"/>
      <c r="L66" s="165"/>
      <c r="M66" s="165"/>
      <c r="N66" s="165"/>
      <c r="O66" s="165"/>
      <c r="P66" s="165"/>
      <c r="Q66" s="165"/>
    </row>
    <row r="67" spans="1:17" x14ac:dyDescent="0.2">
      <c r="A67" s="165"/>
      <c r="B67" s="165"/>
      <c r="C67" s="165"/>
      <c r="D67" s="165"/>
      <c r="E67" s="165"/>
      <c r="F67" s="165"/>
      <c r="G67" s="165"/>
      <c r="H67" s="165"/>
      <c r="I67" s="165"/>
      <c r="J67" s="165"/>
      <c r="K67" s="165"/>
      <c r="L67" s="165"/>
      <c r="M67" s="165"/>
      <c r="N67" s="165"/>
      <c r="O67" s="165"/>
      <c r="P67" s="165"/>
      <c r="Q67" s="165"/>
    </row>
    <row r="68" spans="1:17" x14ac:dyDescent="0.2">
      <c r="A68" s="165"/>
      <c r="B68" s="165"/>
      <c r="C68" s="165"/>
      <c r="D68" s="165"/>
      <c r="E68" s="165"/>
      <c r="F68" s="165"/>
      <c r="G68" s="165"/>
      <c r="H68" s="165"/>
      <c r="I68" s="165"/>
      <c r="J68" s="165"/>
      <c r="K68" s="165"/>
      <c r="L68" s="165"/>
      <c r="M68" s="165"/>
      <c r="N68" s="165"/>
      <c r="O68" s="165"/>
      <c r="P68" s="165"/>
      <c r="Q68" s="165"/>
    </row>
    <row r="69" spans="1:17" x14ac:dyDescent="0.2">
      <c r="A69" s="165"/>
      <c r="B69" s="165"/>
      <c r="C69" s="165"/>
      <c r="D69" s="165"/>
      <c r="E69" s="165"/>
      <c r="F69" s="165"/>
      <c r="G69" s="165"/>
      <c r="H69" s="165"/>
      <c r="I69" s="165"/>
      <c r="J69" s="165"/>
      <c r="K69" s="165"/>
      <c r="L69" s="165"/>
      <c r="M69" s="165"/>
      <c r="N69" s="165"/>
      <c r="O69" s="165"/>
      <c r="P69" s="165"/>
      <c r="Q69" s="165"/>
    </row>
    <row r="70" spans="1:17" x14ac:dyDescent="0.2">
      <c r="A70" s="165"/>
      <c r="B70" s="165"/>
      <c r="C70" s="165"/>
      <c r="D70" s="165"/>
      <c r="E70" s="165"/>
      <c r="F70" s="165"/>
      <c r="G70" s="165"/>
      <c r="H70" s="165"/>
      <c r="I70" s="165"/>
      <c r="J70" s="165"/>
      <c r="K70" s="165"/>
      <c r="L70" s="165"/>
      <c r="M70" s="165"/>
      <c r="N70" s="165"/>
      <c r="O70" s="165"/>
      <c r="P70" s="165"/>
      <c r="Q70" s="165"/>
    </row>
  </sheetData>
  <sheetProtection sheet="1" objects="1" scenarios="1" selectLockedCells="1"/>
  <mergeCells count="18">
    <mergeCell ref="S40:T40"/>
    <mergeCell ref="N41:N42"/>
    <mergeCell ref="O43:P43"/>
    <mergeCell ref="S43:T43"/>
    <mergeCell ref="A44:A45"/>
    <mergeCell ref="E44:E45"/>
    <mergeCell ref="B40:C40"/>
    <mergeCell ref="A41:A42"/>
    <mergeCell ref="B43:C43"/>
    <mergeCell ref="F40:G40"/>
    <mergeCell ref="F43:G43"/>
    <mergeCell ref="A2:A3"/>
    <mergeCell ref="E41:E42"/>
    <mergeCell ref="A49:Q70"/>
    <mergeCell ref="N44:N45"/>
    <mergeCell ref="O40:P40"/>
    <mergeCell ref="C2:G2"/>
    <mergeCell ref="P3:W25"/>
  </mergeCells>
  <conditionalFormatting sqref="E21:G22">
    <cfRule type="expression" dxfId="1" priority="14">
      <formula>$D$21=0%</formula>
    </cfRule>
  </conditionalFormatting>
  <conditionalFormatting sqref="A4:A16">
    <cfRule type="expression" priority="5">
      <formula>#REF!="106"</formula>
    </cfRule>
  </conditionalFormatting>
  <conditionalFormatting sqref="J12">
    <cfRule type="expression" priority="4">
      <formula>#REF!="106"</formula>
    </cfRule>
  </conditionalFormatting>
  <conditionalFormatting sqref="J13">
    <cfRule type="expression" priority="3">
      <formula>#REF!="106"</formula>
    </cfRule>
  </conditionalFormatting>
  <conditionalFormatting sqref="J15">
    <cfRule type="expression" priority="2">
      <formula>#REF!="106"</formula>
    </cfRule>
  </conditionalFormatting>
  <conditionalFormatting sqref="C14">
    <cfRule type="cellIs" dxfId="0" priority="1" operator="lessThan">
      <formula>0</formula>
    </cfRule>
  </conditionalFormatting>
  <dataValidations count="2">
    <dataValidation type="list" allowBlank="1" showInputMessage="1" showErrorMessage="1" sqref="D4:D6 D9:D15">
      <formula1>$I$34:$I$35</formula1>
    </dataValidation>
    <dataValidation type="list" allowBlank="1" showInputMessage="1" showErrorMessage="1" sqref="D21">
      <formula1>$J$27:$J$38</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WATERNET</vt:lpstr>
      <vt:lpstr>WATERNET!Print_Area</vt:lpstr>
    </vt:vector>
  </TitlesOfParts>
  <Company>Gemeente Amsterdam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Onoh, Nnanna</dc:creator>
  <cp:lastModifiedBy>Nnanna</cp:lastModifiedBy>
  <cp:lastPrinted>2020-05-20T11:14:16Z</cp:lastPrinted>
  <dcterms:created xsi:type="dcterms:W3CDTF">2019-09-10T12:20:10Z</dcterms:created>
  <dcterms:modified xsi:type="dcterms:W3CDTF">2020-05-20T11:16:47Z</dcterms:modified>
</cp:coreProperties>
</file>